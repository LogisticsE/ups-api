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V:\ETNL007\Data\Logistics\General\HaDEA\Order Entry\"/>
    </mc:Choice>
  </mc:AlternateContent>
  <xr:revisionPtr revIDLastSave="0" documentId="13_ncr:1_{98A3A757-EC8A-4EA3-B9D4-6A1A07E571D8}" xr6:coauthVersionLast="47" xr6:coauthVersionMax="47" xr10:uidLastSave="{00000000-0000-0000-0000-000000000000}"/>
  <bookViews>
    <workbookView xWindow="28680" yWindow="-120" windowWidth="38640" windowHeight="21120" xr2:uid="{0D1EF427-1ED3-4185-B8DF-3FC631EDC9DA}"/>
  </bookViews>
  <sheets>
    <sheet name="outbound" sheetId="6" r:id="rId1"/>
    <sheet name="Sheet2" sheetId="15" r:id="rId2"/>
    <sheet name="sample" sheetId="4" r:id="rId3"/>
    <sheet name="sites" sheetId="1" r:id="rId4"/>
    <sheet name="labs" sheetId="3" r:id="rId5"/>
    <sheet name="nonADR" sheetId="9" r:id="rId6"/>
    <sheet name="AREA" sheetId="12" r:id="rId7"/>
    <sheet name="kits" sheetId="13" r:id="rId8"/>
    <sheet name="issue reg." sheetId="11" r:id="rId9"/>
    <sheet name="schedule" sheetId="14" r:id="rId10"/>
    <sheet name="Sheet1" sheetId="8" state="hidden" r:id="rId11"/>
    <sheet name="backup macro" sheetId="10" state="hidden" r:id="rId12"/>
  </sheets>
  <functionGroups builtInGroupCount="19"/>
  <definedNames>
    <definedName name="_xlpm.baseDate" hidden="1" xlm="1">#NAME?</definedName>
    <definedName name="_xlpm.matchRow" hidden="1" xlm="1">#NAME?</definedName>
    <definedName name="_xlpm.wb" hidden="1" xlm="1">#NAME?</definedName>
    <definedName name="_xlpm.weekdayNum" hidden="1" xlm="1">#NAME?</definedName>
    <definedName name="Slicer_Confirmed_Pick_up_Date">#N/A</definedName>
    <definedName name="Slicer_Shipping_Date__SD_14">#N/A</definedName>
  </definedNames>
  <calcPr calcId="191029"/>
  <pivotCaches>
    <pivotCache cacheId="4" r:id="rId13"/>
    <pivotCache cacheId="5"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01" i="4" l="1"/>
  <c r="H401" i="4"/>
  <c r="J401" i="4"/>
  <c r="X401" i="4" s="1"/>
  <c r="K401" i="4"/>
  <c r="L401" i="4"/>
  <c r="W401" i="4"/>
  <c r="Y401" i="4"/>
  <c r="Z401" i="4"/>
  <c r="AA401" i="4"/>
  <c r="AB401" i="4"/>
  <c r="AF401" i="4"/>
  <c r="AC401" i="4" s="1"/>
  <c r="F168" i="6"/>
  <c r="H168" i="6" s="1"/>
  <c r="J168" i="6"/>
  <c r="Z168" i="6" s="1"/>
  <c r="K168" i="6"/>
  <c r="M168" i="6"/>
  <c r="N168" i="6"/>
  <c r="Y168" i="6"/>
  <c r="AA168" i="6"/>
  <c r="AB168" i="6"/>
  <c r="AD168" i="6"/>
  <c r="J141" i="6"/>
  <c r="Z141" i="6" s="1"/>
  <c r="F141" i="6"/>
  <c r="G141" i="6" s="1"/>
  <c r="K141" i="6"/>
  <c r="M141" i="6"/>
  <c r="N141" i="6"/>
  <c r="Y141" i="6"/>
  <c r="AA141" i="6"/>
  <c r="AB141" i="6"/>
  <c r="AD141" i="6"/>
  <c r="F163" i="6"/>
  <c r="H163" i="6" s="1"/>
  <c r="J163" i="6"/>
  <c r="Z163" i="6" s="1"/>
  <c r="K163" i="6"/>
  <c r="M163" i="6"/>
  <c r="N163" i="6"/>
  <c r="Y163" i="6"/>
  <c r="AA163" i="6"/>
  <c r="AB163" i="6"/>
  <c r="AD163" i="6"/>
  <c r="F154" i="6"/>
  <c r="G154" i="6" s="1"/>
  <c r="J154" i="6"/>
  <c r="Z154" i="6" s="1"/>
  <c r="K154" i="6"/>
  <c r="M154" i="6"/>
  <c r="N154" i="6"/>
  <c r="Y154" i="6"/>
  <c r="AA154" i="6"/>
  <c r="AB154" i="6"/>
  <c r="AD154" i="6"/>
  <c r="F157" i="6"/>
  <c r="G157" i="6" s="1"/>
  <c r="J157" i="6"/>
  <c r="Z157" i="6" s="1"/>
  <c r="K157" i="6"/>
  <c r="M157" i="6"/>
  <c r="N157" i="6"/>
  <c r="Y157" i="6"/>
  <c r="AA157" i="6"/>
  <c r="AB157" i="6"/>
  <c r="AD157" i="6"/>
  <c r="J180" i="6"/>
  <c r="AD186" i="6"/>
  <c r="G385" i="4"/>
  <c r="H385" i="4"/>
  <c r="J385" i="4"/>
  <c r="X385" i="4" s="1"/>
  <c r="K385" i="4"/>
  <c r="L385" i="4"/>
  <c r="W385" i="4"/>
  <c r="Y385" i="4"/>
  <c r="Z385" i="4"/>
  <c r="AF385" i="4"/>
  <c r="F124" i="6"/>
  <c r="G124" i="6" s="1"/>
  <c r="J124" i="6"/>
  <c r="Z124" i="6" s="1"/>
  <c r="K124" i="6"/>
  <c r="M124" i="6"/>
  <c r="N124" i="6"/>
  <c r="Y124" i="6"/>
  <c r="AA124" i="6"/>
  <c r="AD124" i="6"/>
  <c r="G303" i="4"/>
  <c r="H303" i="4"/>
  <c r="J303" i="4"/>
  <c r="X303" i="4" s="1"/>
  <c r="K303" i="4"/>
  <c r="L303" i="4"/>
  <c r="W303" i="4"/>
  <c r="Y303" i="4"/>
  <c r="Z303" i="4"/>
  <c r="AF303" i="4"/>
  <c r="F133" i="6"/>
  <c r="G133" i="6" s="1"/>
  <c r="J133" i="6"/>
  <c r="Z133" i="6" s="1"/>
  <c r="K133" i="6"/>
  <c r="M133" i="6"/>
  <c r="N133" i="6"/>
  <c r="Y133" i="6"/>
  <c r="AA133" i="6"/>
  <c r="AD133" i="6"/>
  <c r="L370" i="4"/>
  <c r="L372" i="4"/>
  <c r="L460" i="4"/>
  <c r="L519" i="4"/>
  <c r="L548" i="4"/>
  <c r="L637" i="4"/>
  <c r="W370" i="4"/>
  <c r="W372" i="4"/>
  <c r="W460" i="4"/>
  <c r="W519" i="4"/>
  <c r="W548" i="4"/>
  <c r="W637" i="4"/>
  <c r="Y370" i="4"/>
  <c r="Y372" i="4"/>
  <c r="Y460" i="4"/>
  <c r="Y519" i="4"/>
  <c r="Y548" i="4"/>
  <c r="Y637" i="4"/>
  <c r="Z370" i="4"/>
  <c r="Z372" i="4"/>
  <c r="Z460" i="4"/>
  <c r="Z519" i="4"/>
  <c r="Z548" i="4"/>
  <c r="Z637" i="4"/>
  <c r="AB460" i="4"/>
  <c r="AB519" i="4"/>
  <c r="AB548" i="4"/>
  <c r="AB637" i="4"/>
  <c r="AF370" i="4"/>
  <c r="AF372" i="4"/>
  <c r="AF460" i="4"/>
  <c r="AF519" i="4"/>
  <c r="AF548" i="4"/>
  <c r="AF637" i="4"/>
  <c r="K637" i="4"/>
  <c r="J637" i="4"/>
  <c r="X637" i="4" s="1"/>
  <c r="H637" i="4"/>
  <c r="G637" i="4"/>
  <c r="K548" i="4"/>
  <c r="J548" i="4"/>
  <c r="X548" i="4" s="1"/>
  <c r="H548" i="4"/>
  <c r="G548" i="4"/>
  <c r="K519" i="4"/>
  <c r="J519" i="4"/>
  <c r="X519" i="4" s="1"/>
  <c r="H519" i="4"/>
  <c r="G519" i="4"/>
  <c r="K460" i="4"/>
  <c r="J460" i="4"/>
  <c r="X460" i="4" s="1"/>
  <c r="H460" i="4"/>
  <c r="G460" i="4"/>
  <c r="K372" i="4"/>
  <c r="J372" i="4"/>
  <c r="X372" i="4" s="1"/>
  <c r="H372" i="4"/>
  <c r="G372" i="4"/>
  <c r="K370" i="4"/>
  <c r="J370" i="4"/>
  <c r="X370" i="4" s="1"/>
  <c r="H370" i="4"/>
  <c r="G370" i="4"/>
  <c r="G459" i="4"/>
  <c r="G518" i="4"/>
  <c r="G547" i="4"/>
  <c r="G636" i="4"/>
  <c r="H459" i="4"/>
  <c r="H518" i="4"/>
  <c r="H547" i="4"/>
  <c r="H636" i="4"/>
  <c r="J459" i="4"/>
  <c r="X459" i="4" s="1"/>
  <c r="J518" i="4"/>
  <c r="X518" i="4" s="1"/>
  <c r="J547" i="4"/>
  <c r="X547" i="4" s="1"/>
  <c r="J636" i="4"/>
  <c r="X636" i="4" s="1"/>
  <c r="K459" i="4"/>
  <c r="K518" i="4"/>
  <c r="K547" i="4"/>
  <c r="K636" i="4"/>
  <c r="L459" i="4"/>
  <c r="L518" i="4"/>
  <c r="L547" i="4"/>
  <c r="L636" i="4"/>
  <c r="W459" i="4"/>
  <c r="W518" i="4"/>
  <c r="W547" i="4"/>
  <c r="W636" i="4"/>
  <c r="Y459" i="4"/>
  <c r="Y518" i="4"/>
  <c r="Y547" i="4"/>
  <c r="Y636" i="4"/>
  <c r="Z459" i="4"/>
  <c r="Z518" i="4"/>
  <c r="Z547" i="4"/>
  <c r="Z636" i="4"/>
  <c r="AB459" i="4"/>
  <c r="AB518" i="4"/>
  <c r="AB547" i="4"/>
  <c r="AB636" i="4"/>
  <c r="AF459" i="4"/>
  <c r="AF518" i="4"/>
  <c r="AF547" i="4"/>
  <c r="AF636" i="4"/>
  <c r="G371" i="4"/>
  <c r="H371" i="4"/>
  <c r="J371" i="4"/>
  <c r="X371" i="4" s="1"/>
  <c r="K371" i="4"/>
  <c r="L371" i="4"/>
  <c r="W371" i="4"/>
  <c r="Y371" i="4"/>
  <c r="Z371" i="4"/>
  <c r="AF371" i="4"/>
  <c r="G369" i="4"/>
  <c r="H369" i="4"/>
  <c r="J369" i="4"/>
  <c r="X369" i="4" s="1"/>
  <c r="K369" i="4"/>
  <c r="L369" i="4"/>
  <c r="W369" i="4"/>
  <c r="Y369" i="4"/>
  <c r="Z369" i="4"/>
  <c r="AF369" i="4"/>
  <c r="F155" i="6"/>
  <c r="H155" i="6" s="1"/>
  <c r="F190" i="6"/>
  <c r="H190" i="6" s="1"/>
  <c r="F212" i="6"/>
  <c r="G212" i="6" s="1"/>
  <c r="F228" i="6"/>
  <c r="G228" i="6" s="1"/>
  <c r="F256" i="6"/>
  <c r="G256" i="6" s="1"/>
  <c r="J155" i="6"/>
  <c r="Z155" i="6" s="1"/>
  <c r="J190" i="6"/>
  <c r="Z190" i="6" s="1"/>
  <c r="J212" i="6"/>
  <c r="Z212" i="6" s="1"/>
  <c r="J228" i="6"/>
  <c r="Z228" i="6" s="1"/>
  <c r="J256" i="6"/>
  <c r="Z256" i="6" s="1"/>
  <c r="K155" i="6"/>
  <c r="K190" i="6"/>
  <c r="K212" i="6"/>
  <c r="K228" i="6"/>
  <c r="K256" i="6"/>
  <c r="M155" i="6"/>
  <c r="M190" i="6"/>
  <c r="M212" i="6"/>
  <c r="M228" i="6"/>
  <c r="M256" i="6"/>
  <c r="N155" i="6"/>
  <c r="N190" i="6"/>
  <c r="N212" i="6"/>
  <c r="N228" i="6"/>
  <c r="N256" i="6"/>
  <c r="Y155" i="6"/>
  <c r="Y190" i="6"/>
  <c r="Y212" i="6"/>
  <c r="Y228" i="6"/>
  <c r="Y256" i="6"/>
  <c r="AA155" i="6"/>
  <c r="AA190" i="6"/>
  <c r="AA212" i="6"/>
  <c r="AA228" i="6"/>
  <c r="AA256" i="6"/>
  <c r="AD155" i="6"/>
  <c r="AD190" i="6"/>
  <c r="AD212" i="6"/>
  <c r="AD228" i="6"/>
  <c r="AD256" i="6"/>
  <c r="F139" i="6"/>
  <c r="H139" i="6" s="1"/>
  <c r="J139" i="6"/>
  <c r="Z139" i="6" s="1"/>
  <c r="K139" i="6"/>
  <c r="M139" i="6"/>
  <c r="N139" i="6"/>
  <c r="Y139" i="6"/>
  <c r="AA139" i="6"/>
  <c r="AD139" i="6"/>
  <c r="G399" i="4"/>
  <c r="G428" i="4"/>
  <c r="G487" i="4"/>
  <c r="G546" i="4"/>
  <c r="G608" i="4"/>
  <c r="H399" i="4"/>
  <c r="H428" i="4"/>
  <c r="H487" i="4"/>
  <c r="H546" i="4"/>
  <c r="H608" i="4"/>
  <c r="J399" i="4"/>
  <c r="X399" i="4" s="1"/>
  <c r="J428" i="4"/>
  <c r="X428" i="4" s="1"/>
  <c r="J487" i="4"/>
  <c r="X487" i="4" s="1"/>
  <c r="J546" i="4"/>
  <c r="X546" i="4" s="1"/>
  <c r="J608" i="4"/>
  <c r="X608" i="4" s="1"/>
  <c r="K399" i="4"/>
  <c r="K428" i="4"/>
  <c r="K487" i="4"/>
  <c r="K546" i="4"/>
  <c r="K608" i="4"/>
  <c r="L399" i="4"/>
  <c r="L428" i="4"/>
  <c r="L487" i="4"/>
  <c r="L546" i="4"/>
  <c r="L608" i="4"/>
  <c r="W399" i="4"/>
  <c r="W428" i="4"/>
  <c r="W487" i="4"/>
  <c r="W546" i="4"/>
  <c r="W608" i="4"/>
  <c r="Y399" i="4"/>
  <c r="Y428" i="4"/>
  <c r="Y487" i="4"/>
  <c r="Y546" i="4"/>
  <c r="Y608" i="4"/>
  <c r="Z399" i="4"/>
  <c r="Z428" i="4"/>
  <c r="Z487" i="4"/>
  <c r="Z546" i="4"/>
  <c r="Z608" i="4"/>
  <c r="AF399" i="4"/>
  <c r="AF428" i="4"/>
  <c r="AF487" i="4"/>
  <c r="AF546" i="4"/>
  <c r="AF608" i="4"/>
  <c r="G398" i="4"/>
  <c r="H398" i="4"/>
  <c r="J398" i="4"/>
  <c r="X398" i="4" s="1"/>
  <c r="K398" i="4"/>
  <c r="L398" i="4"/>
  <c r="W398" i="4"/>
  <c r="Y398" i="4"/>
  <c r="Z398" i="4"/>
  <c r="AF398" i="4"/>
  <c r="F241" i="6"/>
  <c r="G241" i="6" s="1"/>
  <c r="J241" i="6"/>
  <c r="Z241" i="6" s="1"/>
  <c r="K241" i="6"/>
  <c r="M241" i="6"/>
  <c r="N241" i="6"/>
  <c r="Y241" i="6"/>
  <c r="AA241" i="6"/>
  <c r="AD241" i="6"/>
  <c r="F219" i="6"/>
  <c r="G219" i="6" s="1"/>
  <c r="J219" i="6"/>
  <c r="Z219" i="6" s="1"/>
  <c r="K219" i="6"/>
  <c r="M219" i="6"/>
  <c r="N219" i="6"/>
  <c r="Y219" i="6"/>
  <c r="AA219" i="6"/>
  <c r="AD219" i="6"/>
  <c r="F197" i="6"/>
  <c r="G197" i="6" s="1"/>
  <c r="J197" i="6"/>
  <c r="Z197" i="6" s="1"/>
  <c r="K197" i="6"/>
  <c r="M197" i="6"/>
  <c r="N197" i="6"/>
  <c r="Y197" i="6"/>
  <c r="AA197" i="6"/>
  <c r="AD197" i="6"/>
  <c r="F175" i="6"/>
  <c r="G175" i="6" s="1"/>
  <c r="J175" i="6"/>
  <c r="Z175" i="6" s="1"/>
  <c r="K175" i="6"/>
  <c r="M175" i="6"/>
  <c r="N175" i="6"/>
  <c r="Y175" i="6"/>
  <c r="AA175" i="6"/>
  <c r="AD175" i="6"/>
  <c r="F148" i="6"/>
  <c r="G148" i="6" s="1"/>
  <c r="J148" i="6"/>
  <c r="Z148" i="6" s="1"/>
  <c r="K148" i="6"/>
  <c r="M148" i="6"/>
  <c r="N148" i="6"/>
  <c r="Y148" i="6"/>
  <c r="AA148" i="6"/>
  <c r="AD148" i="6"/>
  <c r="F123" i="6"/>
  <c r="H123" i="6" s="1"/>
  <c r="J123" i="6"/>
  <c r="Z123" i="6" s="1"/>
  <c r="K123" i="6"/>
  <c r="M123" i="6"/>
  <c r="N123" i="6"/>
  <c r="Y123" i="6"/>
  <c r="AA123" i="6"/>
  <c r="AD123" i="6"/>
  <c r="W25" i="1"/>
  <c r="AA398" i="4" s="1"/>
  <c r="H396" i="4"/>
  <c r="G396" i="4"/>
  <c r="H395" i="4"/>
  <c r="G395" i="4"/>
  <c r="H283" i="4"/>
  <c r="G283" i="4"/>
  <c r="H282" i="4"/>
  <c r="G282" i="4"/>
  <c r="H312" i="4"/>
  <c r="G312" i="4"/>
  <c r="H310" i="4"/>
  <c r="G310" i="4"/>
  <c r="H309" i="4"/>
  <c r="G309" i="4"/>
  <c r="H304" i="4"/>
  <c r="G304" i="4"/>
  <c r="H306" i="4"/>
  <c r="G306" i="4"/>
  <c r="H391" i="4"/>
  <c r="G391" i="4"/>
  <c r="H301" i="4"/>
  <c r="G301" i="4"/>
  <c r="H300" i="4"/>
  <c r="G300" i="4"/>
  <c r="H387" i="4"/>
  <c r="G387" i="4"/>
  <c r="H384" i="4"/>
  <c r="G384" i="4"/>
  <c r="H383" i="4"/>
  <c r="G383" i="4"/>
  <c r="H382" i="4"/>
  <c r="G382" i="4"/>
  <c r="H381" i="4"/>
  <c r="G381" i="4"/>
  <c r="H376" i="4"/>
  <c r="G376" i="4"/>
  <c r="H375" i="4"/>
  <c r="G375" i="4"/>
  <c r="H368" i="4"/>
  <c r="G368" i="4"/>
  <c r="H367" i="4"/>
  <c r="G367" i="4"/>
  <c r="H364" i="4"/>
  <c r="G364" i="4"/>
  <c r="H363" i="4"/>
  <c r="G363" i="4"/>
  <c r="H297" i="4"/>
  <c r="G297" i="4"/>
  <c r="H389" i="4"/>
  <c r="G389" i="4"/>
  <c r="H287" i="4"/>
  <c r="G287" i="4"/>
  <c r="H286" i="4"/>
  <c r="G286" i="4"/>
  <c r="H360" i="4"/>
  <c r="G360" i="4"/>
  <c r="H359" i="4"/>
  <c r="G359" i="4"/>
  <c r="H358" i="4"/>
  <c r="G358" i="4"/>
  <c r="H357" i="4"/>
  <c r="G357" i="4"/>
  <c r="H356" i="4"/>
  <c r="G356" i="4"/>
  <c r="H355" i="4"/>
  <c r="G355" i="4"/>
  <c r="H354" i="4"/>
  <c r="G354" i="4"/>
  <c r="H353" i="4"/>
  <c r="G353" i="4"/>
  <c r="H352" i="4"/>
  <c r="G352" i="4"/>
  <c r="H351" i="4"/>
  <c r="G351" i="4"/>
  <c r="H350" i="4"/>
  <c r="G350" i="4"/>
  <c r="H349" i="4"/>
  <c r="G349" i="4"/>
  <c r="H348" i="4"/>
  <c r="G348" i="4"/>
  <c r="H347" i="4"/>
  <c r="G347" i="4"/>
  <c r="H346" i="4"/>
  <c r="G346" i="4"/>
  <c r="H345" i="4"/>
  <c r="G345" i="4"/>
  <c r="H344" i="4"/>
  <c r="G344" i="4"/>
  <c r="H343" i="4"/>
  <c r="G343" i="4"/>
  <c r="H342" i="4"/>
  <c r="G342" i="4"/>
  <c r="H341" i="4"/>
  <c r="G341" i="4"/>
  <c r="H340" i="4"/>
  <c r="G340" i="4"/>
  <c r="H339" i="4"/>
  <c r="G339" i="4"/>
  <c r="H338" i="4"/>
  <c r="G338" i="4"/>
  <c r="H337" i="4"/>
  <c r="G337" i="4"/>
  <c r="H295" i="4"/>
  <c r="G295" i="4"/>
  <c r="H294" i="4"/>
  <c r="G294" i="4"/>
  <c r="H293" i="4"/>
  <c r="G293" i="4"/>
  <c r="K338" i="4"/>
  <c r="K337" i="4"/>
  <c r="K295" i="4"/>
  <c r="J339" i="4"/>
  <c r="J338" i="4"/>
  <c r="J337" i="4"/>
  <c r="J295" i="4"/>
  <c r="X295" i="4" s="1"/>
  <c r="J294" i="4"/>
  <c r="X294" i="4" s="1"/>
  <c r="J293" i="4"/>
  <c r="F5" i="6"/>
  <c r="F12" i="6"/>
  <c r="F22" i="6"/>
  <c r="F32" i="6"/>
  <c r="F44" i="6"/>
  <c r="F56" i="6"/>
  <c r="F73" i="6"/>
  <c r="F94" i="6"/>
  <c r="F117" i="6"/>
  <c r="F142" i="6"/>
  <c r="F169" i="6"/>
  <c r="F191" i="6"/>
  <c r="F213" i="6"/>
  <c r="F235" i="6"/>
  <c r="F6" i="6"/>
  <c r="F14" i="6"/>
  <c r="F24" i="6"/>
  <c r="F34" i="6"/>
  <c r="F46" i="6"/>
  <c r="F60" i="6"/>
  <c r="F79" i="6"/>
  <c r="F100" i="6"/>
  <c r="F125" i="6"/>
  <c r="F156" i="6"/>
  <c r="F181" i="6"/>
  <c r="F198" i="6"/>
  <c r="F220" i="6"/>
  <c r="F242" i="6"/>
  <c r="F7" i="6"/>
  <c r="F15" i="6"/>
  <c r="F25" i="6"/>
  <c r="F35" i="6"/>
  <c r="F47" i="6"/>
  <c r="F61" i="6"/>
  <c r="F80" i="6"/>
  <c r="F101" i="6"/>
  <c r="F126" i="6"/>
  <c r="F152" i="6"/>
  <c r="F179" i="6"/>
  <c r="F199" i="6"/>
  <c r="F221" i="6"/>
  <c r="F243" i="6"/>
  <c r="F13" i="6"/>
  <c r="F23" i="6"/>
  <c r="F33" i="6"/>
  <c r="F45" i="6"/>
  <c r="F57" i="6"/>
  <c r="F75" i="6"/>
  <c r="F96" i="6"/>
  <c r="F119" i="6"/>
  <c r="F146" i="6"/>
  <c r="F173" i="6"/>
  <c r="F193" i="6"/>
  <c r="F215" i="6"/>
  <c r="F237" i="6"/>
  <c r="F8" i="6"/>
  <c r="F21" i="6"/>
  <c r="F43" i="6"/>
  <c r="F72" i="6"/>
  <c r="F116" i="6"/>
  <c r="F167" i="6"/>
  <c r="F9" i="6"/>
  <c r="F20" i="6"/>
  <c r="F26" i="6"/>
  <c r="F54" i="6"/>
  <c r="F71" i="6"/>
  <c r="F93" i="6"/>
  <c r="F112" i="6"/>
  <c r="F10" i="6"/>
  <c r="F18" i="6"/>
  <c r="F30" i="6"/>
  <c r="F40" i="6"/>
  <c r="F52" i="6"/>
  <c r="F68" i="6"/>
  <c r="F89" i="6"/>
  <c r="F108" i="6"/>
  <c r="F134" i="6"/>
  <c r="F164" i="6"/>
  <c r="F187" i="6"/>
  <c r="F206" i="6"/>
  <c r="F229" i="6"/>
  <c r="F251" i="6"/>
  <c r="F11" i="6"/>
  <c r="F19" i="6"/>
  <c r="F31" i="6"/>
  <c r="F41" i="6"/>
  <c r="F53" i="6"/>
  <c r="F69" i="6"/>
  <c r="F90" i="6"/>
  <c r="F109" i="6"/>
  <c r="F135" i="6"/>
  <c r="F165" i="6"/>
  <c r="F188" i="6"/>
  <c r="F207" i="6"/>
  <c r="F230" i="6"/>
  <c r="F252" i="6"/>
  <c r="F16" i="6"/>
  <c r="F27" i="6"/>
  <c r="F36" i="6"/>
  <c r="F48" i="6"/>
  <c r="F62" i="6"/>
  <c r="F81" i="6"/>
  <c r="F102" i="6"/>
  <c r="F127" i="6"/>
  <c r="F158" i="6"/>
  <c r="F182" i="6"/>
  <c r="F200" i="6"/>
  <c r="F222" i="6"/>
  <c r="F244" i="6"/>
  <c r="F17" i="6"/>
  <c r="F28" i="6"/>
  <c r="F37" i="6"/>
  <c r="F49" i="6"/>
  <c r="F63" i="6"/>
  <c r="F82" i="6"/>
  <c r="F103" i="6"/>
  <c r="F128" i="6"/>
  <c r="F153" i="6"/>
  <c r="F180" i="6"/>
  <c r="F201" i="6"/>
  <c r="F223" i="6"/>
  <c r="F245" i="6"/>
  <c r="F29" i="6"/>
  <c r="F38" i="6"/>
  <c r="F50" i="6"/>
  <c r="F64" i="6"/>
  <c r="F83" i="6"/>
  <c r="F104" i="6"/>
  <c r="F129" i="6"/>
  <c r="F151" i="6"/>
  <c r="F178" i="6"/>
  <c r="F202" i="6"/>
  <c r="F224" i="6"/>
  <c r="F246" i="6"/>
  <c r="F39" i="6"/>
  <c r="F42" i="6"/>
  <c r="F51" i="6"/>
  <c r="F65" i="6"/>
  <c r="F84" i="6"/>
  <c r="F105" i="6"/>
  <c r="F130" i="6"/>
  <c r="F159" i="6"/>
  <c r="F183" i="6"/>
  <c r="F203" i="6"/>
  <c r="F225" i="6"/>
  <c r="F247" i="6"/>
  <c r="F55" i="6"/>
  <c r="F70" i="6"/>
  <c r="F91" i="6"/>
  <c r="F110" i="6"/>
  <c r="F136" i="6"/>
  <c r="F161" i="6"/>
  <c r="F185" i="6"/>
  <c r="F208" i="6"/>
  <c r="F231" i="6"/>
  <c r="F253" i="6"/>
  <c r="F58" i="6"/>
  <c r="F76" i="6"/>
  <c r="F97" i="6"/>
  <c r="F120" i="6"/>
  <c r="F147" i="6"/>
  <c r="F174" i="6"/>
  <c r="F194" i="6"/>
  <c r="F216" i="6"/>
  <c r="F238" i="6"/>
  <c r="F66" i="6"/>
  <c r="F85" i="6"/>
  <c r="F106" i="6"/>
  <c r="F131" i="6"/>
  <c r="F150" i="6"/>
  <c r="F177" i="6"/>
  <c r="F204" i="6"/>
  <c r="F226" i="6"/>
  <c r="F248" i="6"/>
  <c r="F67" i="6"/>
  <c r="F86" i="6"/>
  <c r="F107" i="6"/>
  <c r="F132" i="6"/>
  <c r="F149" i="6"/>
  <c r="F176" i="6"/>
  <c r="F205" i="6"/>
  <c r="F227" i="6"/>
  <c r="F249" i="6"/>
  <c r="F59" i="6"/>
  <c r="G59" i="6" s="1"/>
  <c r="F77" i="6"/>
  <c r="H77" i="6" s="1"/>
  <c r="F98" i="6"/>
  <c r="G98" i="6" s="1"/>
  <c r="F121" i="6"/>
  <c r="AC121" i="6" s="1"/>
  <c r="F144" i="6"/>
  <c r="G144" i="6" s="1"/>
  <c r="F171" i="6"/>
  <c r="AC171" i="6" s="1"/>
  <c r="F195" i="6"/>
  <c r="AC195" i="6" s="1"/>
  <c r="F217" i="6"/>
  <c r="AC217" i="6" s="1"/>
  <c r="F239" i="6"/>
  <c r="G239" i="6" s="1"/>
  <c r="F92" i="6"/>
  <c r="G92" i="6" s="1"/>
  <c r="F111" i="6"/>
  <c r="AC111" i="6" s="1"/>
  <c r="F137" i="6"/>
  <c r="G137" i="6" s="1"/>
  <c r="F162" i="6"/>
  <c r="AC162" i="6" s="1"/>
  <c r="F186" i="6"/>
  <c r="G186" i="6" s="1"/>
  <c r="F209" i="6"/>
  <c r="G209" i="6" s="1"/>
  <c r="F232" i="6"/>
  <c r="G232" i="6" s="1"/>
  <c r="F254" i="6"/>
  <c r="G254" i="6" s="1"/>
  <c r="F74" i="6"/>
  <c r="H74" i="6" s="1"/>
  <c r="F95" i="6"/>
  <c r="G95" i="6" s="1"/>
  <c r="F118" i="6"/>
  <c r="AC118" i="6" s="1"/>
  <c r="F143" i="6"/>
  <c r="G143" i="6" s="1"/>
  <c r="F170" i="6"/>
  <c r="H170" i="6" s="1"/>
  <c r="F192" i="6"/>
  <c r="G192" i="6" s="1"/>
  <c r="F214" i="6"/>
  <c r="AC214" i="6" s="1"/>
  <c r="F236" i="6"/>
  <c r="G236" i="6" s="1"/>
  <c r="F78" i="6"/>
  <c r="G78" i="6" s="1"/>
  <c r="F99" i="6"/>
  <c r="G99" i="6" s="1"/>
  <c r="F122" i="6"/>
  <c r="AC122" i="6" s="1"/>
  <c r="F145" i="6"/>
  <c r="H145" i="6" s="1"/>
  <c r="F172" i="6"/>
  <c r="H172" i="6" s="1"/>
  <c r="F196" i="6"/>
  <c r="H196" i="6" s="1"/>
  <c r="F218" i="6"/>
  <c r="H218" i="6" s="1"/>
  <c r="F240" i="6"/>
  <c r="H240" i="6" s="1"/>
  <c r="F87" i="6"/>
  <c r="AC87" i="6" s="1"/>
  <c r="F88" i="6"/>
  <c r="AC88" i="6" s="1"/>
  <c r="F113" i="6"/>
  <c r="G113" i="6" s="1"/>
  <c r="F138" i="6"/>
  <c r="AC138" i="6" s="1"/>
  <c r="F160" i="6"/>
  <c r="G160" i="6" s="1"/>
  <c r="F184" i="6"/>
  <c r="G184" i="6" s="1"/>
  <c r="F210" i="6"/>
  <c r="G210" i="6" s="1"/>
  <c r="F233" i="6"/>
  <c r="H233" i="6" s="1"/>
  <c r="F255" i="6"/>
  <c r="H255" i="6" s="1"/>
  <c r="F114" i="6"/>
  <c r="G114" i="6" s="1"/>
  <c r="F140" i="6"/>
  <c r="G140" i="6" s="1"/>
  <c r="F166" i="6"/>
  <c r="G166" i="6" s="1"/>
  <c r="F189" i="6"/>
  <c r="G189" i="6" s="1"/>
  <c r="F211" i="6"/>
  <c r="H211" i="6" s="1"/>
  <c r="F234" i="6"/>
  <c r="G234" i="6" s="1"/>
  <c r="F250" i="6"/>
  <c r="H250" i="6" s="1"/>
  <c r="F115" i="6"/>
  <c r="G115" i="6" s="1"/>
  <c r="K634" i="4"/>
  <c r="J634" i="4"/>
  <c r="X634" i="4" s="1"/>
  <c r="K574" i="4"/>
  <c r="J574" i="4"/>
  <c r="X574" i="4" s="1"/>
  <c r="K513" i="4"/>
  <c r="J513" i="4"/>
  <c r="X513" i="4" s="1"/>
  <c r="K454" i="4"/>
  <c r="J454" i="4"/>
  <c r="X454" i="4" s="1"/>
  <c r="K360" i="4"/>
  <c r="J360" i="4"/>
  <c r="X360" i="4" s="1"/>
  <c r="K336" i="4"/>
  <c r="J336" i="4"/>
  <c r="X336" i="4" s="1"/>
  <c r="K270" i="4"/>
  <c r="J270" i="4"/>
  <c r="X270" i="4" s="1"/>
  <c r="K216" i="4"/>
  <c r="J216" i="4"/>
  <c r="X216" i="4" s="1"/>
  <c r="K633" i="4"/>
  <c r="J633" i="4"/>
  <c r="X633" i="4" s="1"/>
  <c r="K573" i="4"/>
  <c r="J573" i="4"/>
  <c r="X573" i="4" s="1"/>
  <c r="K512" i="4"/>
  <c r="J512" i="4"/>
  <c r="X512" i="4" s="1"/>
  <c r="K453" i="4"/>
  <c r="J453" i="4"/>
  <c r="X453" i="4" s="1"/>
  <c r="K359" i="4"/>
  <c r="J359" i="4"/>
  <c r="X359" i="4" s="1"/>
  <c r="K335" i="4"/>
  <c r="J335" i="4"/>
  <c r="X335" i="4" s="1"/>
  <c r="K269" i="4"/>
  <c r="J269" i="4"/>
  <c r="X269" i="4" s="1"/>
  <c r="K215" i="4"/>
  <c r="J215" i="4"/>
  <c r="X215" i="4" s="1"/>
  <c r="K632" i="4"/>
  <c r="J632" i="4"/>
  <c r="X632" i="4" s="1"/>
  <c r="K572" i="4"/>
  <c r="J572" i="4"/>
  <c r="X572" i="4" s="1"/>
  <c r="K511" i="4"/>
  <c r="J511" i="4"/>
  <c r="X511" i="4" s="1"/>
  <c r="K452" i="4"/>
  <c r="J452" i="4"/>
  <c r="X452" i="4" s="1"/>
  <c r="K358" i="4"/>
  <c r="J358" i="4"/>
  <c r="X358" i="4" s="1"/>
  <c r="K334" i="4"/>
  <c r="J334" i="4"/>
  <c r="X334" i="4" s="1"/>
  <c r="K268" i="4"/>
  <c r="J268" i="4"/>
  <c r="X268" i="4" s="1"/>
  <c r="K214" i="4"/>
  <c r="J214" i="4"/>
  <c r="X214" i="4" s="1"/>
  <c r="K631" i="4"/>
  <c r="J631" i="4"/>
  <c r="X631" i="4" s="1"/>
  <c r="K571" i="4"/>
  <c r="J571" i="4"/>
  <c r="X571" i="4" s="1"/>
  <c r="K510" i="4"/>
  <c r="J510" i="4"/>
  <c r="X510" i="4" s="1"/>
  <c r="K451" i="4"/>
  <c r="J451" i="4"/>
  <c r="X451" i="4" s="1"/>
  <c r="K357" i="4"/>
  <c r="J357" i="4"/>
  <c r="X357" i="4" s="1"/>
  <c r="K333" i="4"/>
  <c r="J333" i="4"/>
  <c r="X333" i="4" s="1"/>
  <c r="K267" i="4"/>
  <c r="J267" i="4"/>
  <c r="X267" i="4" s="1"/>
  <c r="H634" i="4"/>
  <c r="G634" i="4"/>
  <c r="H574" i="4"/>
  <c r="G574" i="4"/>
  <c r="H513" i="4"/>
  <c r="G513" i="4"/>
  <c r="H454" i="4"/>
  <c r="G454" i="4"/>
  <c r="H336" i="4"/>
  <c r="G336" i="4"/>
  <c r="H270" i="4"/>
  <c r="G270" i="4"/>
  <c r="H216" i="4"/>
  <c r="G216" i="4"/>
  <c r="H633" i="4"/>
  <c r="G633" i="4"/>
  <c r="H573" i="4"/>
  <c r="G573" i="4"/>
  <c r="H512" i="4"/>
  <c r="G512" i="4"/>
  <c r="H453" i="4"/>
  <c r="G453" i="4"/>
  <c r="H335" i="4"/>
  <c r="G335" i="4"/>
  <c r="H269" i="4"/>
  <c r="G269" i="4"/>
  <c r="H215" i="4"/>
  <c r="G215" i="4"/>
  <c r="H632" i="4"/>
  <c r="G632" i="4"/>
  <c r="H572" i="4"/>
  <c r="G572" i="4"/>
  <c r="H511" i="4"/>
  <c r="G511" i="4"/>
  <c r="H452" i="4"/>
  <c r="G452" i="4"/>
  <c r="H334" i="4"/>
  <c r="G334" i="4"/>
  <c r="H268" i="4"/>
  <c r="G268" i="4"/>
  <c r="H214" i="4"/>
  <c r="G214" i="4"/>
  <c r="H631" i="4"/>
  <c r="G631" i="4"/>
  <c r="H571" i="4"/>
  <c r="G571" i="4"/>
  <c r="H510" i="4"/>
  <c r="G510" i="4"/>
  <c r="G277" i="4"/>
  <c r="G278" i="4"/>
  <c r="H277" i="4"/>
  <c r="H278" i="4"/>
  <c r="J277" i="4"/>
  <c r="X277" i="4" s="1"/>
  <c r="J278" i="4"/>
  <c r="X278" i="4" s="1"/>
  <c r="K277" i="4"/>
  <c r="K278" i="4"/>
  <c r="L277" i="4"/>
  <c r="L278" i="4"/>
  <c r="W277" i="4"/>
  <c r="W278" i="4"/>
  <c r="Y277" i="4"/>
  <c r="Y278" i="4"/>
  <c r="Z277" i="4"/>
  <c r="Z278" i="4"/>
  <c r="AF277" i="4"/>
  <c r="AF278" i="4"/>
  <c r="J115" i="6"/>
  <c r="Z115" i="6" s="1"/>
  <c r="K115" i="6"/>
  <c r="M115" i="6"/>
  <c r="N115" i="6"/>
  <c r="Y115" i="6"/>
  <c r="AA115" i="6"/>
  <c r="AD115" i="6"/>
  <c r="W24" i="1"/>
  <c r="AB115" i="6" s="1"/>
  <c r="G246" i="4"/>
  <c r="J361" i="4"/>
  <c r="X361" i="4" s="1"/>
  <c r="K361" i="4"/>
  <c r="J363" i="4"/>
  <c r="X363" i="4" s="1"/>
  <c r="K363" i="4"/>
  <c r="J457" i="4"/>
  <c r="X457" i="4" s="1"/>
  <c r="K457" i="4"/>
  <c r="J516" i="4"/>
  <c r="X516" i="4" s="1"/>
  <c r="K516" i="4"/>
  <c r="J577" i="4"/>
  <c r="X577" i="4" s="1"/>
  <c r="K577" i="4"/>
  <c r="J606" i="4"/>
  <c r="X606" i="4" s="1"/>
  <c r="K606" i="4"/>
  <c r="J276" i="4"/>
  <c r="X276" i="4" s="1"/>
  <c r="K276" i="4"/>
  <c r="J362" i="4"/>
  <c r="X362" i="4" s="1"/>
  <c r="K362" i="4"/>
  <c r="J364" i="4"/>
  <c r="X364" i="4" s="1"/>
  <c r="K364" i="4"/>
  <c r="J458" i="4"/>
  <c r="X458" i="4" s="1"/>
  <c r="K458" i="4"/>
  <c r="J517" i="4"/>
  <c r="X517" i="4" s="1"/>
  <c r="K517" i="4"/>
  <c r="J578" i="4"/>
  <c r="X578" i="4" s="1"/>
  <c r="K578" i="4"/>
  <c r="J607" i="4"/>
  <c r="X607" i="4" s="1"/>
  <c r="K607" i="4"/>
  <c r="J275" i="4"/>
  <c r="X275" i="4" s="1"/>
  <c r="K275" i="4"/>
  <c r="G458" i="4"/>
  <c r="G517" i="4"/>
  <c r="G578" i="4"/>
  <c r="G607" i="4"/>
  <c r="H458" i="4"/>
  <c r="H517" i="4"/>
  <c r="H578" i="4"/>
  <c r="H607" i="4"/>
  <c r="L364" i="4"/>
  <c r="L458" i="4"/>
  <c r="L517" i="4"/>
  <c r="L578" i="4"/>
  <c r="L607" i="4"/>
  <c r="W364" i="4"/>
  <c r="W458" i="4"/>
  <c r="W517" i="4"/>
  <c r="W578" i="4"/>
  <c r="W607" i="4"/>
  <c r="Y364" i="4"/>
  <c r="Y458" i="4"/>
  <c r="Y517" i="4"/>
  <c r="Y578" i="4"/>
  <c r="Y607" i="4"/>
  <c r="Z364" i="4"/>
  <c r="Z458" i="4"/>
  <c r="Z517" i="4"/>
  <c r="Z578" i="4"/>
  <c r="Z607" i="4"/>
  <c r="AB458" i="4"/>
  <c r="AB517" i="4"/>
  <c r="AB578" i="4"/>
  <c r="AB607" i="4"/>
  <c r="AF364" i="4"/>
  <c r="AF458" i="4"/>
  <c r="AF517" i="4"/>
  <c r="AF578" i="4"/>
  <c r="AF607" i="4"/>
  <c r="G275" i="4"/>
  <c r="G361" i="4"/>
  <c r="G457" i="4"/>
  <c r="G516" i="4"/>
  <c r="G577" i="4"/>
  <c r="G606" i="4"/>
  <c r="G276" i="4"/>
  <c r="G362" i="4"/>
  <c r="H275" i="4"/>
  <c r="H361" i="4"/>
  <c r="H457" i="4"/>
  <c r="H516" i="4"/>
  <c r="H577" i="4"/>
  <c r="H606" i="4"/>
  <c r="H276" i="4"/>
  <c r="H362" i="4"/>
  <c r="L275" i="4"/>
  <c r="L361" i="4"/>
  <c r="L363" i="4"/>
  <c r="L457" i="4"/>
  <c r="L516" i="4"/>
  <c r="L577" i="4"/>
  <c r="L606" i="4"/>
  <c r="L276" i="4"/>
  <c r="L362" i="4"/>
  <c r="W275" i="4"/>
  <c r="W361" i="4"/>
  <c r="W363" i="4"/>
  <c r="W457" i="4"/>
  <c r="W516" i="4"/>
  <c r="W577" i="4"/>
  <c r="W606" i="4"/>
  <c r="W276" i="4"/>
  <c r="W362" i="4"/>
  <c r="Y275" i="4"/>
  <c r="Y361" i="4"/>
  <c r="Y363" i="4"/>
  <c r="Y457" i="4"/>
  <c r="Y516" i="4"/>
  <c r="Y577" i="4"/>
  <c r="Y606" i="4"/>
  <c r="Y276" i="4"/>
  <c r="Y362" i="4"/>
  <c r="Z275" i="4"/>
  <c r="Z361" i="4"/>
  <c r="Z363" i="4"/>
  <c r="Z457" i="4"/>
  <c r="Z516" i="4"/>
  <c r="Z577" i="4"/>
  <c r="Z606" i="4"/>
  <c r="Z276" i="4"/>
  <c r="Z362" i="4"/>
  <c r="AB457" i="4"/>
  <c r="AB516" i="4"/>
  <c r="AB577" i="4"/>
  <c r="AB606" i="4"/>
  <c r="AF275" i="4"/>
  <c r="AF361" i="4"/>
  <c r="AF363" i="4"/>
  <c r="AF457" i="4"/>
  <c r="AF516" i="4"/>
  <c r="AF577" i="4"/>
  <c r="AF606" i="4"/>
  <c r="AF276" i="4"/>
  <c r="AF362" i="4"/>
  <c r="J140" i="6"/>
  <c r="Z140" i="6" s="1"/>
  <c r="J166" i="6"/>
  <c r="Z166" i="6" s="1"/>
  <c r="J189" i="6"/>
  <c r="Z189" i="6" s="1"/>
  <c r="J211" i="6"/>
  <c r="Z211" i="6" s="1"/>
  <c r="J234" i="6"/>
  <c r="Z234" i="6" s="1"/>
  <c r="J250" i="6"/>
  <c r="Z250" i="6" s="1"/>
  <c r="J114" i="6"/>
  <c r="Z114" i="6" s="1"/>
  <c r="K114" i="6"/>
  <c r="K140" i="6"/>
  <c r="K166" i="6"/>
  <c r="K189" i="6"/>
  <c r="K211" i="6"/>
  <c r="K234" i="6"/>
  <c r="K250" i="6"/>
  <c r="M114" i="6"/>
  <c r="M140" i="6"/>
  <c r="M166" i="6"/>
  <c r="M189" i="6"/>
  <c r="M211" i="6"/>
  <c r="M234" i="6"/>
  <c r="M250" i="6"/>
  <c r="N114" i="6"/>
  <c r="N140" i="6"/>
  <c r="N166" i="6"/>
  <c r="N189" i="6"/>
  <c r="N211" i="6"/>
  <c r="N234" i="6"/>
  <c r="N250" i="6"/>
  <c r="Y114" i="6"/>
  <c r="Y140" i="6"/>
  <c r="Y166" i="6"/>
  <c r="Y189" i="6"/>
  <c r="Y211" i="6"/>
  <c r="Y234" i="6"/>
  <c r="Y250" i="6"/>
  <c r="AA114" i="6"/>
  <c r="AA140" i="6"/>
  <c r="AA166" i="6"/>
  <c r="AA189" i="6"/>
  <c r="AA211" i="6"/>
  <c r="AA234" i="6"/>
  <c r="AA250" i="6"/>
  <c r="AD114" i="6"/>
  <c r="AD140" i="6"/>
  <c r="AD166" i="6"/>
  <c r="AD189" i="6"/>
  <c r="AD211" i="6"/>
  <c r="AD234" i="6"/>
  <c r="AD250" i="6"/>
  <c r="G455" i="4"/>
  <c r="G514" i="4"/>
  <c r="G575" i="4"/>
  <c r="G635" i="4"/>
  <c r="G274" i="4"/>
  <c r="G285" i="4"/>
  <c r="G456" i="4"/>
  <c r="G515" i="4"/>
  <c r="G576" i="4"/>
  <c r="G605" i="4"/>
  <c r="H455" i="4"/>
  <c r="H514" i="4"/>
  <c r="H575" i="4"/>
  <c r="H635" i="4"/>
  <c r="H274" i="4"/>
  <c r="H285" i="4"/>
  <c r="H456" i="4"/>
  <c r="H515" i="4"/>
  <c r="H576" i="4"/>
  <c r="H605" i="4"/>
  <c r="J286" i="4"/>
  <c r="X286" i="4" s="1"/>
  <c r="J455" i="4"/>
  <c r="X455" i="4" s="1"/>
  <c r="J514" i="4"/>
  <c r="X514" i="4" s="1"/>
  <c r="J575" i="4"/>
  <c r="X575" i="4" s="1"/>
  <c r="J635" i="4"/>
  <c r="X635" i="4" s="1"/>
  <c r="J274" i="4"/>
  <c r="X274" i="4" s="1"/>
  <c r="J285" i="4"/>
  <c r="X285" i="4" s="1"/>
  <c r="J287" i="4"/>
  <c r="X287" i="4" s="1"/>
  <c r="J456" i="4"/>
  <c r="X456" i="4" s="1"/>
  <c r="J515" i="4"/>
  <c r="X515" i="4" s="1"/>
  <c r="J576" i="4"/>
  <c r="X576" i="4" s="1"/>
  <c r="J605" i="4"/>
  <c r="X605" i="4" s="1"/>
  <c r="K286" i="4"/>
  <c r="K455" i="4"/>
  <c r="K514" i="4"/>
  <c r="K575" i="4"/>
  <c r="K635" i="4"/>
  <c r="K274" i="4"/>
  <c r="K285" i="4"/>
  <c r="K287" i="4"/>
  <c r="K456" i="4"/>
  <c r="K515" i="4"/>
  <c r="K576" i="4"/>
  <c r="K605" i="4"/>
  <c r="L286" i="4"/>
  <c r="L455" i="4"/>
  <c r="L514" i="4"/>
  <c r="L575" i="4"/>
  <c r="L635" i="4"/>
  <c r="L274" i="4"/>
  <c r="L285" i="4"/>
  <c r="L287" i="4"/>
  <c r="L456" i="4"/>
  <c r="L515" i="4"/>
  <c r="L576" i="4"/>
  <c r="L605" i="4"/>
  <c r="W286" i="4"/>
  <c r="W455" i="4"/>
  <c r="W514" i="4"/>
  <c r="W575" i="4"/>
  <c r="W635" i="4"/>
  <c r="W274" i="4"/>
  <c r="W285" i="4"/>
  <c r="W287" i="4"/>
  <c r="W456" i="4"/>
  <c r="W515" i="4"/>
  <c r="W576" i="4"/>
  <c r="W605" i="4"/>
  <c r="Y286" i="4"/>
  <c r="Y455" i="4"/>
  <c r="Y514" i="4"/>
  <c r="Y575" i="4"/>
  <c r="Y635" i="4"/>
  <c r="Y274" i="4"/>
  <c r="Y285" i="4"/>
  <c r="Y287" i="4"/>
  <c r="Y456" i="4"/>
  <c r="Y515" i="4"/>
  <c r="Y576" i="4"/>
  <c r="Y605" i="4"/>
  <c r="Z286" i="4"/>
  <c r="Z455" i="4"/>
  <c r="Z514" i="4"/>
  <c r="Z575" i="4"/>
  <c r="Z635" i="4"/>
  <c r="Z274" i="4"/>
  <c r="Z285" i="4"/>
  <c r="Z287" i="4"/>
  <c r="Z456" i="4"/>
  <c r="Z515" i="4"/>
  <c r="Z576" i="4"/>
  <c r="Z605" i="4"/>
  <c r="AB455" i="4"/>
  <c r="AB514" i="4"/>
  <c r="AB575" i="4"/>
  <c r="AB635" i="4"/>
  <c r="AB456" i="4"/>
  <c r="AB515" i="4"/>
  <c r="AB576" i="4"/>
  <c r="AB605" i="4"/>
  <c r="AF286" i="4"/>
  <c r="AF455" i="4"/>
  <c r="AF514" i="4"/>
  <c r="AF575" i="4"/>
  <c r="AF635" i="4"/>
  <c r="AF274" i="4"/>
  <c r="AF285" i="4"/>
  <c r="AF287" i="4"/>
  <c r="AF456" i="4"/>
  <c r="AF515" i="4"/>
  <c r="AF576" i="4"/>
  <c r="AF605" i="4"/>
  <c r="G284" i="4"/>
  <c r="H284" i="4"/>
  <c r="J284" i="4"/>
  <c r="X284" i="4" s="1"/>
  <c r="K284" i="4"/>
  <c r="L284" i="4"/>
  <c r="W284" i="4"/>
  <c r="Y284" i="4"/>
  <c r="Z284" i="4"/>
  <c r="AF284" i="4"/>
  <c r="G273" i="4"/>
  <c r="H273" i="4"/>
  <c r="J273" i="4"/>
  <c r="X273" i="4" s="1"/>
  <c r="K273" i="4"/>
  <c r="L273" i="4"/>
  <c r="W273" i="4"/>
  <c r="Y273" i="4"/>
  <c r="Z273" i="4"/>
  <c r="AF273" i="4"/>
  <c r="J138" i="6"/>
  <c r="Z138" i="6" s="1"/>
  <c r="J160" i="6"/>
  <c r="Z160" i="6" s="1"/>
  <c r="J184" i="6"/>
  <c r="Z184" i="6" s="1"/>
  <c r="J210" i="6"/>
  <c r="Z210" i="6" s="1"/>
  <c r="J233" i="6"/>
  <c r="Z233" i="6" s="1"/>
  <c r="J255" i="6"/>
  <c r="Z255" i="6" s="1"/>
  <c r="K138" i="6"/>
  <c r="K160" i="6"/>
  <c r="K184" i="6"/>
  <c r="K210" i="6"/>
  <c r="K233" i="6"/>
  <c r="K255" i="6"/>
  <c r="M138" i="6"/>
  <c r="M160" i="6"/>
  <c r="M184" i="6"/>
  <c r="M210" i="6"/>
  <c r="M233" i="6"/>
  <c r="M255" i="6"/>
  <c r="N138" i="6"/>
  <c r="N160" i="6"/>
  <c r="N184" i="6"/>
  <c r="N210" i="6"/>
  <c r="N233" i="6"/>
  <c r="N255" i="6"/>
  <c r="Y138" i="6"/>
  <c r="Y160" i="6"/>
  <c r="Y184" i="6"/>
  <c r="Y210" i="6"/>
  <c r="Y233" i="6"/>
  <c r="Y255" i="6"/>
  <c r="AA138" i="6"/>
  <c r="AA160" i="6"/>
  <c r="AA184" i="6"/>
  <c r="AA210" i="6"/>
  <c r="AA233" i="6"/>
  <c r="AA255" i="6"/>
  <c r="AD138" i="6"/>
  <c r="AD160" i="6"/>
  <c r="AD184" i="6"/>
  <c r="AD210" i="6"/>
  <c r="AD233" i="6"/>
  <c r="AD255" i="6"/>
  <c r="J113" i="6"/>
  <c r="Z113" i="6" s="1"/>
  <c r="K113" i="6"/>
  <c r="M113" i="6"/>
  <c r="N113" i="6"/>
  <c r="Y113" i="6"/>
  <c r="AA113" i="6"/>
  <c r="AD113" i="6"/>
  <c r="W23" i="1"/>
  <c r="AA363" i="4" s="1"/>
  <c r="W22" i="1"/>
  <c r="AA285" i="4" s="1"/>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9" i="6"/>
  <c r="AA60" i="6"/>
  <c r="AA61" i="6"/>
  <c r="AA62" i="6"/>
  <c r="AA63" i="6"/>
  <c r="AA64" i="6"/>
  <c r="AA65" i="6"/>
  <c r="AA58" i="6"/>
  <c r="AA66" i="6"/>
  <c r="AA67" i="6"/>
  <c r="AA68" i="6"/>
  <c r="AA69" i="6"/>
  <c r="AA70" i="6"/>
  <c r="AA71" i="6"/>
  <c r="AA72" i="6"/>
  <c r="AA73" i="6"/>
  <c r="AA74" i="6"/>
  <c r="AA75" i="6"/>
  <c r="AA77" i="6"/>
  <c r="AA78" i="6"/>
  <c r="AA79" i="6"/>
  <c r="AA80" i="6"/>
  <c r="AA81" i="6"/>
  <c r="AA82" i="6"/>
  <c r="AA83" i="6"/>
  <c r="AA84" i="6"/>
  <c r="AA76" i="6"/>
  <c r="AA85" i="6"/>
  <c r="AA86" i="6"/>
  <c r="AA87" i="6"/>
  <c r="AA88" i="6"/>
  <c r="AA89" i="6"/>
  <c r="AA90" i="6"/>
  <c r="AA91" i="6"/>
  <c r="AA92" i="6"/>
  <c r="AA93" i="6"/>
  <c r="AA94" i="6"/>
  <c r="AA95" i="6"/>
  <c r="AA96" i="6"/>
  <c r="AA98" i="6"/>
  <c r="AA99" i="6"/>
  <c r="AA100" i="6"/>
  <c r="AA101" i="6"/>
  <c r="AA102" i="6"/>
  <c r="AA103" i="6"/>
  <c r="AA104" i="6"/>
  <c r="AA105" i="6"/>
  <c r="AA97" i="6"/>
  <c r="AA106" i="6"/>
  <c r="AA107" i="6"/>
  <c r="AA108" i="6"/>
  <c r="AA109" i="6"/>
  <c r="AA110" i="6"/>
  <c r="AA111" i="6"/>
  <c r="AA112" i="6"/>
  <c r="AA116" i="6"/>
  <c r="AA117" i="6"/>
  <c r="AA118" i="6"/>
  <c r="AA119" i="6"/>
  <c r="AA121" i="6"/>
  <c r="AA122" i="6"/>
  <c r="AA125" i="6"/>
  <c r="AA126" i="6"/>
  <c r="AA127" i="6"/>
  <c r="AA128" i="6"/>
  <c r="AA129" i="6"/>
  <c r="AA130" i="6"/>
  <c r="AA120" i="6"/>
  <c r="AA131" i="6"/>
  <c r="AA132" i="6"/>
  <c r="AA134" i="6"/>
  <c r="AA135" i="6"/>
  <c r="AA136" i="6"/>
  <c r="AA137" i="6"/>
  <c r="AA142" i="6"/>
  <c r="AA143" i="6"/>
  <c r="AA146" i="6"/>
  <c r="AA144" i="6"/>
  <c r="AA145" i="6"/>
  <c r="AA156" i="6"/>
  <c r="AA152" i="6"/>
  <c r="AA158" i="6"/>
  <c r="AA153" i="6"/>
  <c r="AA151" i="6"/>
  <c r="AA159" i="6"/>
  <c r="AA147" i="6"/>
  <c r="AA150" i="6"/>
  <c r="AA149" i="6"/>
  <c r="AA164" i="6"/>
  <c r="AA165" i="6"/>
  <c r="AA161" i="6"/>
  <c r="AA162" i="6"/>
  <c r="AA167" i="6"/>
  <c r="AA169" i="6"/>
  <c r="AA170" i="6"/>
  <c r="AA173" i="6"/>
  <c r="AA171" i="6"/>
  <c r="AA172" i="6"/>
  <c r="AA181" i="6"/>
  <c r="AA179" i="6"/>
  <c r="AA182" i="6"/>
  <c r="AA180" i="6"/>
  <c r="AA178" i="6"/>
  <c r="AA183" i="6"/>
  <c r="AA174" i="6"/>
  <c r="AA177" i="6"/>
  <c r="AA176" i="6"/>
  <c r="AA187" i="6"/>
  <c r="AA188" i="6"/>
  <c r="AA185" i="6"/>
  <c r="AA186" i="6"/>
  <c r="AA191" i="6"/>
  <c r="AA192" i="6"/>
  <c r="AA193" i="6"/>
  <c r="AA195" i="6"/>
  <c r="AA196" i="6"/>
  <c r="AA198" i="6"/>
  <c r="AA199" i="6"/>
  <c r="AA200" i="6"/>
  <c r="AA201" i="6"/>
  <c r="AA202" i="6"/>
  <c r="AA203" i="6"/>
  <c r="AA194" i="6"/>
  <c r="AA204" i="6"/>
  <c r="AA205" i="6"/>
  <c r="AA206" i="6"/>
  <c r="AA207" i="6"/>
  <c r="AA208" i="6"/>
  <c r="AA209" i="6"/>
  <c r="AA213" i="6"/>
  <c r="AA214" i="6"/>
  <c r="AA215" i="6"/>
  <c r="AA217" i="6"/>
  <c r="AA218" i="6"/>
  <c r="AA220" i="6"/>
  <c r="AA221" i="6"/>
  <c r="AA222" i="6"/>
  <c r="AA223" i="6"/>
  <c r="AA224" i="6"/>
  <c r="AA225" i="6"/>
  <c r="AA216" i="6"/>
  <c r="AA226" i="6"/>
  <c r="AA227" i="6"/>
  <c r="AA229" i="6"/>
  <c r="AA230" i="6"/>
  <c r="AA231" i="6"/>
  <c r="AA232" i="6"/>
  <c r="AA235" i="6"/>
  <c r="AA236" i="6"/>
  <c r="AA237" i="6"/>
  <c r="AA239" i="6"/>
  <c r="AA240" i="6"/>
  <c r="AA242" i="6"/>
  <c r="AA243" i="6"/>
  <c r="AA244" i="6"/>
  <c r="AA245" i="6"/>
  <c r="AA246" i="6"/>
  <c r="AA247" i="6"/>
  <c r="AA238" i="6"/>
  <c r="AA248" i="6"/>
  <c r="AA249" i="6"/>
  <c r="AA251" i="6"/>
  <c r="AA252" i="6"/>
  <c r="AA253" i="6"/>
  <c r="AA254" i="6"/>
  <c r="AF175" i="4"/>
  <c r="Z175" i="4"/>
  <c r="Y175" i="4"/>
  <c r="W175" i="4"/>
  <c r="L175" i="4"/>
  <c r="K175" i="4"/>
  <c r="J175" i="4"/>
  <c r="X175" i="4" s="1"/>
  <c r="H175" i="4"/>
  <c r="G175" i="4"/>
  <c r="AF174" i="4"/>
  <c r="Z174" i="4"/>
  <c r="Y174" i="4"/>
  <c r="W174" i="4"/>
  <c r="L174" i="4"/>
  <c r="K174" i="4"/>
  <c r="J174" i="4"/>
  <c r="X174" i="4" s="1"/>
  <c r="H174" i="4"/>
  <c r="G174" i="4"/>
  <c r="AD88" i="6"/>
  <c r="Y88" i="6"/>
  <c r="N88" i="6"/>
  <c r="M88" i="6"/>
  <c r="K88" i="6"/>
  <c r="J88" i="6"/>
  <c r="Z88" i="6" s="1"/>
  <c r="AD87" i="6"/>
  <c r="Y87" i="6"/>
  <c r="N87" i="6"/>
  <c r="M87" i="6"/>
  <c r="K87" i="6"/>
  <c r="J87" i="6"/>
  <c r="Z87" i="6" s="1"/>
  <c r="L190" i="4"/>
  <c r="L244" i="4"/>
  <c r="L281" i="4"/>
  <c r="L283" i="4"/>
  <c r="L427" i="4"/>
  <c r="L486" i="4"/>
  <c r="L545" i="4"/>
  <c r="L604" i="4"/>
  <c r="W190" i="4"/>
  <c r="W244" i="4"/>
  <c r="W281" i="4"/>
  <c r="W283" i="4"/>
  <c r="W427" i="4"/>
  <c r="W486" i="4"/>
  <c r="W545" i="4"/>
  <c r="W604" i="4"/>
  <c r="Y190" i="4"/>
  <c r="Y244" i="4"/>
  <c r="Y281" i="4"/>
  <c r="Y283" i="4"/>
  <c r="Y427" i="4"/>
  <c r="Y486" i="4"/>
  <c r="Y545" i="4"/>
  <c r="Y604" i="4"/>
  <c r="Z190" i="4"/>
  <c r="Z244" i="4"/>
  <c r="Z281" i="4"/>
  <c r="Z283" i="4"/>
  <c r="Z427" i="4"/>
  <c r="Z486" i="4"/>
  <c r="Z545" i="4"/>
  <c r="Z604" i="4"/>
  <c r="AB486" i="4"/>
  <c r="AB545" i="4"/>
  <c r="AB604" i="4"/>
  <c r="AF190" i="4"/>
  <c r="AF244" i="4"/>
  <c r="AF281" i="4"/>
  <c r="AF283" i="4"/>
  <c r="AF427" i="4"/>
  <c r="AF486" i="4"/>
  <c r="AF545" i="4"/>
  <c r="AF604" i="4"/>
  <c r="K604" i="4"/>
  <c r="J604" i="4"/>
  <c r="X604" i="4" s="1"/>
  <c r="H604" i="4"/>
  <c r="G604" i="4"/>
  <c r="K545" i="4"/>
  <c r="J545" i="4"/>
  <c r="X545" i="4" s="1"/>
  <c r="H545" i="4"/>
  <c r="G545" i="4"/>
  <c r="K486" i="4"/>
  <c r="J486" i="4"/>
  <c r="X486" i="4" s="1"/>
  <c r="H486" i="4"/>
  <c r="G486" i="4"/>
  <c r="K427" i="4"/>
  <c r="J427" i="4"/>
  <c r="X427" i="4" s="1"/>
  <c r="H427" i="4"/>
  <c r="G427" i="4"/>
  <c r="K283" i="4"/>
  <c r="J283" i="4"/>
  <c r="X283" i="4" s="1"/>
  <c r="K281" i="4"/>
  <c r="J281" i="4"/>
  <c r="X281" i="4" s="1"/>
  <c r="H281" i="4"/>
  <c r="G281" i="4"/>
  <c r="K244" i="4"/>
  <c r="J244" i="4"/>
  <c r="X244" i="4" s="1"/>
  <c r="H244" i="4"/>
  <c r="G244" i="4"/>
  <c r="K190" i="4"/>
  <c r="J190" i="4"/>
  <c r="X190" i="4" s="1"/>
  <c r="H190" i="4"/>
  <c r="G190" i="4"/>
  <c r="J78" i="6"/>
  <c r="Z78" i="6" s="1"/>
  <c r="J99" i="6"/>
  <c r="Z99" i="6" s="1"/>
  <c r="J122" i="6"/>
  <c r="Z122" i="6" s="1"/>
  <c r="J145" i="6"/>
  <c r="Z145" i="6" s="1"/>
  <c r="J172" i="6"/>
  <c r="Z172" i="6" s="1"/>
  <c r="J196" i="6"/>
  <c r="Z196" i="6" s="1"/>
  <c r="J218" i="6"/>
  <c r="Z218" i="6" s="1"/>
  <c r="J240" i="6"/>
  <c r="Z240" i="6" s="1"/>
  <c r="K99" i="6"/>
  <c r="K122" i="6"/>
  <c r="K145" i="6"/>
  <c r="K172" i="6"/>
  <c r="K196" i="6"/>
  <c r="K218" i="6"/>
  <c r="K240" i="6"/>
  <c r="M99" i="6"/>
  <c r="M122" i="6"/>
  <c r="M145" i="6"/>
  <c r="M172" i="6"/>
  <c r="M196" i="6"/>
  <c r="M218" i="6"/>
  <c r="M240" i="6"/>
  <c r="N99" i="6"/>
  <c r="N122" i="6"/>
  <c r="N145" i="6"/>
  <c r="N172" i="6"/>
  <c r="N196" i="6"/>
  <c r="N218" i="6"/>
  <c r="N240" i="6"/>
  <c r="Y99" i="6"/>
  <c r="Y122" i="6"/>
  <c r="Y145" i="6"/>
  <c r="Y172" i="6"/>
  <c r="Y196" i="6"/>
  <c r="Y218" i="6"/>
  <c r="Y240" i="6"/>
  <c r="AD99" i="6"/>
  <c r="AD122" i="6"/>
  <c r="AD145" i="6"/>
  <c r="AD172" i="6"/>
  <c r="AD196" i="6"/>
  <c r="AD218" i="6"/>
  <c r="AD240" i="6"/>
  <c r="K78" i="6"/>
  <c r="M78" i="6"/>
  <c r="N78" i="6"/>
  <c r="Y78" i="6"/>
  <c r="AD78" i="6"/>
  <c r="G589" i="4"/>
  <c r="H589" i="4"/>
  <c r="J589" i="4"/>
  <c r="X589" i="4" s="1"/>
  <c r="L589" i="4"/>
  <c r="W589" i="4"/>
  <c r="Y589" i="4"/>
  <c r="Z589" i="4"/>
  <c r="AB589" i="4"/>
  <c r="AF589" i="4"/>
  <c r="G530" i="4"/>
  <c r="H530" i="4"/>
  <c r="J530" i="4"/>
  <c r="X530" i="4" s="1"/>
  <c r="L530" i="4"/>
  <c r="W530" i="4"/>
  <c r="Y530" i="4"/>
  <c r="Z530" i="4"/>
  <c r="AB530" i="4"/>
  <c r="AF530" i="4"/>
  <c r="G471" i="4"/>
  <c r="H471" i="4"/>
  <c r="J471" i="4"/>
  <c r="X471" i="4" s="1"/>
  <c r="L471" i="4"/>
  <c r="W471" i="4"/>
  <c r="Y471" i="4"/>
  <c r="Z471" i="4"/>
  <c r="AB471" i="4"/>
  <c r="AF471" i="4"/>
  <c r="G412" i="4"/>
  <c r="H412" i="4"/>
  <c r="J412" i="4"/>
  <c r="X412" i="4" s="1"/>
  <c r="L412" i="4"/>
  <c r="W412" i="4"/>
  <c r="Y412" i="4"/>
  <c r="Z412" i="4"/>
  <c r="AF412" i="4"/>
  <c r="J297" i="4"/>
  <c r="X297" i="4" s="1"/>
  <c r="L297" i="4"/>
  <c r="W297" i="4"/>
  <c r="Y297" i="4"/>
  <c r="Z297" i="4"/>
  <c r="AF297" i="4"/>
  <c r="G296" i="4"/>
  <c r="H296" i="4"/>
  <c r="J296" i="4"/>
  <c r="X296" i="4" s="1"/>
  <c r="L296" i="4"/>
  <c r="W296" i="4"/>
  <c r="Y296" i="4"/>
  <c r="Z296" i="4"/>
  <c r="AF296" i="4"/>
  <c r="G229" i="4"/>
  <c r="H229" i="4"/>
  <c r="J229" i="4"/>
  <c r="X229" i="4" s="1"/>
  <c r="L229" i="4"/>
  <c r="W229" i="4"/>
  <c r="Y229" i="4"/>
  <c r="Z229" i="4"/>
  <c r="AF229" i="4"/>
  <c r="G173" i="4"/>
  <c r="H173" i="4"/>
  <c r="J173" i="4"/>
  <c r="X173" i="4" s="1"/>
  <c r="L173" i="4"/>
  <c r="W173" i="4"/>
  <c r="Y173" i="4"/>
  <c r="Z173" i="4"/>
  <c r="AF173" i="4"/>
  <c r="W21" i="1"/>
  <c r="AB172" i="6" s="1"/>
  <c r="W634" i="4"/>
  <c r="Y634" i="4"/>
  <c r="Z634" i="4"/>
  <c r="AF634" i="4"/>
  <c r="W574" i="4"/>
  <c r="Y574" i="4"/>
  <c r="Z574" i="4"/>
  <c r="AF574" i="4"/>
  <c r="W513" i="4"/>
  <c r="Y513" i="4"/>
  <c r="Z513" i="4"/>
  <c r="AF513" i="4"/>
  <c r="W454" i="4"/>
  <c r="Y454" i="4"/>
  <c r="Z454" i="4"/>
  <c r="AF454" i="4"/>
  <c r="W360" i="4"/>
  <c r="Y360" i="4"/>
  <c r="Z360" i="4"/>
  <c r="AF360" i="4"/>
  <c r="W336" i="4"/>
  <c r="Y336" i="4"/>
  <c r="Z336" i="4"/>
  <c r="AF336" i="4"/>
  <c r="W270" i="4"/>
  <c r="Y270" i="4"/>
  <c r="Z270" i="4"/>
  <c r="AF270" i="4"/>
  <c r="W216" i="4"/>
  <c r="Y216" i="4"/>
  <c r="Z216" i="4"/>
  <c r="AF216" i="4"/>
  <c r="W633" i="4"/>
  <c r="Y633" i="4"/>
  <c r="Z633" i="4"/>
  <c r="AF633" i="4"/>
  <c r="W573" i="4"/>
  <c r="Y573" i="4"/>
  <c r="Z573" i="4"/>
  <c r="AF573" i="4"/>
  <c r="W512" i="4"/>
  <c r="Y512" i="4"/>
  <c r="Z512" i="4"/>
  <c r="AF512" i="4"/>
  <c r="W453" i="4"/>
  <c r="Y453" i="4"/>
  <c r="Z453" i="4"/>
  <c r="AF453" i="4"/>
  <c r="W359" i="4"/>
  <c r="Y359" i="4"/>
  <c r="Z359" i="4"/>
  <c r="AF359" i="4"/>
  <c r="W335" i="4"/>
  <c r="Y335" i="4"/>
  <c r="Z335" i="4"/>
  <c r="AF335" i="4"/>
  <c r="W269" i="4"/>
  <c r="Y269" i="4"/>
  <c r="Z269" i="4"/>
  <c r="AF269" i="4"/>
  <c r="W215" i="4"/>
  <c r="Y215" i="4"/>
  <c r="Z215" i="4"/>
  <c r="AF215" i="4"/>
  <c r="W632" i="4"/>
  <c r="Y632" i="4"/>
  <c r="Z632" i="4"/>
  <c r="AF632" i="4"/>
  <c r="W572" i="4"/>
  <c r="Y572" i="4"/>
  <c r="Z572" i="4"/>
  <c r="AF572" i="4"/>
  <c r="W511" i="4"/>
  <c r="Y511" i="4"/>
  <c r="Z511" i="4"/>
  <c r="AF511" i="4"/>
  <c r="W452" i="4"/>
  <c r="Y452" i="4"/>
  <c r="Z452" i="4"/>
  <c r="AF452" i="4"/>
  <c r="W358" i="4"/>
  <c r="Y358" i="4"/>
  <c r="Z358" i="4"/>
  <c r="AF358" i="4"/>
  <c r="W334" i="4"/>
  <c r="Y334" i="4"/>
  <c r="Z334" i="4"/>
  <c r="AF334" i="4"/>
  <c r="W268" i="4"/>
  <c r="Y268" i="4"/>
  <c r="Z268" i="4"/>
  <c r="AF268" i="4"/>
  <c r="W214" i="4"/>
  <c r="Y214" i="4"/>
  <c r="Z214" i="4"/>
  <c r="AF214" i="4"/>
  <c r="W582" i="4"/>
  <c r="X582" i="4"/>
  <c r="Y582" i="4"/>
  <c r="Z582" i="4"/>
  <c r="AF582" i="4"/>
  <c r="W523" i="4"/>
  <c r="X523" i="4"/>
  <c r="Y523" i="4"/>
  <c r="Z523" i="4"/>
  <c r="AF523" i="4"/>
  <c r="W464" i="4"/>
  <c r="X464" i="4"/>
  <c r="Y464" i="4"/>
  <c r="Z464" i="4"/>
  <c r="AF464" i="4"/>
  <c r="W405" i="4"/>
  <c r="X405" i="4"/>
  <c r="Y405" i="4"/>
  <c r="Z405" i="4"/>
  <c r="AF405" i="4"/>
  <c r="W295" i="4"/>
  <c r="Y295" i="4"/>
  <c r="Z295" i="4"/>
  <c r="AF295" i="4"/>
  <c r="W291" i="4"/>
  <c r="X291" i="4"/>
  <c r="Y291" i="4"/>
  <c r="Z291" i="4"/>
  <c r="AF291" i="4"/>
  <c r="W222" i="4"/>
  <c r="X222" i="4"/>
  <c r="Y222" i="4"/>
  <c r="Z222" i="4"/>
  <c r="AF222" i="4"/>
  <c r="W165" i="4"/>
  <c r="X165" i="4"/>
  <c r="Y165" i="4"/>
  <c r="Z165" i="4"/>
  <c r="AF165" i="4"/>
  <c r="J221" i="4"/>
  <c r="X221" i="4" s="1"/>
  <c r="K221" i="4"/>
  <c r="J290" i="4"/>
  <c r="X290" i="4" s="1"/>
  <c r="K290" i="4"/>
  <c r="K294" i="4"/>
  <c r="J404" i="4"/>
  <c r="X404" i="4" s="1"/>
  <c r="K404" i="4"/>
  <c r="J463" i="4"/>
  <c r="X463" i="4" s="1"/>
  <c r="K463" i="4"/>
  <c r="J522" i="4"/>
  <c r="X522" i="4" s="1"/>
  <c r="K522" i="4"/>
  <c r="J581" i="4"/>
  <c r="X581" i="4" s="1"/>
  <c r="K581" i="4"/>
  <c r="G213" i="4"/>
  <c r="G267" i="4"/>
  <c r="G333" i="4"/>
  <c r="G451" i="4"/>
  <c r="G164" i="4"/>
  <c r="G221" i="4"/>
  <c r="G290" i="4"/>
  <c r="G404" i="4"/>
  <c r="G463" i="4"/>
  <c r="G522" i="4"/>
  <c r="G581" i="4"/>
  <c r="H213" i="4"/>
  <c r="H267" i="4"/>
  <c r="H333" i="4"/>
  <c r="H451" i="4"/>
  <c r="H164" i="4"/>
  <c r="H221" i="4"/>
  <c r="H290" i="4"/>
  <c r="H404" i="4"/>
  <c r="H463" i="4"/>
  <c r="H522" i="4"/>
  <c r="H581" i="4"/>
  <c r="J213" i="4"/>
  <c r="X213" i="4" s="1"/>
  <c r="J164" i="4"/>
  <c r="X164" i="4" s="1"/>
  <c r="K213" i="4"/>
  <c r="K164" i="4"/>
  <c r="L213" i="4"/>
  <c r="L267" i="4"/>
  <c r="L333" i="4"/>
  <c r="L357" i="4"/>
  <c r="L451" i="4"/>
  <c r="L510" i="4"/>
  <c r="L571" i="4"/>
  <c r="L631" i="4"/>
  <c r="L164" i="4"/>
  <c r="L221" i="4"/>
  <c r="L290" i="4"/>
  <c r="L294" i="4"/>
  <c r="L404" i="4"/>
  <c r="L463" i="4"/>
  <c r="L522" i="4"/>
  <c r="L581" i="4"/>
  <c r="W213" i="4"/>
  <c r="W267" i="4"/>
  <c r="W333" i="4"/>
  <c r="W357" i="4"/>
  <c r="W451" i="4"/>
  <c r="W510" i="4"/>
  <c r="W571" i="4"/>
  <c r="W631" i="4"/>
  <c r="W164" i="4"/>
  <c r="W221" i="4"/>
  <c r="W290" i="4"/>
  <c r="W294" i="4"/>
  <c r="W404" i="4"/>
  <c r="W463" i="4"/>
  <c r="W522" i="4"/>
  <c r="W581" i="4"/>
  <c r="Y213" i="4"/>
  <c r="Y267" i="4"/>
  <c r="Y333" i="4"/>
  <c r="Y357" i="4"/>
  <c r="Y451" i="4"/>
  <c r="Y510" i="4"/>
  <c r="Y571" i="4"/>
  <c r="Y631" i="4"/>
  <c r="Y164" i="4"/>
  <c r="Y221" i="4"/>
  <c r="Y290" i="4"/>
  <c r="Y294" i="4"/>
  <c r="Y404" i="4"/>
  <c r="Y463" i="4"/>
  <c r="Y522" i="4"/>
  <c r="Y581" i="4"/>
  <c r="Z213" i="4"/>
  <c r="Z267" i="4"/>
  <c r="Z333" i="4"/>
  <c r="Z357" i="4"/>
  <c r="Z451" i="4"/>
  <c r="Z510" i="4"/>
  <c r="Z571" i="4"/>
  <c r="Z631" i="4"/>
  <c r="Z164" i="4"/>
  <c r="Z221" i="4"/>
  <c r="Z290" i="4"/>
  <c r="Z294" i="4"/>
  <c r="Z404" i="4"/>
  <c r="Z463" i="4"/>
  <c r="Z522" i="4"/>
  <c r="Z581" i="4"/>
  <c r="AF213" i="4"/>
  <c r="AF267" i="4"/>
  <c r="AF333" i="4"/>
  <c r="AF357" i="4"/>
  <c r="AF451" i="4"/>
  <c r="AF510" i="4"/>
  <c r="AF571" i="4"/>
  <c r="AF631" i="4"/>
  <c r="AF164" i="4"/>
  <c r="AF221" i="4"/>
  <c r="AF290" i="4"/>
  <c r="AF294" i="4"/>
  <c r="AF404" i="4"/>
  <c r="AF463" i="4"/>
  <c r="AF522" i="4"/>
  <c r="AF581" i="4"/>
  <c r="P5" i="3"/>
  <c r="AB164" i="4" s="1"/>
  <c r="J236" i="6"/>
  <c r="Z236" i="6" s="1"/>
  <c r="K236" i="6"/>
  <c r="M236" i="6"/>
  <c r="N236" i="6"/>
  <c r="Y236" i="6"/>
  <c r="AD236" i="6"/>
  <c r="J214" i="6"/>
  <c r="Z214" i="6" s="1"/>
  <c r="K214" i="6"/>
  <c r="M214" i="6"/>
  <c r="N214" i="6"/>
  <c r="Y214" i="6"/>
  <c r="AD214" i="6"/>
  <c r="J192" i="6"/>
  <c r="Z192" i="6" s="1"/>
  <c r="K192" i="6"/>
  <c r="M192" i="6"/>
  <c r="N192" i="6"/>
  <c r="Y192" i="6"/>
  <c r="AD192" i="6"/>
  <c r="J170" i="6"/>
  <c r="Z170" i="6" s="1"/>
  <c r="K170" i="6"/>
  <c r="M170" i="6"/>
  <c r="N170" i="6"/>
  <c r="Y170" i="6"/>
  <c r="AD170" i="6"/>
  <c r="J143" i="6"/>
  <c r="Z143" i="6" s="1"/>
  <c r="K143" i="6"/>
  <c r="M143" i="6"/>
  <c r="N143" i="6"/>
  <c r="Y143" i="6"/>
  <c r="AD143" i="6"/>
  <c r="J118" i="6"/>
  <c r="Z118" i="6" s="1"/>
  <c r="K118" i="6"/>
  <c r="M118" i="6"/>
  <c r="N118" i="6"/>
  <c r="Y118" i="6"/>
  <c r="AD118" i="6"/>
  <c r="J95" i="6"/>
  <c r="Z95" i="6" s="1"/>
  <c r="K95" i="6"/>
  <c r="M95" i="6"/>
  <c r="N95" i="6"/>
  <c r="Y95" i="6"/>
  <c r="AD95" i="6"/>
  <c r="J74" i="6"/>
  <c r="Z74" i="6" s="1"/>
  <c r="K74" i="6"/>
  <c r="M74" i="6"/>
  <c r="N74" i="6"/>
  <c r="Y74" i="6"/>
  <c r="AD74" i="6"/>
  <c r="J111" i="6"/>
  <c r="Z111" i="6" s="1"/>
  <c r="J137" i="6"/>
  <c r="Z137" i="6" s="1"/>
  <c r="J162" i="6"/>
  <c r="Z162" i="6" s="1"/>
  <c r="J186" i="6"/>
  <c r="Z186" i="6" s="1"/>
  <c r="J209" i="6"/>
  <c r="Z209" i="6" s="1"/>
  <c r="J232" i="6"/>
  <c r="Z232" i="6" s="1"/>
  <c r="J254" i="6"/>
  <c r="Z254" i="6" s="1"/>
  <c r="K254" i="6"/>
  <c r="M254" i="6"/>
  <c r="N254" i="6"/>
  <c r="Y254" i="6"/>
  <c r="AD254" i="6"/>
  <c r="K232" i="6"/>
  <c r="M232" i="6"/>
  <c r="N232" i="6"/>
  <c r="Y232" i="6"/>
  <c r="AD232" i="6"/>
  <c r="K209" i="6"/>
  <c r="M209" i="6"/>
  <c r="N209" i="6"/>
  <c r="Y209" i="6"/>
  <c r="AD209" i="6"/>
  <c r="K186" i="6"/>
  <c r="M186" i="6"/>
  <c r="N186" i="6"/>
  <c r="Y186" i="6"/>
  <c r="K162" i="6"/>
  <c r="M162" i="6"/>
  <c r="N162" i="6"/>
  <c r="Y162" i="6"/>
  <c r="AD162" i="6"/>
  <c r="K137" i="6"/>
  <c r="M137" i="6"/>
  <c r="N137" i="6"/>
  <c r="Y137" i="6"/>
  <c r="AD137" i="6"/>
  <c r="K111" i="6"/>
  <c r="M111" i="6"/>
  <c r="N111" i="6"/>
  <c r="Y111" i="6"/>
  <c r="AD111" i="6"/>
  <c r="J92" i="6"/>
  <c r="Z92" i="6" s="1"/>
  <c r="K92" i="6"/>
  <c r="M92" i="6"/>
  <c r="N92" i="6"/>
  <c r="Y92" i="6"/>
  <c r="AD92"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9" i="6"/>
  <c r="AD60" i="6"/>
  <c r="AD61" i="6"/>
  <c r="AD62" i="6"/>
  <c r="AD63" i="6"/>
  <c r="AD64" i="6"/>
  <c r="AD65" i="6"/>
  <c r="AD58" i="6"/>
  <c r="AD66" i="6"/>
  <c r="AD67" i="6"/>
  <c r="AD68" i="6"/>
  <c r="AD69" i="6"/>
  <c r="AD70" i="6"/>
  <c r="AD71" i="6"/>
  <c r="AD72" i="6"/>
  <c r="AD73" i="6"/>
  <c r="AD75" i="6"/>
  <c r="AD77" i="6"/>
  <c r="AD79" i="6"/>
  <c r="AD80" i="6"/>
  <c r="AD81" i="6"/>
  <c r="AD82" i="6"/>
  <c r="AD83" i="6"/>
  <c r="AD84" i="6"/>
  <c r="AD76" i="6"/>
  <c r="AD85" i="6"/>
  <c r="AD86" i="6"/>
  <c r="AD89" i="6"/>
  <c r="AD90" i="6"/>
  <c r="AD91" i="6"/>
  <c r="AD93" i="6"/>
  <c r="AD94" i="6"/>
  <c r="AD96" i="6"/>
  <c r="AD98" i="6"/>
  <c r="AD100" i="6"/>
  <c r="AD101" i="6"/>
  <c r="AD102" i="6"/>
  <c r="AD103" i="6"/>
  <c r="AD104" i="6"/>
  <c r="AD105" i="6"/>
  <c r="AD97" i="6"/>
  <c r="AD106" i="6"/>
  <c r="AD107" i="6"/>
  <c r="AD108" i="6"/>
  <c r="AD109" i="6"/>
  <c r="AD110" i="6"/>
  <c r="AD112" i="6"/>
  <c r="AD116" i="6"/>
  <c r="AD117" i="6"/>
  <c r="AD119" i="6"/>
  <c r="AD121" i="6"/>
  <c r="AD125" i="6"/>
  <c r="AD126" i="6"/>
  <c r="AD127" i="6"/>
  <c r="AD128" i="6"/>
  <c r="AD129" i="6"/>
  <c r="AD130" i="6"/>
  <c r="AD120" i="6"/>
  <c r="AD131" i="6"/>
  <c r="AD132" i="6"/>
  <c r="AD134" i="6"/>
  <c r="AD135" i="6"/>
  <c r="AD136" i="6"/>
  <c r="AD142" i="6"/>
  <c r="AD146" i="6"/>
  <c r="AD144" i="6"/>
  <c r="AD156" i="6"/>
  <c r="AD152" i="6"/>
  <c r="AD158" i="6"/>
  <c r="AD153" i="6"/>
  <c r="AD151" i="6"/>
  <c r="AD159" i="6"/>
  <c r="AD147" i="6"/>
  <c r="AD150" i="6"/>
  <c r="AD149" i="6"/>
  <c r="AD164" i="6"/>
  <c r="AD165" i="6"/>
  <c r="AD161" i="6"/>
  <c r="AD167" i="6"/>
  <c r="AD169" i="6"/>
  <c r="AD173" i="6"/>
  <c r="AD171" i="6"/>
  <c r="AD181" i="6"/>
  <c r="AD179" i="6"/>
  <c r="AD182" i="6"/>
  <c r="AD180" i="6"/>
  <c r="AD178" i="6"/>
  <c r="AD183" i="6"/>
  <c r="AD174" i="6"/>
  <c r="AD177" i="6"/>
  <c r="AD176" i="6"/>
  <c r="AD187" i="6"/>
  <c r="AD188" i="6"/>
  <c r="AD185" i="6"/>
  <c r="AD191" i="6"/>
  <c r="AD193" i="6"/>
  <c r="AD195" i="6"/>
  <c r="AD198" i="6"/>
  <c r="AD199" i="6"/>
  <c r="AD200" i="6"/>
  <c r="AD201" i="6"/>
  <c r="AD202" i="6"/>
  <c r="AD203" i="6"/>
  <c r="AD194" i="6"/>
  <c r="AD204" i="6"/>
  <c r="AD205" i="6"/>
  <c r="AD206" i="6"/>
  <c r="AD207" i="6"/>
  <c r="AD208" i="6"/>
  <c r="AD213" i="6"/>
  <c r="AD215" i="6"/>
  <c r="AD217" i="6"/>
  <c r="AD220" i="6"/>
  <c r="AD221" i="6"/>
  <c r="AD222" i="6"/>
  <c r="AD223" i="6"/>
  <c r="AD224" i="6"/>
  <c r="AD225" i="6"/>
  <c r="AD216" i="6"/>
  <c r="AD226" i="6"/>
  <c r="AD227" i="6"/>
  <c r="AD229" i="6"/>
  <c r="AD230" i="6"/>
  <c r="AD231" i="6"/>
  <c r="AD235" i="6"/>
  <c r="AD237" i="6"/>
  <c r="AD239" i="6"/>
  <c r="AD242" i="6"/>
  <c r="AD243" i="6"/>
  <c r="AD244" i="6"/>
  <c r="AD245" i="6"/>
  <c r="AD246" i="6"/>
  <c r="AD247" i="6"/>
  <c r="AD238" i="6"/>
  <c r="AD248" i="6"/>
  <c r="AD249" i="6"/>
  <c r="AD251" i="6"/>
  <c r="AD252" i="6"/>
  <c r="AD253" i="6"/>
  <c r="K638" i="4"/>
  <c r="J638" i="4"/>
  <c r="X638" i="4" s="1"/>
  <c r="G638" i="4"/>
  <c r="H638" i="4"/>
  <c r="L638" i="4"/>
  <c r="W638" i="4"/>
  <c r="Y638" i="4"/>
  <c r="Z638" i="4"/>
  <c r="AB638" i="4"/>
  <c r="AF638" i="4"/>
  <c r="AF52" i="4"/>
  <c r="Z52" i="4"/>
  <c r="Y52" i="4"/>
  <c r="W52" i="4"/>
  <c r="L52" i="4"/>
  <c r="K52" i="4"/>
  <c r="J52" i="4"/>
  <c r="X52" i="4" s="1"/>
  <c r="H52" i="4"/>
  <c r="G52" i="4"/>
  <c r="J77" i="6"/>
  <c r="Z77" i="6" s="1"/>
  <c r="J98" i="6"/>
  <c r="Z98" i="6" s="1"/>
  <c r="J121" i="6"/>
  <c r="Z121" i="6" s="1"/>
  <c r="J144" i="6"/>
  <c r="Z144" i="6" s="1"/>
  <c r="J171" i="6"/>
  <c r="Z171" i="6" s="1"/>
  <c r="J195" i="6"/>
  <c r="Z195" i="6" s="1"/>
  <c r="J217" i="6"/>
  <c r="Z217" i="6" s="1"/>
  <c r="J239" i="6"/>
  <c r="Z239" i="6" s="1"/>
  <c r="J243" i="4"/>
  <c r="X243" i="4" s="1"/>
  <c r="J280" i="4"/>
  <c r="X280" i="4" s="1"/>
  <c r="J282" i="4"/>
  <c r="X282" i="4" s="1"/>
  <c r="J426" i="4"/>
  <c r="X426" i="4" s="1"/>
  <c r="J485" i="4"/>
  <c r="X485" i="4" s="1"/>
  <c r="J544" i="4"/>
  <c r="X544" i="4" s="1"/>
  <c r="J603" i="4"/>
  <c r="X603" i="4" s="1"/>
  <c r="G243" i="4"/>
  <c r="G280" i="4"/>
  <c r="G426" i="4"/>
  <c r="G485" i="4"/>
  <c r="G544" i="4"/>
  <c r="G603" i="4"/>
  <c r="H243" i="4"/>
  <c r="H280" i="4"/>
  <c r="H426" i="4"/>
  <c r="H485" i="4"/>
  <c r="H544" i="4"/>
  <c r="H603" i="4"/>
  <c r="K243" i="4"/>
  <c r="K280" i="4"/>
  <c r="K282" i="4"/>
  <c r="K426" i="4"/>
  <c r="K485" i="4"/>
  <c r="K544" i="4"/>
  <c r="K603" i="4"/>
  <c r="L243" i="4"/>
  <c r="L280" i="4"/>
  <c r="L282" i="4"/>
  <c r="L426" i="4"/>
  <c r="L485" i="4"/>
  <c r="L544" i="4"/>
  <c r="L603" i="4"/>
  <c r="W243" i="4"/>
  <c r="W280" i="4"/>
  <c r="W282" i="4"/>
  <c r="W426" i="4"/>
  <c r="W485" i="4"/>
  <c r="W544" i="4"/>
  <c r="W603" i="4"/>
  <c r="Y243" i="4"/>
  <c r="Y280" i="4"/>
  <c r="Y282" i="4"/>
  <c r="Y426" i="4"/>
  <c r="Y485" i="4"/>
  <c r="Y544" i="4"/>
  <c r="Y603" i="4"/>
  <c r="Z243" i="4"/>
  <c r="Z280" i="4"/>
  <c r="Z282" i="4"/>
  <c r="Z426" i="4"/>
  <c r="Z485" i="4"/>
  <c r="Z544" i="4"/>
  <c r="Z603" i="4"/>
  <c r="AB485" i="4"/>
  <c r="AB544" i="4"/>
  <c r="AB603" i="4"/>
  <c r="AF243" i="4"/>
  <c r="AF280" i="4"/>
  <c r="AF282" i="4"/>
  <c r="AF426" i="4"/>
  <c r="AF485" i="4"/>
  <c r="AF544" i="4"/>
  <c r="AF603" i="4"/>
  <c r="G189" i="4"/>
  <c r="H189" i="4"/>
  <c r="J189" i="4"/>
  <c r="X189" i="4" s="1"/>
  <c r="K189" i="4"/>
  <c r="L189" i="4"/>
  <c r="W189" i="4"/>
  <c r="Y189" i="4"/>
  <c r="Z189" i="4"/>
  <c r="AF189" i="4"/>
  <c r="W20" i="1"/>
  <c r="AA282" i="4" s="1"/>
  <c r="K239" i="6"/>
  <c r="M239" i="6"/>
  <c r="N239" i="6"/>
  <c r="Y239" i="6"/>
  <c r="K217" i="6"/>
  <c r="M217" i="6"/>
  <c r="N217" i="6"/>
  <c r="Y217" i="6"/>
  <c r="K195" i="6"/>
  <c r="M195" i="6"/>
  <c r="N195" i="6"/>
  <c r="Y195" i="6"/>
  <c r="K171" i="6"/>
  <c r="M171" i="6"/>
  <c r="N171" i="6"/>
  <c r="Y171" i="6"/>
  <c r="K144" i="6"/>
  <c r="M144" i="6"/>
  <c r="N144" i="6"/>
  <c r="Y144" i="6"/>
  <c r="K121" i="6"/>
  <c r="M121" i="6"/>
  <c r="N121" i="6"/>
  <c r="Y121" i="6"/>
  <c r="K98" i="6"/>
  <c r="M98" i="6"/>
  <c r="N98" i="6"/>
  <c r="Y98" i="6"/>
  <c r="K77" i="6"/>
  <c r="M77" i="6"/>
  <c r="N77" i="6"/>
  <c r="Y77" i="6"/>
  <c r="J59" i="6"/>
  <c r="Z59" i="6" s="1"/>
  <c r="K59" i="6"/>
  <c r="M59" i="6"/>
  <c r="N59" i="6"/>
  <c r="Y59" i="6"/>
  <c r="G168" i="6" l="1"/>
  <c r="AC168" i="6"/>
  <c r="AD401" i="4"/>
  <c r="AC141" i="6"/>
  <c r="H141" i="6"/>
  <c r="AC163" i="6"/>
  <c r="G163" i="6"/>
  <c r="AC154" i="6"/>
  <c r="H154" i="6"/>
  <c r="AC157" i="6"/>
  <c r="H157" i="6"/>
  <c r="AA608" i="4"/>
  <c r="AB148" i="6"/>
  <c r="AB197" i="6"/>
  <c r="AA546" i="4"/>
  <c r="AA487" i="4"/>
  <c r="AB241" i="6"/>
  <c r="AA428" i="4"/>
  <c r="AA399" i="4"/>
  <c r="AB123" i="6"/>
  <c r="AA385" i="4"/>
  <c r="AB175" i="6"/>
  <c r="AB219" i="6"/>
  <c r="AB124" i="6"/>
  <c r="AC124" i="6"/>
  <c r="H124" i="6"/>
  <c r="AC133" i="6"/>
  <c r="H133" i="6"/>
  <c r="AC228" i="6"/>
  <c r="AC212" i="6"/>
  <c r="AC190" i="6"/>
  <c r="AC155" i="6"/>
  <c r="AC256" i="6"/>
  <c r="H212" i="6"/>
  <c r="AC139" i="6"/>
  <c r="G190" i="6"/>
  <c r="G155" i="6"/>
  <c r="H256" i="6"/>
  <c r="H228" i="6"/>
  <c r="G139" i="6"/>
  <c r="AC241" i="6"/>
  <c r="H241" i="6"/>
  <c r="AC219" i="6"/>
  <c r="AC197" i="6"/>
  <c r="H219" i="6"/>
  <c r="H148" i="6"/>
  <c r="AC175" i="6"/>
  <c r="G123" i="6"/>
  <c r="H197" i="6"/>
  <c r="AC148" i="6"/>
  <c r="H175" i="6"/>
  <c r="AC123" i="6"/>
  <c r="AA278" i="4"/>
  <c r="AA277" i="4"/>
  <c r="AC115" i="6"/>
  <c r="H115" i="6"/>
  <c r="AA455" i="4"/>
  <c r="AC211" i="6"/>
  <c r="AC189" i="6"/>
  <c r="AA607" i="4"/>
  <c r="AA458" i="4"/>
  <c r="AA364" i="4"/>
  <c r="AB234" i="6"/>
  <c r="AA361" i="4"/>
  <c r="AA275" i="4"/>
  <c r="AB166" i="6"/>
  <c r="AB140" i="6"/>
  <c r="AA578" i="4"/>
  <c r="AB114" i="6"/>
  <c r="AA517" i="4"/>
  <c r="AA362" i="4"/>
  <c r="AA276" i="4"/>
  <c r="AB189" i="6"/>
  <c r="AA606" i="4"/>
  <c r="AA577" i="4"/>
  <c r="AB211" i="6"/>
  <c r="AA516" i="4"/>
  <c r="AA457" i="4"/>
  <c r="AB250" i="6"/>
  <c r="AB160" i="6"/>
  <c r="AA274" i="4"/>
  <c r="AB138" i="6"/>
  <c r="AA635" i="4"/>
  <c r="AA575" i="4"/>
  <c r="AA514" i="4"/>
  <c r="AA286" i="4"/>
  <c r="AA284" i="4"/>
  <c r="AA605" i="4"/>
  <c r="AA576" i="4"/>
  <c r="AB255" i="6"/>
  <c r="AA515" i="4"/>
  <c r="AB233" i="6"/>
  <c r="AA456" i="4"/>
  <c r="AB113" i="6"/>
  <c r="AB210" i="6"/>
  <c r="AA273" i="4"/>
  <c r="AA287" i="4"/>
  <c r="AB184" i="6"/>
  <c r="AC184" i="6"/>
  <c r="AC140" i="6"/>
  <c r="AC114" i="6"/>
  <c r="AC255" i="6"/>
  <c r="AC210" i="6"/>
  <c r="H189" i="6"/>
  <c r="AC233" i="6"/>
  <c r="H114" i="6"/>
  <c r="AC166" i="6"/>
  <c r="H140" i="6"/>
  <c r="H210" i="6"/>
  <c r="H184" i="6"/>
  <c r="AC234" i="6"/>
  <c r="H138" i="6"/>
  <c r="G138" i="6"/>
  <c r="H234" i="6"/>
  <c r="H166" i="6"/>
  <c r="AC250" i="6"/>
  <c r="G211" i="6"/>
  <c r="G250" i="6"/>
  <c r="H160" i="6"/>
  <c r="AC160" i="6"/>
  <c r="G255" i="6"/>
  <c r="G233" i="6"/>
  <c r="AC113" i="6"/>
  <c r="H113" i="6"/>
  <c r="AA296" i="4"/>
  <c r="AA229" i="4"/>
  <c r="AA173" i="4"/>
  <c r="AB145" i="6"/>
  <c r="AA604" i="4"/>
  <c r="AA545" i="4"/>
  <c r="AA486" i="4"/>
  <c r="AA427" i="4"/>
  <c r="AB122" i="6"/>
  <c r="AA283" i="4"/>
  <c r="AA281" i="4"/>
  <c r="AA244" i="4"/>
  <c r="AA190" i="4"/>
  <c r="AC145" i="6"/>
  <c r="G88" i="6"/>
  <c r="H88" i="6"/>
  <c r="H87" i="6"/>
  <c r="G87" i="6"/>
  <c r="AC99" i="6"/>
  <c r="H99" i="6"/>
  <c r="AB99" i="6"/>
  <c r="AA589" i="4"/>
  <c r="AA412" i="4"/>
  <c r="AA530" i="4"/>
  <c r="AA297" i="4"/>
  <c r="AB78" i="6"/>
  <c r="AB240" i="6"/>
  <c r="AB218" i="6"/>
  <c r="AB196" i="6"/>
  <c r="AA471" i="4"/>
  <c r="AB631" i="4"/>
  <c r="AB268" i="4"/>
  <c r="AB270" i="4"/>
  <c r="AB222" i="4"/>
  <c r="AB269" i="4"/>
  <c r="AB571" i="4"/>
  <c r="AB510" i="4"/>
  <c r="AB405" i="4"/>
  <c r="AB452" i="4"/>
  <c r="AB453" i="4"/>
  <c r="AB454" i="4"/>
  <c r="AB451" i="4"/>
  <c r="AB357" i="4"/>
  <c r="AB582" i="4"/>
  <c r="AB632" i="4"/>
  <c r="AB633" i="4"/>
  <c r="AB634" i="4"/>
  <c r="AB333" i="4"/>
  <c r="AB267" i="4"/>
  <c r="AB291" i="4"/>
  <c r="AB334" i="4"/>
  <c r="AB335" i="4"/>
  <c r="AB336" i="4"/>
  <c r="AB213" i="4"/>
  <c r="AB581" i="4"/>
  <c r="AB464" i="4"/>
  <c r="AB511" i="4"/>
  <c r="AB512" i="4"/>
  <c r="AB513" i="4"/>
  <c r="AB522" i="4"/>
  <c r="AB463" i="4"/>
  <c r="AB165" i="4"/>
  <c r="AB214" i="4"/>
  <c r="AB215" i="4"/>
  <c r="AB216" i="4"/>
  <c r="AB404" i="4"/>
  <c r="AB294" i="4"/>
  <c r="AB295" i="4"/>
  <c r="AB358" i="4"/>
  <c r="AB359" i="4"/>
  <c r="AB360" i="4"/>
  <c r="AB290" i="4"/>
  <c r="AB221" i="4"/>
  <c r="AB523" i="4"/>
  <c r="AB572" i="4"/>
  <c r="AB573" i="4"/>
  <c r="AB574" i="4"/>
  <c r="G145" i="6"/>
  <c r="G122" i="6"/>
  <c r="AC240" i="6"/>
  <c r="G240" i="6"/>
  <c r="G218" i="6"/>
  <c r="G196" i="6"/>
  <c r="G172" i="6"/>
  <c r="H122" i="6"/>
  <c r="AC218" i="6"/>
  <c r="AC196" i="6"/>
  <c r="AC172" i="6"/>
  <c r="AC78" i="6"/>
  <c r="H78" i="6"/>
  <c r="AA638" i="4"/>
  <c r="H236" i="6"/>
  <c r="G214" i="6"/>
  <c r="AC236" i="6"/>
  <c r="H214" i="6"/>
  <c r="H118" i="6"/>
  <c r="AC192" i="6"/>
  <c r="G170" i="6"/>
  <c r="AC170" i="6"/>
  <c r="H192" i="6"/>
  <c r="G118" i="6"/>
  <c r="AC143" i="6"/>
  <c r="H143" i="6"/>
  <c r="AC95" i="6"/>
  <c r="G74" i="6"/>
  <c r="AC74" i="6"/>
  <c r="AC254" i="6"/>
  <c r="H95" i="6"/>
  <c r="H232" i="6"/>
  <c r="H209" i="6"/>
  <c r="AC232" i="6"/>
  <c r="H254" i="6"/>
  <c r="H186" i="6"/>
  <c r="AC209" i="6"/>
  <c r="H111" i="6"/>
  <c r="AC186" i="6"/>
  <c r="H162" i="6"/>
  <c r="G162" i="6"/>
  <c r="H137" i="6"/>
  <c r="G111" i="6"/>
  <c r="AC137" i="6"/>
  <c r="H92" i="6"/>
  <c r="AC92" i="6"/>
  <c r="G217" i="6"/>
  <c r="H217" i="6"/>
  <c r="AB98" i="6"/>
  <c r="AA189" i="4"/>
  <c r="AB171" i="6"/>
  <c r="AA280" i="4"/>
  <c r="AB121" i="6"/>
  <c r="AB144" i="6"/>
  <c r="AB239" i="6"/>
  <c r="AA603" i="4"/>
  <c r="AB217" i="6"/>
  <c r="AB59" i="6"/>
  <c r="AB77" i="6"/>
  <c r="AB195" i="6"/>
  <c r="AA544" i="4"/>
  <c r="AA243" i="4"/>
  <c r="AA485" i="4"/>
  <c r="AA426" i="4"/>
  <c r="AC239" i="6"/>
  <c r="G171" i="6"/>
  <c r="H195" i="6"/>
  <c r="G195" i="6"/>
  <c r="H239" i="6"/>
  <c r="H171" i="6"/>
  <c r="AC144" i="6"/>
  <c r="H121" i="6"/>
  <c r="H144" i="6"/>
  <c r="G121" i="6"/>
  <c r="AC98" i="6"/>
  <c r="G77" i="6"/>
  <c r="H98" i="6"/>
  <c r="AC77" i="6"/>
  <c r="AC59" i="6"/>
  <c r="H59" i="6"/>
  <c r="G124" i="4"/>
  <c r="G172" i="4"/>
  <c r="G228" i="4"/>
  <c r="G302" i="4"/>
  <c r="G411" i="4"/>
  <c r="G470" i="4"/>
  <c r="G529" i="4"/>
  <c r="G588" i="4"/>
  <c r="H124" i="4"/>
  <c r="H172" i="4"/>
  <c r="H228" i="4"/>
  <c r="H302" i="4"/>
  <c r="H411" i="4"/>
  <c r="H470" i="4"/>
  <c r="H529" i="4"/>
  <c r="H588" i="4"/>
  <c r="J124" i="4"/>
  <c r="X124" i="4" s="1"/>
  <c r="J172" i="4"/>
  <c r="X172" i="4" s="1"/>
  <c r="J228" i="4"/>
  <c r="X228" i="4" s="1"/>
  <c r="J302" i="4"/>
  <c r="X302" i="4" s="1"/>
  <c r="J304" i="4"/>
  <c r="X304" i="4" s="1"/>
  <c r="J411" i="4"/>
  <c r="X411" i="4" s="1"/>
  <c r="J470" i="4"/>
  <c r="X470" i="4" s="1"/>
  <c r="J529" i="4"/>
  <c r="X529" i="4" s="1"/>
  <c r="J588" i="4"/>
  <c r="X588" i="4" s="1"/>
  <c r="K124" i="4"/>
  <c r="K172" i="4"/>
  <c r="K228" i="4"/>
  <c r="K302" i="4"/>
  <c r="K304" i="4"/>
  <c r="K411" i="4"/>
  <c r="K470" i="4"/>
  <c r="K529" i="4"/>
  <c r="K588" i="4"/>
  <c r="L124" i="4"/>
  <c r="L172" i="4"/>
  <c r="L228" i="4"/>
  <c r="L302" i="4"/>
  <c r="L304" i="4"/>
  <c r="L411" i="4"/>
  <c r="L470" i="4"/>
  <c r="L529" i="4"/>
  <c r="L588" i="4"/>
  <c r="W124" i="4"/>
  <c r="W172" i="4"/>
  <c r="W228" i="4"/>
  <c r="W302" i="4"/>
  <c r="W304" i="4"/>
  <c r="W411" i="4"/>
  <c r="W470" i="4"/>
  <c r="W529" i="4"/>
  <c r="W588" i="4"/>
  <c r="Y124" i="4"/>
  <c r="Y172" i="4"/>
  <c r="Y228" i="4"/>
  <c r="Y302" i="4"/>
  <c r="Y304" i="4"/>
  <c r="Y411" i="4"/>
  <c r="Y470" i="4"/>
  <c r="Y529" i="4"/>
  <c r="Y588" i="4"/>
  <c r="Z124" i="4"/>
  <c r="Z172" i="4"/>
  <c r="Z228" i="4"/>
  <c r="Z302" i="4"/>
  <c r="Z304" i="4"/>
  <c r="Z411" i="4"/>
  <c r="Z470" i="4"/>
  <c r="Z529" i="4"/>
  <c r="Z588" i="4"/>
  <c r="AB470" i="4"/>
  <c r="AB529" i="4"/>
  <c r="AB588" i="4"/>
  <c r="AF124" i="4"/>
  <c r="AF172" i="4"/>
  <c r="AF228" i="4"/>
  <c r="AF302" i="4"/>
  <c r="AF304" i="4"/>
  <c r="AF411" i="4"/>
  <c r="AF470" i="4"/>
  <c r="AF529" i="4"/>
  <c r="AF588" i="4"/>
  <c r="G67" i="6"/>
  <c r="G86" i="6"/>
  <c r="H107" i="6"/>
  <c r="H132" i="6"/>
  <c r="H149" i="6"/>
  <c r="G176" i="6"/>
  <c r="H205" i="6"/>
  <c r="G227" i="6"/>
  <c r="G249" i="6"/>
  <c r="J67" i="6"/>
  <c r="Z67" i="6" s="1"/>
  <c r="J86" i="6"/>
  <c r="Z86" i="6" s="1"/>
  <c r="J107" i="6"/>
  <c r="Z107" i="6" s="1"/>
  <c r="J132" i="6"/>
  <c r="Z132" i="6" s="1"/>
  <c r="J149" i="6"/>
  <c r="Z149" i="6" s="1"/>
  <c r="J176" i="6"/>
  <c r="Z176" i="6" s="1"/>
  <c r="J205" i="6"/>
  <c r="Z205" i="6" s="1"/>
  <c r="J227" i="6"/>
  <c r="Z227" i="6" s="1"/>
  <c r="J249" i="6"/>
  <c r="Z249" i="6" s="1"/>
  <c r="K67" i="6"/>
  <c r="K86" i="6"/>
  <c r="K107" i="6"/>
  <c r="K132" i="6"/>
  <c r="K149" i="6"/>
  <c r="K176" i="6"/>
  <c r="K205" i="6"/>
  <c r="K227" i="6"/>
  <c r="K249" i="6"/>
  <c r="M67" i="6"/>
  <c r="M86" i="6"/>
  <c r="M107" i="6"/>
  <c r="M132" i="6"/>
  <c r="M149" i="6"/>
  <c r="M176" i="6"/>
  <c r="M205" i="6"/>
  <c r="M227" i="6"/>
  <c r="M249" i="6"/>
  <c r="N67" i="6"/>
  <c r="N86" i="6"/>
  <c r="N107" i="6"/>
  <c r="N132" i="6"/>
  <c r="N149" i="6"/>
  <c r="N176" i="6"/>
  <c r="N205" i="6"/>
  <c r="N227" i="6"/>
  <c r="N249" i="6"/>
  <c r="Y67" i="6"/>
  <c r="Y86" i="6"/>
  <c r="Y107" i="6"/>
  <c r="Y132" i="6"/>
  <c r="Y149" i="6"/>
  <c r="Y176" i="6"/>
  <c r="Y205" i="6"/>
  <c r="Y227" i="6"/>
  <c r="Y249" i="6"/>
  <c r="G123" i="4"/>
  <c r="G171" i="4"/>
  <c r="G227" i="4"/>
  <c r="G305" i="4"/>
  <c r="G410" i="4"/>
  <c r="G469" i="4"/>
  <c r="G528" i="4"/>
  <c r="G587" i="4"/>
  <c r="H123" i="4"/>
  <c r="H171" i="4"/>
  <c r="H227" i="4"/>
  <c r="H305" i="4"/>
  <c r="H410" i="4"/>
  <c r="H469" i="4"/>
  <c r="H528" i="4"/>
  <c r="H587" i="4"/>
  <c r="J123" i="4"/>
  <c r="X123" i="4" s="1"/>
  <c r="J171" i="4"/>
  <c r="X171" i="4" s="1"/>
  <c r="J227" i="4"/>
  <c r="X227" i="4" s="1"/>
  <c r="J305" i="4"/>
  <c r="X305" i="4" s="1"/>
  <c r="J306" i="4"/>
  <c r="X306" i="4" s="1"/>
  <c r="J410" i="4"/>
  <c r="X410" i="4" s="1"/>
  <c r="J469" i="4"/>
  <c r="X469" i="4" s="1"/>
  <c r="J528" i="4"/>
  <c r="X528" i="4" s="1"/>
  <c r="J587" i="4"/>
  <c r="X587" i="4" s="1"/>
  <c r="K123" i="4"/>
  <c r="K171" i="4"/>
  <c r="K227" i="4"/>
  <c r="K305" i="4"/>
  <c r="K306" i="4"/>
  <c r="K410" i="4"/>
  <c r="K469" i="4"/>
  <c r="K528" i="4"/>
  <c r="K587" i="4"/>
  <c r="L123" i="4"/>
  <c r="L171" i="4"/>
  <c r="L227" i="4"/>
  <c r="L305" i="4"/>
  <c r="L306" i="4"/>
  <c r="L410" i="4"/>
  <c r="L469" i="4"/>
  <c r="L528" i="4"/>
  <c r="L587" i="4"/>
  <c r="W123" i="4"/>
  <c r="W171" i="4"/>
  <c r="W227" i="4"/>
  <c r="W305" i="4"/>
  <c r="W306" i="4"/>
  <c r="W410" i="4"/>
  <c r="W469" i="4"/>
  <c r="W528" i="4"/>
  <c r="W587" i="4"/>
  <c r="Y123" i="4"/>
  <c r="Y171" i="4"/>
  <c r="Y227" i="4"/>
  <c r="Y305" i="4"/>
  <c r="Y306" i="4"/>
  <c r="Y410" i="4"/>
  <c r="Y469" i="4"/>
  <c r="Y528" i="4"/>
  <c r="Y587" i="4"/>
  <c r="Z123" i="4"/>
  <c r="Z171" i="4"/>
  <c r="Z227" i="4"/>
  <c r="Z305" i="4"/>
  <c r="Z306" i="4"/>
  <c r="Z410" i="4"/>
  <c r="Z469" i="4"/>
  <c r="Z528" i="4"/>
  <c r="Z587" i="4"/>
  <c r="AB410" i="4"/>
  <c r="AB469" i="4"/>
  <c r="AB528" i="4"/>
  <c r="AB587" i="4"/>
  <c r="AF123" i="4"/>
  <c r="AF171" i="4"/>
  <c r="AF227" i="4"/>
  <c r="AF305" i="4"/>
  <c r="AF306" i="4"/>
  <c r="G248" i="6"/>
  <c r="J248" i="6"/>
  <c r="Z248" i="6" s="1"/>
  <c r="K248" i="6"/>
  <c r="M248" i="6"/>
  <c r="N248" i="6"/>
  <c r="Y248" i="6"/>
  <c r="G226" i="6"/>
  <c r="J226" i="6"/>
  <c r="Z226" i="6" s="1"/>
  <c r="K226" i="6"/>
  <c r="M226" i="6"/>
  <c r="N226" i="6"/>
  <c r="Y226" i="6"/>
  <c r="G204" i="6"/>
  <c r="J204" i="6"/>
  <c r="Z204" i="6" s="1"/>
  <c r="K204" i="6"/>
  <c r="M204" i="6"/>
  <c r="N204" i="6"/>
  <c r="Y204" i="6"/>
  <c r="G177" i="6"/>
  <c r="J177" i="6"/>
  <c r="Z177" i="6" s="1"/>
  <c r="K177" i="6"/>
  <c r="M177" i="6"/>
  <c r="N177" i="6"/>
  <c r="Y177" i="6"/>
  <c r="G150" i="6"/>
  <c r="J150" i="6"/>
  <c r="Z150" i="6" s="1"/>
  <c r="K150" i="6"/>
  <c r="M150" i="6"/>
  <c r="N150" i="6"/>
  <c r="Y150" i="6"/>
  <c r="H131" i="6"/>
  <c r="J131" i="6"/>
  <c r="Z131" i="6" s="1"/>
  <c r="K131" i="6"/>
  <c r="M131" i="6"/>
  <c r="N131" i="6"/>
  <c r="Y131" i="6"/>
  <c r="G106" i="6"/>
  <c r="J106" i="6"/>
  <c r="Z106" i="6" s="1"/>
  <c r="K106" i="6"/>
  <c r="M106" i="6"/>
  <c r="N106" i="6"/>
  <c r="Y106" i="6"/>
  <c r="G85" i="6"/>
  <c r="J85" i="6"/>
  <c r="Z85" i="6" s="1"/>
  <c r="K85" i="6"/>
  <c r="M85" i="6"/>
  <c r="N85" i="6"/>
  <c r="Y85" i="6"/>
  <c r="G66" i="6"/>
  <c r="J66" i="6"/>
  <c r="Z66" i="6" s="1"/>
  <c r="K66" i="6"/>
  <c r="M66" i="6"/>
  <c r="N66" i="6"/>
  <c r="Y66" i="6"/>
  <c r="W19" i="1"/>
  <c r="W18" i="1"/>
  <c r="J212" i="4"/>
  <c r="X212" i="4" s="1"/>
  <c r="J266" i="4"/>
  <c r="X266" i="4" s="1"/>
  <c r="J390" i="4"/>
  <c r="X390" i="4" s="1"/>
  <c r="J391" i="4"/>
  <c r="X391" i="4" s="1"/>
  <c r="J450" i="4"/>
  <c r="X450" i="4" s="1"/>
  <c r="J509" i="4"/>
  <c r="X509" i="4" s="1"/>
  <c r="J570" i="4"/>
  <c r="X570" i="4" s="1"/>
  <c r="J630" i="4"/>
  <c r="X630" i="4" s="1"/>
  <c r="G139" i="4"/>
  <c r="G212" i="4"/>
  <c r="G266" i="4"/>
  <c r="G390" i="4"/>
  <c r="G450" i="4"/>
  <c r="G509" i="4"/>
  <c r="G570" i="4"/>
  <c r="G630" i="4"/>
  <c r="H139" i="4"/>
  <c r="H212" i="4"/>
  <c r="H266" i="4"/>
  <c r="H390" i="4"/>
  <c r="H450" i="4"/>
  <c r="H509" i="4"/>
  <c r="H570" i="4"/>
  <c r="H630" i="4"/>
  <c r="J139" i="4"/>
  <c r="X139" i="4" s="1"/>
  <c r="K139" i="4"/>
  <c r="K212" i="4"/>
  <c r="K266" i="4"/>
  <c r="K390" i="4"/>
  <c r="K391" i="4"/>
  <c r="K450" i="4"/>
  <c r="K509" i="4"/>
  <c r="K570" i="4"/>
  <c r="K630" i="4"/>
  <c r="L139" i="4"/>
  <c r="L212" i="4"/>
  <c r="L266" i="4"/>
  <c r="L390" i="4"/>
  <c r="L391" i="4"/>
  <c r="L450" i="4"/>
  <c r="L509" i="4"/>
  <c r="L570" i="4"/>
  <c r="L630" i="4"/>
  <c r="W139" i="4"/>
  <c r="W212" i="4"/>
  <c r="W266" i="4"/>
  <c r="W390" i="4"/>
  <c r="W391" i="4"/>
  <c r="W450" i="4"/>
  <c r="W509" i="4"/>
  <c r="W570" i="4"/>
  <c r="W630" i="4"/>
  <c r="Y139" i="4"/>
  <c r="Y212" i="4"/>
  <c r="Y266" i="4"/>
  <c r="Y390" i="4"/>
  <c r="Y391" i="4"/>
  <c r="Y450" i="4"/>
  <c r="Y509" i="4"/>
  <c r="Y570" i="4"/>
  <c r="Y630" i="4"/>
  <c r="Z139" i="4"/>
  <c r="Z212" i="4"/>
  <c r="Z266" i="4"/>
  <c r="Z390" i="4"/>
  <c r="Z391" i="4"/>
  <c r="Z450" i="4"/>
  <c r="Z509" i="4"/>
  <c r="Z570" i="4"/>
  <c r="Z630" i="4"/>
  <c r="AB450" i="4"/>
  <c r="AB509" i="4"/>
  <c r="AB570" i="4"/>
  <c r="AB630" i="4"/>
  <c r="AF139" i="4"/>
  <c r="AF212" i="4"/>
  <c r="AF266" i="4"/>
  <c r="AF390" i="4"/>
  <c r="AF391" i="4"/>
  <c r="AF450" i="4"/>
  <c r="AC238" i="6"/>
  <c r="J238" i="6"/>
  <c r="Z238" i="6" s="1"/>
  <c r="K238" i="6"/>
  <c r="M238" i="6"/>
  <c r="N238" i="6"/>
  <c r="Y238" i="6"/>
  <c r="G216" i="6"/>
  <c r="J216" i="6"/>
  <c r="Z216" i="6" s="1"/>
  <c r="K216" i="6"/>
  <c r="M216" i="6"/>
  <c r="N216" i="6"/>
  <c r="Y216" i="6"/>
  <c r="H194" i="6"/>
  <c r="J194" i="6"/>
  <c r="Z194" i="6" s="1"/>
  <c r="K194" i="6"/>
  <c r="M194" i="6"/>
  <c r="N194" i="6"/>
  <c r="Y194" i="6"/>
  <c r="G174" i="6"/>
  <c r="J174" i="6"/>
  <c r="Z174" i="6" s="1"/>
  <c r="K174" i="6"/>
  <c r="M174" i="6"/>
  <c r="N174" i="6"/>
  <c r="Y174" i="6"/>
  <c r="H147" i="6"/>
  <c r="J147" i="6"/>
  <c r="Z147" i="6" s="1"/>
  <c r="K147" i="6"/>
  <c r="M147" i="6"/>
  <c r="N147" i="6"/>
  <c r="Y147" i="6"/>
  <c r="G120" i="6"/>
  <c r="J120" i="6"/>
  <c r="Z120" i="6" s="1"/>
  <c r="K120" i="6"/>
  <c r="M120" i="6"/>
  <c r="N120" i="6"/>
  <c r="Y120" i="6"/>
  <c r="G97" i="6"/>
  <c r="J97" i="6"/>
  <c r="Z97" i="6" s="1"/>
  <c r="K97" i="6"/>
  <c r="M97" i="6"/>
  <c r="N97" i="6"/>
  <c r="Y97" i="6"/>
  <c r="G76" i="6"/>
  <c r="J76" i="6"/>
  <c r="Z76" i="6" s="1"/>
  <c r="K76" i="6"/>
  <c r="M76" i="6"/>
  <c r="N76" i="6"/>
  <c r="Y76" i="6"/>
  <c r="G58" i="6"/>
  <c r="J58" i="6"/>
  <c r="Z58" i="6" s="1"/>
  <c r="K58" i="6"/>
  <c r="M58" i="6"/>
  <c r="N58" i="6"/>
  <c r="Y58" i="6"/>
  <c r="W17" i="1"/>
  <c r="AA139" i="4" s="1"/>
  <c r="K83" i="4"/>
  <c r="H70" i="6"/>
  <c r="H91" i="6"/>
  <c r="G110" i="6"/>
  <c r="H136" i="6"/>
  <c r="H161" i="6"/>
  <c r="G185" i="6"/>
  <c r="AC208" i="6"/>
  <c r="G231" i="6"/>
  <c r="G253" i="6"/>
  <c r="J70" i="6"/>
  <c r="Z70" i="6" s="1"/>
  <c r="J91" i="6"/>
  <c r="Z91" i="6" s="1"/>
  <c r="J110" i="6"/>
  <c r="Z110" i="6" s="1"/>
  <c r="J136" i="6"/>
  <c r="Z136" i="6" s="1"/>
  <c r="J161" i="6"/>
  <c r="Z161" i="6" s="1"/>
  <c r="J185" i="6"/>
  <c r="Z185" i="6" s="1"/>
  <c r="J208" i="6"/>
  <c r="Z208" i="6" s="1"/>
  <c r="J231" i="6"/>
  <c r="Z231" i="6" s="1"/>
  <c r="J253" i="6"/>
  <c r="Z253" i="6" s="1"/>
  <c r="K70" i="6"/>
  <c r="K91" i="6"/>
  <c r="K110" i="6"/>
  <c r="K136" i="6"/>
  <c r="K161" i="6"/>
  <c r="K185" i="6"/>
  <c r="K208" i="6"/>
  <c r="K231" i="6"/>
  <c r="K253" i="6"/>
  <c r="M70" i="6"/>
  <c r="M91" i="6"/>
  <c r="M110" i="6"/>
  <c r="M136" i="6"/>
  <c r="M161" i="6"/>
  <c r="M185" i="6"/>
  <c r="M208" i="6"/>
  <c r="M231" i="6"/>
  <c r="M253" i="6"/>
  <c r="N70" i="6"/>
  <c r="N91" i="6"/>
  <c r="N110" i="6"/>
  <c r="N136" i="6"/>
  <c r="N161" i="6"/>
  <c r="N185" i="6"/>
  <c r="N208" i="6"/>
  <c r="N231" i="6"/>
  <c r="N253" i="6"/>
  <c r="Y70" i="6"/>
  <c r="Y91" i="6"/>
  <c r="Y110" i="6"/>
  <c r="Y136" i="6"/>
  <c r="Y161" i="6"/>
  <c r="Y185" i="6"/>
  <c r="Y208" i="6"/>
  <c r="Y231" i="6"/>
  <c r="Y253" i="6"/>
  <c r="G55" i="6"/>
  <c r="J55" i="6"/>
  <c r="Z55" i="6" s="1"/>
  <c r="K55" i="6"/>
  <c r="M55" i="6"/>
  <c r="N55" i="6"/>
  <c r="Y55" i="6"/>
  <c r="J550" i="4"/>
  <c r="X550" i="4" s="1"/>
  <c r="K550" i="4"/>
  <c r="J610" i="4"/>
  <c r="X610" i="4" s="1"/>
  <c r="K610" i="4"/>
  <c r="J98" i="4"/>
  <c r="X98" i="4" s="1"/>
  <c r="K98" i="4"/>
  <c r="J141" i="4"/>
  <c r="X141" i="4" s="1"/>
  <c r="K141" i="4"/>
  <c r="J193" i="4"/>
  <c r="X193" i="4" s="1"/>
  <c r="K193" i="4"/>
  <c r="J247" i="4"/>
  <c r="X247" i="4" s="1"/>
  <c r="K247" i="4"/>
  <c r="J314" i="4"/>
  <c r="X314" i="4" s="1"/>
  <c r="K314" i="4"/>
  <c r="X338" i="4"/>
  <c r="J431" i="4"/>
  <c r="X431" i="4" s="1"/>
  <c r="K431" i="4"/>
  <c r="J490" i="4"/>
  <c r="X490" i="4" s="1"/>
  <c r="K490" i="4"/>
  <c r="J551" i="4"/>
  <c r="X551" i="4" s="1"/>
  <c r="K551" i="4"/>
  <c r="J611" i="4"/>
  <c r="X611" i="4" s="1"/>
  <c r="K611" i="4"/>
  <c r="J99" i="4"/>
  <c r="X99" i="4" s="1"/>
  <c r="K99" i="4"/>
  <c r="J142" i="4"/>
  <c r="X142" i="4" s="1"/>
  <c r="K142" i="4"/>
  <c r="J194" i="4"/>
  <c r="X194" i="4" s="1"/>
  <c r="K194" i="4"/>
  <c r="J248" i="4"/>
  <c r="X248" i="4" s="1"/>
  <c r="K248" i="4"/>
  <c r="J315" i="4"/>
  <c r="X315" i="4" s="1"/>
  <c r="K315" i="4"/>
  <c r="X339" i="4"/>
  <c r="K339" i="4"/>
  <c r="J432" i="4"/>
  <c r="X432" i="4" s="1"/>
  <c r="K432" i="4"/>
  <c r="J491" i="4"/>
  <c r="X491" i="4" s="1"/>
  <c r="K491" i="4"/>
  <c r="J552" i="4"/>
  <c r="X552" i="4" s="1"/>
  <c r="K552" i="4"/>
  <c r="J612" i="4"/>
  <c r="X612" i="4" s="1"/>
  <c r="K612" i="4"/>
  <c r="J100" i="4"/>
  <c r="X100" i="4" s="1"/>
  <c r="K100" i="4"/>
  <c r="J143" i="4"/>
  <c r="X143" i="4" s="1"/>
  <c r="K143" i="4"/>
  <c r="J195" i="4"/>
  <c r="X195" i="4" s="1"/>
  <c r="K195" i="4"/>
  <c r="J249" i="4"/>
  <c r="X249" i="4" s="1"/>
  <c r="K249" i="4"/>
  <c r="J316" i="4"/>
  <c r="X316" i="4" s="1"/>
  <c r="K316" i="4"/>
  <c r="J340" i="4"/>
  <c r="X340" i="4" s="1"/>
  <c r="K340" i="4"/>
  <c r="J433" i="4"/>
  <c r="X433" i="4" s="1"/>
  <c r="K433" i="4"/>
  <c r="J492" i="4"/>
  <c r="X492" i="4" s="1"/>
  <c r="K492" i="4"/>
  <c r="J553" i="4"/>
  <c r="X553" i="4" s="1"/>
  <c r="K553" i="4"/>
  <c r="J613" i="4"/>
  <c r="X613" i="4" s="1"/>
  <c r="K613" i="4"/>
  <c r="J101" i="4"/>
  <c r="X101" i="4" s="1"/>
  <c r="K101" i="4"/>
  <c r="J144" i="4"/>
  <c r="X144" i="4" s="1"/>
  <c r="K144" i="4"/>
  <c r="J196" i="4"/>
  <c r="X196" i="4" s="1"/>
  <c r="K196" i="4"/>
  <c r="J250" i="4"/>
  <c r="X250" i="4" s="1"/>
  <c r="K250" i="4"/>
  <c r="J317" i="4"/>
  <c r="X317" i="4" s="1"/>
  <c r="K317" i="4"/>
  <c r="J341" i="4"/>
  <c r="X341" i="4" s="1"/>
  <c r="K341" i="4"/>
  <c r="J434" i="4"/>
  <c r="X434" i="4" s="1"/>
  <c r="K434" i="4"/>
  <c r="J493" i="4"/>
  <c r="X493" i="4" s="1"/>
  <c r="K493" i="4"/>
  <c r="J554" i="4"/>
  <c r="X554" i="4" s="1"/>
  <c r="K554" i="4"/>
  <c r="J614" i="4"/>
  <c r="X614" i="4" s="1"/>
  <c r="K614" i="4"/>
  <c r="J102" i="4"/>
  <c r="X102" i="4" s="1"/>
  <c r="K102" i="4"/>
  <c r="J145" i="4"/>
  <c r="X145" i="4" s="1"/>
  <c r="K145" i="4"/>
  <c r="J197" i="4"/>
  <c r="X197" i="4" s="1"/>
  <c r="K197" i="4"/>
  <c r="J251" i="4"/>
  <c r="X251" i="4" s="1"/>
  <c r="K251" i="4"/>
  <c r="J318" i="4"/>
  <c r="X318" i="4" s="1"/>
  <c r="K318" i="4"/>
  <c r="J342" i="4"/>
  <c r="X342" i="4" s="1"/>
  <c r="K342" i="4"/>
  <c r="J435" i="4"/>
  <c r="X435" i="4" s="1"/>
  <c r="K435" i="4"/>
  <c r="J494" i="4"/>
  <c r="X494" i="4" s="1"/>
  <c r="K494" i="4"/>
  <c r="J555" i="4"/>
  <c r="X555" i="4" s="1"/>
  <c r="K555" i="4"/>
  <c r="J615" i="4"/>
  <c r="X615" i="4" s="1"/>
  <c r="K615" i="4"/>
  <c r="J103" i="4"/>
  <c r="X103" i="4" s="1"/>
  <c r="K103" i="4"/>
  <c r="J146" i="4"/>
  <c r="X146" i="4" s="1"/>
  <c r="K146" i="4"/>
  <c r="J198" i="4"/>
  <c r="X198" i="4" s="1"/>
  <c r="K198" i="4"/>
  <c r="J252" i="4"/>
  <c r="X252" i="4" s="1"/>
  <c r="K252" i="4"/>
  <c r="J319" i="4"/>
  <c r="X319" i="4" s="1"/>
  <c r="K319" i="4"/>
  <c r="J343" i="4"/>
  <c r="X343" i="4" s="1"/>
  <c r="K343" i="4"/>
  <c r="J436" i="4"/>
  <c r="X436" i="4" s="1"/>
  <c r="K436" i="4"/>
  <c r="J495" i="4"/>
  <c r="X495" i="4" s="1"/>
  <c r="K495" i="4"/>
  <c r="J556" i="4"/>
  <c r="X556" i="4" s="1"/>
  <c r="K556" i="4"/>
  <c r="J616" i="4"/>
  <c r="X616" i="4" s="1"/>
  <c r="K616" i="4"/>
  <c r="J104" i="4"/>
  <c r="X104" i="4" s="1"/>
  <c r="K104" i="4"/>
  <c r="J147" i="4"/>
  <c r="X147" i="4" s="1"/>
  <c r="K147" i="4"/>
  <c r="J199" i="4"/>
  <c r="X199" i="4" s="1"/>
  <c r="K199" i="4"/>
  <c r="J253" i="4"/>
  <c r="X253" i="4" s="1"/>
  <c r="K253" i="4"/>
  <c r="J320" i="4"/>
  <c r="X320" i="4" s="1"/>
  <c r="K320" i="4"/>
  <c r="J344" i="4"/>
  <c r="X344" i="4" s="1"/>
  <c r="K344" i="4"/>
  <c r="J437" i="4"/>
  <c r="X437" i="4" s="1"/>
  <c r="K437" i="4"/>
  <c r="J496" i="4"/>
  <c r="X496" i="4" s="1"/>
  <c r="K496" i="4"/>
  <c r="J557" i="4"/>
  <c r="X557" i="4" s="1"/>
  <c r="K557" i="4"/>
  <c r="J617" i="4"/>
  <c r="X617" i="4" s="1"/>
  <c r="K617" i="4"/>
  <c r="J105" i="4"/>
  <c r="X105" i="4" s="1"/>
  <c r="K105" i="4"/>
  <c r="J148" i="4"/>
  <c r="X148" i="4" s="1"/>
  <c r="K148" i="4"/>
  <c r="J200" i="4"/>
  <c r="X200" i="4" s="1"/>
  <c r="K200" i="4"/>
  <c r="J254" i="4"/>
  <c r="X254" i="4" s="1"/>
  <c r="K254" i="4"/>
  <c r="J321" i="4"/>
  <c r="X321" i="4" s="1"/>
  <c r="K321" i="4"/>
  <c r="J345" i="4"/>
  <c r="X345" i="4" s="1"/>
  <c r="K345" i="4"/>
  <c r="J438" i="4"/>
  <c r="X438" i="4" s="1"/>
  <c r="K438" i="4"/>
  <c r="J497" i="4"/>
  <c r="X497" i="4" s="1"/>
  <c r="K497" i="4"/>
  <c r="J558" i="4"/>
  <c r="X558" i="4" s="1"/>
  <c r="K558" i="4"/>
  <c r="J618" i="4"/>
  <c r="X618" i="4" s="1"/>
  <c r="K618" i="4"/>
  <c r="J106" i="4"/>
  <c r="X106" i="4" s="1"/>
  <c r="K106" i="4"/>
  <c r="J149" i="4"/>
  <c r="X149" i="4" s="1"/>
  <c r="K149" i="4"/>
  <c r="J201" i="4"/>
  <c r="X201" i="4" s="1"/>
  <c r="K201" i="4"/>
  <c r="J255" i="4"/>
  <c r="X255" i="4" s="1"/>
  <c r="K255" i="4"/>
  <c r="J322" i="4"/>
  <c r="X322" i="4" s="1"/>
  <c r="K322" i="4"/>
  <c r="J346" i="4"/>
  <c r="X346" i="4" s="1"/>
  <c r="K346" i="4"/>
  <c r="J439" i="4"/>
  <c r="X439" i="4" s="1"/>
  <c r="K439" i="4"/>
  <c r="J498" i="4"/>
  <c r="X498" i="4" s="1"/>
  <c r="K498" i="4"/>
  <c r="J559" i="4"/>
  <c r="X559" i="4" s="1"/>
  <c r="K559" i="4"/>
  <c r="J619" i="4"/>
  <c r="X619" i="4" s="1"/>
  <c r="K619" i="4"/>
  <c r="J107" i="4"/>
  <c r="X107" i="4" s="1"/>
  <c r="K107" i="4"/>
  <c r="J150" i="4"/>
  <c r="X150" i="4" s="1"/>
  <c r="K150" i="4"/>
  <c r="J202" i="4"/>
  <c r="X202" i="4" s="1"/>
  <c r="K202" i="4"/>
  <c r="J256" i="4"/>
  <c r="X256" i="4" s="1"/>
  <c r="K256" i="4"/>
  <c r="J323" i="4"/>
  <c r="X323" i="4" s="1"/>
  <c r="K323" i="4"/>
  <c r="J347" i="4"/>
  <c r="X347" i="4" s="1"/>
  <c r="K347" i="4"/>
  <c r="J440" i="4"/>
  <c r="X440" i="4" s="1"/>
  <c r="K440" i="4"/>
  <c r="J499" i="4"/>
  <c r="X499" i="4" s="1"/>
  <c r="K499" i="4"/>
  <c r="J560" i="4"/>
  <c r="X560" i="4" s="1"/>
  <c r="K560" i="4"/>
  <c r="J620" i="4"/>
  <c r="X620" i="4" s="1"/>
  <c r="K620" i="4"/>
  <c r="J108" i="4"/>
  <c r="X108" i="4" s="1"/>
  <c r="K108" i="4"/>
  <c r="J151" i="4"/>
  <c r="X151" i="4" s="1"/>
  <c r="K151" i="4"/>
  <c r="J203" i="4"/>
  <c r="X203" i="4" s="1"/>
  <c r="K203" i="4"/>
  <c r="J257" i="4"/>
  <c r="X257" i="4" s="1"/>
  <c r="K257" i="4"/>
  <c r="J324" i="4"/>
  <c r="X324" i="4" s="1"/>
  <c r="K324" i="4"/>
  <c r="J348" i="4"/>
  <c r="X348" i="4" s="1"/>
  <c r="K348" i="4"/>
  <c r="J441" i="4"/>
  <c r="X441" i="4" s="1"/>
  <c r="K441" i="4"/>
  <c r="J500" i="4"/>
  <c r="X500" i="4" s="1"/>
  <c r="K500" i="4"/>
  <c r="J561" i="4"/>
  <c r="X561" i="4" s="1"/>
  <c r="K561" i="4"/>
  <c r="J621" i="4"/>
  <c r="X621" i="4" s="1"/>
  <c r="K621" i="4"/>
  <c r="J109" i="4"/>
  <c r="X109" i="4" s="1"/>
  <c r="K109" i="4"/>
  <c r="J152" i="4"/>
  <c r="X152" i="4" s="1"/>
  <c r="K152" i="4"/>
  <c r="J204" i="4"/>
  <c r="X204" i="4" s="1"/>
  <c r="K204" i="4"/>
  <c r="J258" i="4"/>
  <c r="X258" i="4" s="1"/>
  <c r="K258" i="4"/>
  <c r="J325" i="4"/>
  <c r="X325" i="4" s="1"/>
  <c r="K325" i="4"/>
  <c r="J349" i="4"/>
  <c r="X349" i="4" s="1"/>
  <c r="K349" i="4"/>
  <c r="J442" i="4"/>
  <c r="X442" i="4" s="1"/>
  <c r="K442" i="4"/>
  <c r="J501" i="4"/>
  <c r="X501" i="4" s="1"/>
  <c r="K501" i="4"/>
  <c r="J562" i="4"/>
  <c r="X562" i="4" s="1"/>
  <c r="K562" i="4"/>
  <c r="J622" i="4"/>
  <c r="X622" i="4" s="1"/>
  <c r="K622" i="4"/>
  <c r="J110" i="4"/>
  <c r="X110" i="4" s="1"/>
  <c r="K110" i="4"/>
  <c r="J153" i="4"/>
  <c r="X153" i="4" s="1"/>
  <c r="K153" i="4"/>
  <c r="J205" i="4"/>
  <c r="X205" i="4" s="1"/>
  <c r="K205" i="4"/>
  <c r="J259" i="4"/>
  <c r="X259" i="4" s="1"/>
  <c r="K259" i="4"/>
  <c r="J326" i="4"/>
  <c r="X326" i="4" s="1"/>
  <c r="K326" i="4"/>
  <c r="J350" i="4"/>
  <c r="X350" i="4" s="1"/>
  <c r="K350" i="4"/>
  <c r="J443" i="4"/>
  <c r="X443" i="4" s="1"/>
  <c r="K443" i="4"/>
  <c r="J502" i="4"/>
  <c r="X502" i="4" s="1"/>
  <c r="K502" i="4"/>
  <c r="J563" i="4"/>
  <c r="X563" i="4" s="1"/>
  <c r="K563" i="4"/>
  <c r="J623" i="4"/>
  <c r="X623" i="4" s="1"/>
  <c r="K623" i="4"/>
  <c r="J111" i="4"/>
  <c r="X111" i="4" s="1"/>
  <c r="K111" i="4"/>
  <c r="J154" i="4"/>
  <c r="X154" i="4" s="1"/>
  <c r="K154" i="4"/>
  <c r="J206" i="4"/>
  <c r="X206" i="4" s="1"/>
  <c r="K206" i="4"/>
  <c r="J260" i="4"/>
  <c r="X260" i="4" s="1"/>
  <c r="K260" i="4"/>
  <c r="J327" i="4"/>
  <c r="X327" i="4" s="1"/>
  <c r="K327" i="4"/>
  <c r="J351" i="4"/>
  <c r="X351" i="4" s="1"/>
  <c r="K351" i="4"/>
  <c r="J444" i="4"/>
  <c r="X444" i="4" s="1"/>
  <c r="K444" i="4"/>
  <c r="J503" i="4"/>
  <c r="X503" i="4" s="1"/>
  <c r="K503" i="4"/>
  <c r="J564" i="4"/>
  <c r="X564" i="4" s="1"/>
  <c r="K564" i="4"/>
  <c r="J624" i="4"/>
  <c r="X624" i="4" s="1"/>
  <c r="K624" i="4"/>
  <c r="J112" i="4"/>
  <c r="X112" i="4" s="1"/>
  <c r="K112" i="4"/>
  <c r="J155" i="4"/>
  <c r="X155" i="4" s="1"/>
  <c r="K155" i="4"/>
  <c r="J207" i="4"/>
  <c r="X207" i="4" s="1"/>
  <c r="K207" i="4"/>
  <c r="J261" i="4"/>
  <c r="X261" i="4" s="1"/>
  <c r="K261" i="4"/>
  <c r="J328" i="4"/>
  <c r="X328" i="4" s="1"/>
  <c r="K328" i="4"/>
  <c r="J352" i="4"/>
  <c r="X352" i="4" s="1"/>
  <c r="K352" i="4"/>
  <c r="J445" i="4"/>
  <c r="X445" i="4" s="1"/>
  <c r="K445" i="4"/>
  <c r="J504" i="4"/>
  <c r="X504" i="4" s="1"/>
  <c r="K504" i="4"/>
  <c r="J565" i="4"/>
  <c r="X565" i="4" s="1"/>
  <c r="K565" i="4"/>
  <c r="J625" i="4"/>
  <c r="X625" i="4" s="1"/>
  <c r="K625" i="4"/>
  <c r="J113" i="4"/>
  <c r="X113" i="4" s="1"/>
  <c r="K113" i="4"/>
  <c r="J156" i="4"/>
  <c r="X156" i="4" s="1"/>
  <c r="K156" i="4"/>
  <c r="J208" i="4"/>
  <c r="X208" i="4" s="1"/>
  <c r="K208" i="4"/>
  <c r="J262" i="4"/>
  <c r="X262" i="4" s="1"/>
  <c r="K262" i="4"/>
  <c r="J329" i="4"/>
  <c r="X329" i="4" s="1"/>
  <c r="K329" i="4"/>
  <c r="J353" i="4"/>
  <c r="X353" i="4" s="1"/>
  <c r="K353" i="4"/>
  <c r="J446" i="4"/>
  <c r="X446" i="4" s="1"/>
  <c r="K446" i="4"/>
  <c r="J505" i="4"/>
  <c r="X505" i="4" s="1"/>
  <c r="K505" i="4"/>
  <c r="J566" i="4"/>
  <c r="X566" i="4" s="1"/>
  <c r="K566" i="4"/>
  <c r="J626" i="4"/>
  <c r="X626" i="4" s="1"/>
  <c r="K626" i="4"/>
  <c r="J114" i="4"/>
  <c r="X114" i="4" s="1"/>
  <c r="K114" i="4"/>
  <c r="J157" i="4"/>
  <c r="X157" i="4" s="1"/>
  <c r="K157" i="4"/>
  <c r="J209" i="4"/>
  <c r="X209" i="4" s="1"/>
  <c r="K209" i="4"/>
  <c r="J263" i="4"/>
  <c r="X263" i="4" s="1"/>
  <c r="K263" i="4"/>
  <c r="J330" i="4"/>
  <c r="X330" i="4" s="1"/>
  <c r="K330" i="4"/>
  <c r="J354" i="4"/>
  <c r="X354" i="4" s="1"/>
  <c r="K354" i="4"/>
  <c r="J447" i="4"/>
  <c r="X447" i="4" s="1"/>
  <c r="K447" i="4"/>
  <c r="J506" i="4"/>
  <c r="X506" i="4" s="1"/>
  <c r="K506" i="4"/>
  <c r="J567" i="4"/>
  <c r="X567" i="4" s="1"/>
  <c r="K567" i="4"/>
  <c r="J627" i="4"/>
  <c r="X627" i="4" s="1"/>
  <c r="K627" i="4"/>
  <c r="J115" i="4"/>
  <c r="X115" i="4" s="1"/>
  <c r="K115" i="4"/>
  <c r="J158" i="4"/>
  <c r="X158" i="4" s="1"/>
  <c r="K158" i="4"/>
  <c r="J210" i="4"/>
  <c r="X210" i="4" s="1"/>
  <c r="K210" i="4"/>
  <c r="J264" i="4"/>
  <c r="X264" i="4" s="1"/>
  <c r="K264" i="4"/>
  <c r="J331" i="4"/>
  <c r="X331" i="4" s="1"/>
  <c r="K331" i="4"/>
  <c r="J355" i="4"/>
  <c r="X355" i="4" s="1"/>
  <c r="K355" i="4"/>
  <c r="J448" i="4"/>
  <c r="X448" i="4" s="1"/>
  <c r="K448" i="4"/>
  <c r="J507" i="4"/>
  <c r="X507" i="4" s="1"/>
  <c r="K507" i="4"/>
  <c r="J568" i="4"/>
  <c r="X568" i="4" s="1"/>
  <c r="K568" i="4"/>
  <c r="J628" i="4"/>
  <c r="X628" i="4" s="1"/>
  <c r="K628" i="4"/>
  <c r="J116" i="4"/>
  <c r="X116" i="4" s="1"/>
  <c r="K116" i="4"/>
  <c r="J159" i="4"/>
  <c r="X159" i="4" s="1"/>
  <c r="K159" i="4"/>
  <c r="J211" i="4"/>
  <c r="X211" i="4" s="1"/>
  <c r="K211" i="4"/>
  <c r="J265" i="4"/>
  <c r="X265" i="4" s="1"/>
  <c r="K265" i="4"/>
  <c r="J332" i="4"/>
  <c r="X332" i="4" s="1"/>
  <c r="K332" i="4"/>
  <c r="J356" i="4"/>
  <c r="X356" i="4" s="1"/>
  <c r="K356" i="4"/>
  <c r="J449" i="4"/>
  <c r="X449" i="4" s="1"/>
  <c r="K449" i="4"/>
  <c r="J508" i="4"/>
  <c r="X508" i="4" s="1"/>
  <c r="K508" i="4"/>
  <c r="J569" i="4"/>
  <c r="X569" i="4" s="1"/>
  <c r="K569" i="4"/>
  <c r="J629" i="4"/>
  <c r="X629" i="4" s="1"/>
  <c r="K629" i="4"/>
  <c r="J140" i="4"/>
  <c r="X140" i="4" s="1"/>
  <c r="K140" i="4"/>
  <c r="J192" i="4"/>
  <c r="X192" i="4" s="1"/>
  <c r="K192" i="4"/>
  <c r="J246" i="4"/>
  <c r="X246" i="4" s="1"/>
  <c r="K246" i="4"/>
  <c r="J313" i="4"/>
  <c r="X313" i="4" s="1"/>
  <c r="K313" i="4"/>
  <c r="X337" i="4"/>
  <c r="J430" i="4"/>
  <c r="X430" i="4" s="1"/>
  <c r="K430" i="4"/>
  <c r="J489" i="4"/>
  <c r="X489" i="4" s="1"/>
  <c r="K489" i="4"/>
  <c r="G150" i="4"/>
  <c r="G202" i="4"/>
  <c r="G256" i="4"/>
  <c r="G323" i="4"/>
  <c r="G440" i="4"/>
  <c r="G499" i="4"/>
  <c r="G560" i="4"/>
  <c r="G620" i="4"/>
  <c r="G108" i="4"/>
  <c r="G151" i="4"/>
  <c r="G203" i="4"/>
  <c r="G257" i="4"/>
  <c r="G324" i="4"/>
  <c r="G441" i="4"/>
  <c r="G500" i="4"/>
  <c r="G561" i="4"/>
  <c r="G621" i="4"/>
  <c r="G109" i="4"/>
  <c r="G152" i="4"/>
  <c r="G204" i="4"/>
  <c r="G258" i="4"/>
  <c r="G325" i="4"/>
  <c r="G442" i="4"/>
  <c r="G501" i="4"/>
  <c r="G562" i="4"/>
  <c r="G622" i="4"/>
  <c r="G110" i="4"/>
  <c r="G153" i="4"/>
  <c r="G205" i="4"/>
  <c r="G259" i="4"/>
  <c r="G326" i="4"/>
  <c r="G443" i="4"/>
  <c r="G502" i="4"/>
  <c r="G563" i="4"/>
  <c r="G623" i="4"/>
  <c r="G111" i="4"/>
  <c r="G154" i="4"/>
  <c r="G206" i="4"/>
  <c r="G260" i="4"/>
  <c r="G327" i="4"/>
  <c r="G444" i="4"/>
  <c r="G503" i="4"/>
  <c r="G564" i="4"/>
  <c r="G624" i="4"/>
  <c r="G112" i="4"/>
  <c r="G155" i="4"/>
  <c r="G207" i="4"/>
  <c r="G261" i="4"/>
  <c r="G328" i="4"/>
  <c r="G445" i="4"/>
  <c r="G504" i="4"/>
  <c r="G565" i="4"/>
  <c r="G625" i="4"/>
  <c r="G113" i="4"/>
  <c r="G156" i="4"/>
  <c r="G208" i="4"/>
  <c r="G262" i="4"/>
  <c r="G329" i="4"/>
  <c r="G446" i="4"/>
  <c r="G505" i="4"/>
  <c r="G566" i="4"/>
  <c r="G626" i="4"/>
  <c r="G114" i="4"/>
  <c r="G157" i="4"/>
  <c r="G209" i="4"/>
  <c r="G263" i="4"/>
  <c r="G330" i="4"/>
  <c r="G447" i="4"/>
  <c r="G506" i="4"/>
  <c r="G567" i="4"/>
  <c r="G627" i="4"/>
  <c r="G115" i="4"/>
  <c r="G158" i="4"/>
  <c r="G210" i="4"/>
  <c r="G264" i="4"/>
  <c r="G331" i="4"/>
  <c r="G448" i="4"/>
  <c r="G507" i="4"/>
  <c r="G568" i="4"/>
  <c r="G628" i="4"/>
  <c r="G116" i="4"/>
  <c r="G159" i="4"/>
  <c r="G211" i="4"/>
  <c r="G265" i="4"/>
  <c r="G332" i="4"/>
  <c r="G449" i="4"/>
  <c r="G508" i="4"/>
  <c r="G569" i="4"/>
  <c r="G629" i="4"/>
  <c r="H150" i="4"/>
  <c r="H202" i="4"/>
  <c r="H256" i="4"/>
  <c r="H323" i="4"/>
  <c r="H440" i="4"/>
  <c r="H499" i="4"/>
  <c r="H560" i="4"/>
  <c r="H620" i="4"/>
  <c r="H108" i="4"/>
  <c r="H151" i="4"/>
  <c r="H203" i="4"/>
  <c r="H257" i="4"/>
  <c r="H324" i="4"/>
  <c r="H441" i="4"/>
  <c r="H500" i="4"/>
  <c r="H561" i="4"/>
  <c r="H621" i="4"/>
  <c r="H109" i="4"/>
  <c r="H152" i="4"/>
  <c r="H204" i="4"/>
  <c r="H258" i="4"/>
  <c r="H325" i="4"/>
  <c r="H442" i="4"/>
  <c r="H501" i="4"/>
  <c r="H562" i="4"/>
  <c r="H622" i="4"/>
  <c r="H110" i="4"/>
  <c r="H153" i="4"/>
  <c r="H205" i="4"/>
  <c r="H259" i="4"/>
  <c r="H326" i="4"/>
  <c r="H443" i="4"/>
  <c r="H502" i="4"/>
  <c r="H563" i="4"/>
  <c r="H623" i="4"/>
  <c r="H111" i="4"/>
  <c r="H154" i="4"/>
  <c r="H206" i="4"/>
  <c r="H260" i="4"/>
  <c r="H327" i="4"/>
  <c r="H444" i="4"/>
  <c r="H503" i="4"/>
  <c r="H564" i="4"/>
  <c r="H624" i="4"/>
  <c r="H112" i="4"/>
  <c r="H155" i="4"/>
  <c r="H207" i="4"/>
  <c r="H261" i="4"/>
  <c r="H328" i="4"/>
  <c r="H445" i="4"/>
  <c r="H504" i="4"/>
  <c r="H565" i="4"/>
  <c r="H625" i="4"/>
  <c r="H113" i="4"/>
  <c r="H156" i="4"/>
  <c r="H208" i="4"/>
  <c r="H262" i="4"/>
  <c r="H329" i="4"/>
  <c r="H446" i="4"/>
  <c r="H505" i="4"/>
  <c r="H566" i="4"/>
  <c r="H626" i="4"/>
  <c r="H114" i="4"/>
  <c r="H157" i="4"/>
  <c r="H209" i="4"/>
  <c r="H263" i="4"/>
  <c r="H330" i="4"/>
  <c r="H447" i="4"/>
  <c r="H506" i="4"/>
  <c r="H567" i="4"/>
  <c r="H627" i="4"/>
  <c r="H115" i="4"/>
  <c r="H158" i="4"/>
  <c r="H210" i="4"/>
  <c r="H264" i="4"/>
  <c r="H331" i="4"/>
  <c r="H448" i="4"/>
  <c r="H507" i="4"/>
  <c r="H568" i="4"/>
  <c r="H628" i="4"/>
  <c r="H116" i="4"/>
  <c r="H159" i="4"/>
  <c r="H211" i="4"/>
  <c r="H265" i="4"/>
  <c r="H332" i="4"/>
  <c r="H449" i="4"/>
  <c r="H508" i="4"/>
  <c r="H569" i="4"/>
  <c r="H629" i="4"/>
  <c r="L150" i="4"/>
  <c r="L202" i="4"/>
  <c r="L256" i="4"/>
  <c r="L323" i="4"/>
  <c r="L347" i="4"/>
  <c r="L440" i="4"/>
  <c r="L499" i="4"/>
  <c r="L560" i="4"/>
  <c r="L620" i="4"/>
  <c r="L108" i="4"/>
  <c r="L151" i="4"/>
  <c r="L203" i="4"/>
  <c r="L257" i="4"/>
  <c r="L324" i="4"/>
  <c r="L348" i="4"/>
  <c r="L441" i="4"/>
  <c r="L500" i="4"/>
  <c r="L561" i="4"/>
  <c r="L621" i="4"/>
  <c r="L109" i="4"/>
  <c r="L152" i="4"/>
  <c r="L204" i="4"/>
  <c r="L258" i="4"/>
  <c r="L325" i="4"/>
  <c r="L349" i="4"/>
  <c r="L442" i="4"/>
  <c r="L501" i="4"/>
  <c r="L562" i="4"/>
  <c r="L622" i="4"/>
  <c r="L110" i="4"/>
  <c r="L153" i="4"/>
  <c r="L205" i="4"/>
  <c r="L259" i="4"/>
  <c r="L326" i="4"/>
  <c r="L350" i="4"/>
  <c r="L443" i="4"/>
  <c r="L502" i="4"/>
  <c r="L563" i="4"/>
  <c r="L623" i="4"/>
  <c r="L111" i="4"/>
  <c r="L154" i="4"/>
  <c r="L206" i="4"/>
  <c r="L260" i="4"/>
  <c r="L327" i="4"/>
  <c r="L351" i="4"/>
  <c r="L444" i="4"/>
  <c r="L503" i="4"/>
  <c r="L564" i="4"/>
  <c r="L624" i="4"/>
  <c r="L112" i="4"/>
  <c r="L155" i="4"/>
  <c r="L207" i="4"/>
  <c r="L261" i="4"/>
  <c r="L328" i="4"/>
  <c r="L352" i="4"/>
  <c r="L445" i="4"/>
  <c r="L504" i="4"/>
  <c r="L565" i="4"/>
  <c r="L625" i="4"/>
  <c r="L113" i="4"/>
  <c r="L156" i="4"/>
  <c r="L208" i="4"/>
  <c r="L262" i="4"/>
  <c r="L329" i="4"/>
  <c r="L353" i="4"/>
  <c r="L446" i="4"/>
  <c r="L505" i="4"/>
  <c r="L566" i="4"/>
  <c r="L626" i="4"/>
  <c r="L114" i="4"/>
  <c r="L157" i="4"/>
  <c r="L209" i="4"/>
  <c r="L263" i="4"/>
  <c r="L330" i="4"/>
  <c r="L354" i="4"/>
  <c r="L447" i="4"/>
  <c r="L506" i="4"/>
  <c r="L567" i="4"/>
  <c r="L627" i="4"/>
  <c r="L115" i="4"/>
  <c r="L158" i="4"/>
  <c r="L210" i="4"/>
  <c r="L264" i="4"/>
  <c r="L331" i="4"/>
  <c r="L355" i="4"/>
  <c r="L448" i="4"/>
  <c r="L507" i="4"/>
  <c r="L568" i="4"/>
  <c r="L628" i="4"/>
  <c r="L116" i="4"/>
  <c r="L159" i="4"/>
  <c r="L211" i="4"/>
  <c r="L265" i="4"/>
  <c r="L332" i="4"/>
  <c r="L356" i="4"/>
  <c r="L449" i="4"/>
  <c r="L508" i="4"/>
  <c r="L569" i="4"/>
  <c r="L629" i="4"/>
  <c r="W150" i="4"/>
  <c r="W202" i="4"/>
  <c r="W256" i="4"/>
  <c r="W323" i="4"/>
  <c r="W347" i="4"/>
  <c r="W440" i="4"/>
  <c r="W499" i="4"/>
  <c r="W560" i="4"/>
  <c r="W620" i="4"/>
  <c r="W108" i="4"/>
  <c r="W151" i="4"/>
  <c r="W203" i="4"/>
  <c r="W257" i="4"/>
  <c r="W324" i="4"/>
  <c r="W348" i="4"/>
  <c r="W441" i="4"/>
  <c r="W500" i="4"/>
  <c r="W561" i="4"/>
  <c r="W621" i="4"/>
  <c r="W109" i="4"/>
  <c r="W152" i="4"/>
  <c r="W204" i="4"/>
  <c r="W258" i="4"/>
  <c r="W325" i="4"/>
  <c r="W349" i="4"/>
  <c r="W442" i="4"/>
  <c r="W501" i="4"/>
  <c r="W562" i="4"/>
  <c r="W622" i="4"/>
  <c r="W110" i="4"/>
  <c r="W153" i="4"/>
  <c r="W205" i="4"/>
  <c r="W259" i="4"/>
  <c r="W326" i="4"/>
  <c r="W350" i="4"/>
  <c r="W443" i="4"/>
  <c r="W502" i="4"/>
  <c r="W563" i="4"/>
  <c r="W623" i="4"/>
  <c r="W111" i="4"/>
  <c r="W154" i="4"/>
  <c r="W206" i="4"/>
  <c r="W260" i="4"/>
  <c r="W327" i="4"/>
  <c r="W351" i="4"/>
  <c r="W444" i="4"/>
  <c r="W503" i="4"/>
  <c r="W564" i="4"/>
  <c r="W624" i="4"/>
  <c r="W112" i="4"/>
  <c r="W155" i="4"/>
  <c r="W207" i="4"/>
  <c r="W261" i="4"/>
  <c r="W328" i="4"/>
  <c r="W352" i="4"/>
  <c r="W445" i="4"/>
  <c r="W504" i="4"/>
  <c r="W565" i="4"/>
  <c r="W625" i="4"/>
  <c r="W113" i="4"/>
  <c r="W156" i="4"/>
  <c r="W208" i="4"/>
  <c r="W262" i="4"/>
  <c r="W329" i="4"/>
  <c r="W353" i="4"/>
  <c r="W446" i="4"/>
  <c r="W505" i="4"/>
  <c r="W566" i="4"/>
  <c r="W626" i="4"/>
  <c r="W114" i="4"/>
  <c r="W157" i="4"/>
  <c r="W209" i="4"/>
  <c r="W263" i="4"/>
  <c r="W330" i="4"/>
  <c r="W354" i="4"/>
  <c r="W447" i="4"/>
  <c r="W506" i="4"/>
  <c r="W567" i="4"/>
  <c r="W627" i="4"/>
  <c r="W115" i="4"/>
  <c r="W158" i="4"/>
  <c r="W210" i="4"/>
  <c r="W264" i="4"/>
  <c r="W331" i="4"/>
  <c r="W355" i="4"/>
  <c r="W448" i="4"/>
  <c r="W507" i="4"/>
  <c r="W568" i="4"/>
  <c r="W628" i="4"/>
  <c r="W116" i="4"/>
  <c r="W159" i="4"/>
  <c r="W211" i="4"/>
  <c r="W265" i="4"/>
  <c r="W332" i="4"/>
  <c r="W356" i="4"/>
  <c r="W449" i="4"/>
  <c r="W508" i="4"/>
  <c r="W569" i="4"/>
  <c r="W629" i="4"/>
  <c r="Y150" i="4"/>
  <c r="Y202" i="4"/>
  <c r="Y256" i="4"/>
  <c r="Y323" i="4"/>
  <c r="Y347" i="4"/>
  <c r="Y440" i="4"/>
  <c r="Y499" i="4"/>
  <c r="Y560" i="4"/>
  <c r="Y620" i="4"/>
  <c r="Y108" i="4"/>
  <c r="Y151" i="4"/>
  <c r="Y203" i="4"/>
  <c r="Y257" i="4"/>
  <c r="Y324" i="4"/>
  <c r="Y348" i="4"/>
  <c r="Y441" i="4"/>
  <c r="Y500" i="4"/>
  <c r="Y561" i="4"/>
  <c r="Y621" i="4"/>
  <c r="Y109" i="4"/>
  <c r="Y152" i="4"/>
  <c r="Y204" i="4"/>
  <c r="Y258" i="4"/>
  <c r="Y325" i="4"/>
  <c r="Y349" i="4"/>
  <c r="Y442" i="4"/>
  <c r="Y501" i="4"/>
  <c r="Y562" i="4"/>
  <c r="Y622" i="4"/>
  <c r="Y110" i="4"/>
  <c r="Y153" i="4"/>
  <c r="Y205" i="4"/>
  <c r="Y259" i="4"/>
  <c r="Y326" i="4"/>
  <c r="Y350" i="4"/>
  <c r="Y443" i="4"/>
  <c r="Y502" i="4"/>
  <c r="Y563" i="4"/>
  <c r="Y623" i="4"/>
  <c r="Y111" i="4"/>
  <c r="Y154" i="4"/>
  <c r="Y206" i="4"/>
  <c r="Y260" i="4"/>
  <c r="Y327" i="4"/>
  <c r="Y351" i="4"/>
  <c r="Y444" i="4"/>
  <c r="Y503" i="4"/>
  <c r="Y564" i="4"/>
  <c r="Y624" i="4"/>
  <c r="Y112" i="4"/>
  <c r="Y155" i="4"/>
  <c r="Y207" i="4"/>
  <c r="Y261" i="4"/>
  <c r="Y328" i="4"/>
  <c r="Y352" i="4"/>
  <c r="Y445" i="4"/>
  <c r="Y504" i="4"/>
  <c r="Y565" i="4"/>
  <c r="Y625" i="4"/>
  <c r="Y113" i="4"/>
  <c r="Y156" i="4"/>
  <c r="Y208" i="4"/>
  <c r="Y262" i="4"/>
  <c r="Y329" i="4"/>
  <c r="Y353" i="4"/>
  <c r="Y446" i="4"/>
  <c r="Y505" i="4"/>
  <c r="Y566" i="4"/>
  <c r="Y626" i="4"/>
  <c r="Y114" i="4"/>
  <c r="Y157" i="4"/>
  <c r="Y209" i="4"/>
  <c r="Y263" i="4"/>
  <c r="Y330" i="4"/>
  <c r="Y354" i="4"/>
  <c r="Y447" i="4"/>
  <c r="Y506" i="4"/>
  <c r="Y567" i="4"/>
  <c r="Y627" i="4"/>
  <c r="Y115" i="4"/>
  <c r="Y158" i="4"/>
  <c r="Y210" i="4"/>
  <c r="Y264" i="4"/>
  <c r="Y331" i="4"/>
  <c r="Y355" i="4"/>
  <c r="Y448" i="4"/>
  <c r="Y507" i="4"/>
  <c r="Y568" i="4"/>
  <c r="Y628" i="4"/>
  <c r="Y116" i="4"/>
  <c r="Y159" i="4"/>
  <c r="Y211" i="4"/>
  <c r="Y265" i="4"/>
  <c r="Y332" i="4"/>
  <c r="Y356" i="4"/>
  <c r="Y449" i="4"/>
  <c r="Y508" i="4"/>
  <c r="Y569" i="4"/>
  <c r="Y629" i="4"/>
  <c r="Z150" i="4"/>
  <c r="Z202" i="4"/>
  <c r="Z256" i="4"/>
  <c r="Z323" i="4"/>
  <c r="Z347" i="4"/>
  <c r="Z440" i="4"/>
  <c r="Z499" i="4"/>
  <c r="Z560" i="4"/>
  <c r="Z620" i="4"/>
  <c r="Z108" i="4"/>
  <c r="Z151" i="4"/>
  <c r="Z203" i="4"/>
  <c r="Z257" i="4"/>
  <c r="Z324" i="4"/>
  <c r="Z348" i="4"/>
  <c r="Z441" i="4"/>
  <c r="Z500" i="4"/>
  <c r="Z561" i="4"/>
  <c r="Z621" i="4"/>
  <c r="Z109" i="4"/>
  <c r="Z152" i="4"/>
  <c r="Z204" i="4"/>
  <c r="Z258" i="4"/>
  <c r="Z325" i="4"/>
  <c r="Z349" i="4"/>
  <c r="Z442" i="4"/>
  <c r="Z501" i="4"/>
  <c r="Z562" i="4"/>
  <c r="Z622" i="4"/>
  <c r="Z110" i="4"/>
  <c r="Z153" i="4"/>
  <c r="Z205" i="4"/>
  <c r="Z259" i="4"/>
  <c r="Z326" i="4"/>
  <c r="Z350" i="4"/>
  <c r="Z443" i="4"/>
  <c r="Z502" i="4"/>
  <c r="Z563" i="4"/>
  <c r="Z623" i="4"/>
  <c r="Z111" i="4"/>
  <c r="Z154" i="4"/>
  <c r="Z206" i="4"/>
  <c r="Z260" i="4"/>
  <c r="Z327" i="4"/>
  <c r="Z351" i="4"/>
  <c r="Z444" i="4"/>
  <c r="Z503" i="4"/>
  <c r="Z564" i="4"/>
  <c r="Z624" i="4"/>
  <c r="Z112" i="4"/>
  <c r="Z155" i="4"/>
  <c r="Z207" i="4"/>
  <c r="Z261" i="4"/>
  <c r="Z328" i="4"/>
  <c r="Z352" i="4"/>
  <c r="Z445" i="4"/>
  <c r="Z504" i="4"/>
  <c r="Z565" i="4"/>
  <c r="Z625" i="4"/>
  <c r="Z113" i="4"/>
  <c r="Z156" i="4"/>
  <c r="Z208" i="4"/>
  <c r="Z262" i="4"/>
  <c r="Z329" i="4"/>
  <c r="Z353" i="4"/>
  <c r="Z446" i="4"/>
  <c r="Z505" i="4"/>
  <c r="Z566" i="4"/>
  <c r="Z626" i="4"/>
  <c r="Z114" i="4"/>
  <c r="Z157" i="4"/>
  <c r="Z209" i="4"/>
  <c r="Z263" i="4"/>
  <c r="Z330" i="4"/>
  <c r="Z354" i="4"/>
  <c r="Z447" i="4"/>
  <c r="Z506" i="4"/>
  <c r="Z567" i="4"/>
  <c r="Z627" i="4"/>
  <c r="Z115" i="4"/>
  <c r="Z158" i="4"/>
  <c r="Z210" i="4"/>
  <c r="Z264" i="4"/>
  <c r="Z331" i="4"/>
  <c r="Z355" i="4"/>
  <c r="Z448" i="4"/>
  <c r="Z507" i="4"/>
  <c r="Z568" i="4"/>
  <c r="Z628" i="4"/>
  <c r="Z116" i="4"/>
  <c r="Z159" i="4"/>
  <c r="Z211" i="4"/>
  <c r="Z265" i="4"/>
  <c r="Z332" i="4"/>
  <c r="Z356" i="4"/>
  <c r="Z449" i="4"/>
  <c r="Z508" i="4"/>
  <c r="Z569" i="4"/>
  <c r="Z629" i="4"/>
  <c r="AF150" i="4"/>
  <c r="AF202" i="4"/>
  <c r="AF256" i="4"/>
  <c r="AF323" i="4"/>
  <c r="AF347" i="4"/>
  <c r="AF440" i="4"/>
  <c r="AF499" i="4"/>
  <c r="AF560" i="4"/>
  <c r="AF620" i="4"/>
  <c r="AF108" i="4"/>
  <c r="AF151" i="4"/>
  <c r="AF203" i="4"/>
  <c r="AF257" i="4"/>
  <c r="AF324" i="4"/>
  <c r="AF348" i="4"/>
  <c r="AF441" i="4"/>
  <c r="AF500" i="4"/>
  <c r="AF561" i="4"/>
  <c r="AF621" i="4"/>
  <c r="AF109" i="4"/>
  <c r="AF152" i="4"/>
  <c r="AF204" i="4"/>
  <c r="AF258" i="4"/>
  <c r="AF325" i="4"/>
  <c r="AF349" i="4"/>
  <c r="AF442" i="4"/>
  <c r="AF501" i="4"/>
  <c r="AF562" i="4"/>
  <c r="AF622" i="4"/>
  <c r="AF110" i="4"/>
  <c r="AF153" i="4"/>
  <c r="AF205" i="4"/>
  <c r="AF259" i="4"/>
  <c r="AF326" i="4"/>
  <c r="AF350" i="4"/>
  <c r="AF443" i="4"/>
  <c r="AF502" i="4"/>
  <c r="AF563" i="4"/>
  <c r="AF623" i="4"/>
  <c r="AF111" i="4"/>
  <c r="AF154" i="4"/>
  <c r="AF206" i="4"/>
  <c r="AF260" i="4"/>
  <c r="AF327" i="4"/>
  <c r="AF351" i="4"/>
  <c r="AF444" i="4"/>
  <c r="AF503" i="4"/>
  <c r="AF564" i="4"/>
  <c r="AF624" i="4"/>
  <c r="AF112" i="4"/>
  <c r="AF155" i="4"/>
  <c r="AF207" i="4"/>
  <c r="AF261" i="4"/>
  <c r="AF328" i="4"/>
  <c r="AF352" i="4"/>
  <c r="AF445" i="4"/>
  <c r="AF504" i="4"/>
  <c r="AF565" i="4"/>
  <c r="AF625" i="4"/>
  <c r="AF113" i="4"/>
  <c r="AF156" i="4"/>
  <c r="AF208" i="4"/>
  <c r="AF262" i="4"/>
  <c r="AF329" i="4"/>
  <c r="AF353" i="4"/>
  <c r="AF446" i="4"/>
  <c r="AF505" i="4"/>
  <c r="AF566" i="4"/>
  <c r="AF626" i="4"/>
  <c r="AF114" i="4"/>
  <c r="AF157" i="4"/>
  <c r="AF209" i="4"/>
  <c r="AF263" i="4"/>
  <c r="AF330" i="4"/>
  <c r="AF354" i="4"/>
  <c r="AF447" i="4"/>
  <c r="AF506" i="4"/>
  <c r="AF567" i="4"/>
  <c r="AF627" i="4"/>
  <c r="AF115" i="4"/>
  <c r="AF158" i="4"/>
  <c r="AF210" i="4"/>
  <c r="AF264" i="4"/>
  <c r="AF331" i="4"/>
  <c r="AF355" i="4"/>
  <c r="AF448" i="4"/>
  <c r="AF507" i="4"/>
  <c r="AF568" i="4"/>
  <c r="AF628" i="4"/>
  <c r="AF116" i="4"/>
  <c r="AF159" i="4"/>
  <c r="AF211" i="4"/>
  <c r="AF265" i="4"/>
  <c r="AF332" i="4"/>
  <c r="AF356" i="4"/>
  <c r="AF449" i="4"/>
  <c r="AF508" i="4"/>
  <c r="AF569" i="4"/>
  <c r="AF629" i="4"/>
  <c r="G140" i="4"/>
  <c r="G192" i="4"/>
  <c r="G313" i="4"/>
  <c r="G430" i="4"/>
  <c r="G489" i="4"/>
  <c r="G550" i="4"/>
  <c r="G610" i="4"/>
  <c r="G98" i="4"/>
  <c r="G141" i="4"/>
  <c r="G193" i="4"/>
  <c r="G247" i="4"/>
  <c r="G314" i="4"/>
  <c r="G431" i="4"/>
  <c r="G490" i="4"/>
  <c r="G551" i="4"/>
  <c r="G611" i="4"/>
  <c r="G99" i="4"/>
  <c r="G142" i="4"/>
  <c r="G194" i="4"/>
  <c r="G248" i="4"/>
  <c r="G315" i="4"/>
  <c r="G432" i="4"/>
  <c r="G491" i="4"/>
  <c r="G552" i="4"/>
  <c r="G612" i="4"/>
  <c r="G100" i="4"/>
  <c r="G143" i="4"/>
  <c r="G195" i="4"/>
  <c r="G249" i="4"/>
  <c r="G316" i="4"/>
  <c r="G433" i="4"/>
  <c r="G492" i="4"/>
  <c r="G553" i="4"/>
  <c r="G613" i="4"/>
  <c r="G101" i="4"/>
  <c r="G144" i="4"/>
  <c r="G196" i="4"/>
  <c r="G250" i="4"/>
  <c r="G317" i="4"/>
  <c r="G434" i="4"/>
  <c r="G493" i="4"/>
  <c r="G554" i="4"/>
  <c r="G614" i="4"/>
  <c r="G102" i="4"/>
  <c r="G145" i="4"/>
  <c r="G197" i="4"/>
  <c r="G251" i="4"/>
  <c r="G318" i="4"/>
  <c r="G435" i="4"/>
  <c r="G494" i="4"/>
  <c r="G555" i="4"/>
  <c r="G615" i="4"/>
  <c r="G103" i="4"/>
  <c r="G146" i="4"/>
  <c r="G198" i="4"/>
  <c r="G252" i="4"/>
  <c r="G319" i="4"/>
  <c r="G436" i="4"/>
  <c r="G495" i="4"/>
  <c r="G556" i="4"/>
  <c r="G616" i="4"/>
  <c r="G104" i="4"/>
  <c r="G147" i="4"/>
  <c r="G199" i="4"/>
  <c r="G253" i="4"/>
  <c r="G320" i="4"/>
  <c r="G437" i="4"/>
  <c r="G496" i="4"/>
  <c r="G557" i="4"/>
  <c r="G617" i="4"/>
  <c r="G105" i="4"/>
  <c r="G148" i="4"/>
  <c r="G200" i="4"/>
  <c r="G254" i="4"/>
  <c r="G321" i="4"/>
  <c r="G438" i="4"/>
  <c r="G497" i="4"/>
  <c r="G558" i="4"/>
  <c r="G618" i="4"/>
  <c r="G106" i="4"/>
  <c r="G149" i="4"/>
  <c r="G201" i="4"/>
  <c r="G255" i="4"/>
  <c r="G322" i="4"/>
  <c r="G439" i="4"/>
  <c r="G498" i="4"/>
  <c r="G559" i="4"/>
  <c r="G619" i="4"/>
  <c r="G107" i="4"/>
  <c r="H140" i="4"/>
  <c r="H192" i="4"/>
  <c r="H246" i="4"/>
  <c r="H313" i="4"/>
  <c r="H430" i="4"/>
  <c r="H489" i="4"/>
  <c r="H550" i="4"/>
  <c r="H610" i="4"/>
  <c r="H98" i="4"/>
  <c r="H141" i="4"/>
  <c r="H193" i="4"/>
  <c r="H247" i="4"/>
  <c r="H314" i="4"/>
  <c r="H431" i="4"/>
  <c r="H490" i="4"/>
  <c r="H551" i="4"/>
  <c r="H611" i="4"/>
  <c r="H99" i="4"/>
  <c r="H142" i="4"/>
  <c r="H194" i="4"/>
  <c r="H248" i="4"/>
  <c r="H315" i="4"/>
  <c r="H432" i="4"/>
  <c r="H491" i="4"/>
  <c r="H552" i="4"/>
  <c r="H612" i="4"/>
  <c r="H100" i="4"/>
  <c r="H143" i="4"/>
  <c r="H195" i="4"/>
  <c r="H249" i="4"/>
  <c r="H316" i="4"/>
  <c r="H433" i="4"/>
  <c r="H492" i="4"/>
  <c r="H553" i="4"/>
  <c r="H613" i="4"/>
  <c r="H101" i="4"/>
  <c r="H144" i="4"/>
  <c r="H196" i="4"/>
  <c r="H250" i="4"/>
  <c r="H317" i="4"/>
  <c r="H434" i="4"/>
  <c r="H493" i="4"/>
  <c r="H554" i="4"/>
  <c r="H614" i="4"/>
  <c r="H102" i="4"/>
  <c r="H145" i="4"/>
  <c r="H197" i="4"/>
  <c r="H251" i="4"/>
  <c r="H318" i="4"/>
  <c r="H435" i="4"/>
  <c r="H494" i="4"/>
  <c r="H555" i="4"/>
  <c r="H615" i="4"/>
  <c r="H103" i="4"/>
  <c r="H146" i="4"/>
  <c r="H198" i="4"/>
  <c r="H252" i="4"/>
  <c r="H319" i="4"/>
  <c r="H436" i="4"/>
  <c r="H495" i="4"/>
  <c r="H556" i="4"/>
  <c r="H616" i="4"/>
  <c r="H104" i="4"/>
  <c r="H147" i="4"/>
  <c r="H199" i="4"/>
  <c r="H253" i="4"/>
  <c r="H320" i="4"/>
  <c r="H437" i="4"/>
  <c r="H496" i="4"/>
  <c r="H557" i="4"/>
  <c r="H617" i="4"/>
  <c r="H105" i="4"/>
  <c r="H148" i="4"/>
  <c r="H200" i="4"/>
  <c r="H254" i="4"/>
  <c r="H321" i="4"/>
  <c r="H438" i="4"/>
  <c r="H497" i="4"/>
  <c r="H558" i="4"/>
  <c r="H618" i="4"/>
  <c r="H106" i="4"/>
  <c r="H149" i="4"/>
  <c r="H201" i="4"/>
  <c r="H255" i="4"/>
  <c r="H322" i="4"/>
  <c r="H439" i="4"/>
  <c r="H498" i="4"/>
  <c r="H559" i="4"/>
  <c r="H619" i="4"/>
  <c r="H107" i="4"/>
  <c r="L140" i="4"/>
  <c r="L192" i="4"/>
  <c r="L246" i="4"/>
  <c r="L313" i="4"/>
  <c r="L337" i="4"/>
  <c r="L430" i="4"/>
  <c r="L489" i="4"/>
  <c r="L550" i="4"/>
  <c r="L610" i="4"/>
  <c r="L98" i="4"/>
  <c r="L141" i="4"/>
  <c r="L193" i="4"/>
  <c r="L247" i="4"/>
  <c r="L314" i="4"/>
  <c r="L338" i="4"/>
  <c r="L431" i="4"/>
  <c r="L490" i="4"/>
  <c r="L551" i="4"/>
  <c r="L611" i="4"/>
  <c r="L99" i="4"/>
  <c r="L142" i="4"/>
  <c r="L194" i="4"/>
  <c r="L248" i="4"/>
  <c r="L315" i="4"/>
  <c r="L339" i="4"/>
  <c r="L432" i="4"/>
  <c r="L491" i="4"/>
  <c r="L552" i="4"/>
  <c r="L612" i="4"/>
  <c r="L100" i="4"/>
  <c r="L143" i="4"/>
  <c r="L195" i="4"/>
  <c r="L249" i="4"/>
  <c r="L316" i="4"/>
  <c r="L340" i="4"/>
  <c r="L433" i="4"/>
  <c r="L492" i="4"/>
  <c r="L553" i="4"/>
  <c r="L613" i="4"/>
  <c r="L101" i="4"/>
  <c r="L144" i="4"/>
  <c r="L196" i="4"/>
  <c r="L250" i="4"/>
  <c r="L317" i="4"/>
  <c r="L341" i="4"/>
  <c r="L434" i="4"/>
  <c r="L493" i="4"/>
  <c r="L554" i="4"/>
  <c r="L614" i="4"/>
  <c r="L102" i="4"/>
  <c r="L145" i="4"/>
  <c r="L197" i="4"/>
  <c r="L251" i="4"/>
  <c r="L318" i="4"/>
  <c r="L342" i="4"/>
  <c r="L435" i="4"/>
  <c r="L494" i="4"/>
  <c r="L555" i="4"/>
  <c r="L615" i="4"/>
  <c r="L103" i="4"/>
  <c r="L146" i="4"/>
  <c r="L198" i="4"/>
  <c r="L252" i="4"/>
  <c r="L319" i="4"/>
  <c r="L343" i="4"/>
  <c r="L436" i="4"/>
  <c r="L495" i="4"/>
  <c r="L556" i="4"/>
  <c r="L616" i="4"/>
  <c r="L104" i="4"/>
  <c r="L147" i="4"/>
  <c r="L199" i="4"/>
  <c r="L253" i="4"/>
  <c r="L320" i="4"/>
  <c r="L344" i="4"/>
  <c r="L437" i="4"/>
  <c r="L496" i="4"/>
  <c r="L557" i="4"/>
  <c r="L617" i="4"/>
  <c r="L105" i="4"/>
  <c r="L148" i="4"/>
  <c r="L200" i="4"/>
  <c r="L254" i="4"/>
  <c r="L321" i="4"/>
  <c r="L345" i="4"/>
  <c r="L438" i="4"/>
  <c r="L497" i="4"/>
  <c r="L558" i="4"/>
  <c r="L618" i="4"/>
  <c r="L106" i="4"/>
  <c r="L149" i="4"/>
  <c r="L201" i="4"/>
  <c r="L255" i="4"/>
  <c r="L322" i="4"/>
  <c r="L346" i="4"/>
  <c r="L439" i="4"/>
  <c r="L498" i="4"/>
  <c r="L559" i="4"/>
  <c r="L619" i="4"/>
  <c r="L107" i="4"/>
  <c r="W140" i="4"/>
  <c r="W192" i="4"/>
  <c r="W246" i="4"/>
  <c r="W313" i="4"/>
  <c r="W337" i="4"/>
  <c r="W430" i="4"/>
  <c r="W489" i="4"/>
  <c r="W550" i="4"/>
  <c r="W610" i="4"/>
  <c r="W98" i="4"/>
  <c r="W141" i="4"/>
  <c r="W193" i="4"/>
  <c r="W247" i="4"/>
  <c r="W314" i="4"/>
  <c r="W338" i="4"/>
  <c r="W431" i="4"/>
  <c r="W490" i="4"/>
  <c r="W551" i="4"/>
  <c r="W611" i="4"/>
  <c r="W99" i="4"/>
  <c r="W142" i="4"/>
  <c r="W194" i="4"/>
  <c r="W248" i="4"/>
  <c r="W315" i="4"/>
  <c r="W339" i="4"/>
  <c r="W432" i="4"/>
  <c r="W491" i="4"/>
  <c r="W552" i="4"/>
  <c r="W612" i="4"/>
  <c r="W100" i="4"/>
  <c r="W143" i="4"/>
  <c r="W195" i="4"/>
  <c r="W249" i="4"/>
  <c r="W316" i="4"/>
  <c r="W340" i="4"/>
  <c r="W433" i="4"/>
  <c r="W492" i="4"/>
  <c r="W553" i="4"/>
  <c r="W613" i="4"/>
  <c r="W101" i="4"/>
  <c r="W144" i="4"/>
  <c r="W196" i="4"/>
  <c r="W250" i="4"/>
  <c r="W317" i="4"/>
  <c r="W341" i="4"/>
  <c r="W434" i="4"/>
  <c r="W493" i="4"/>
  <c r="W554" i="4"/>
  <c r="W614" i="4"/>
  <c r="W102" i="4"/>
  <c r="W145" i="4"/>
  <c r="W197" i="4"/>
  <c r="W251" i="4"/>
  <c r="W318" i="4"/>
  <c r="W342" i="4"/>
  <c r="W435" i="4"/>
  <c r="W494" i="4"/>
  <c r="W555" i="4"/>
  <c r="W615" i="4"/>
  <c r="W103" i="4"/>
  <c r="W146" i="4"/>
  <c r="W198" i="4"/>
  <c r="W252" i="4"/>
  <c r="W319" i="4"/>
  <c r="W343" i="4"/>
  <c r="W436" i="4"/>
  <c r="W495" i="4"/>
  <c r="W556" i="4"/>
  <c r="W616" i="4"/>
  <c r="W104" i="4"/>
  <c r="W147" i="4"/>
  <c r="W199" i="4"/>
  <c r="W253" i="4"/>
  <c r="W320" i="4"/>
  <c r="W344" i="4"/>
  <c r="W437" i="4"/>
  <c r="W496" i="4"/>
  <c r="W557" i="4"/>
  <c r="W617" i="4"/>
  <c r="W105" i="4"/>
  <c r="W148" i="4"/>
  <c r="W200" i="4"/>
  <c r="W254" i="4"/>
  <c r="W321" i="4"/>
  <c r="W345" i="4"/>
  <c r="W438" i="4"/>
  <c r="W497" i="4"/>
  <c r="W558" i="4"/>
  <c r="W618" i="4"/>
  <c r="W106" i="4"/>
  <c r="W149" i="4"/>
  <c r="W201" i="4"/>
  <c r="W255" i="4"/>
  <c r="W322" i="4"/>
  <c r="W346" i="4"/>
  <c r="W439" i="4"/>
  <c r="W498" i="4"/>
  <c r="W559" i="4"/>
  <c r="W619" i="4"/>
  <c r="W107" i="4"/>
  <c r="Y140" i="4"/>
  <c r="Y192" i="4"/>
  <c r="Y246" i="4"/>
  <c r="Y313" i="4"/>
  <c r="Y337" i="4"/>
  <c r="Y430" i="4"/>
  <c r="Y489" i="4"/>
  <c r="Y550" i="4"/>
  <c r="Y610" i="4"/>
  <c r="Y98" i="4"/>
  <c r="Y141" i="4"/>
  <c r="Y193" i="4"/>
  <c r="Y247" i="4"/>
  <c r="Y314" i="4"/>
  <c r="Y338" i="4"/>
  <c r="Y431" i="4"/>
  <c r="Y490" i="4"/>
  <c r="Y551" i="4"/>
  <c r="Y611" i="4"/>
  <c r="Y99" i="4"/>
  <c r="Y142" i="4"/>
  <c r="Y194" i="4"/>
  <c r="Y248" i="4"/>
  <c r="Y315" i="4"/>
  <c r="Y339" i="4"/>
  <c r="Y432" i="4"/>
  <c r="Y491" i="4"/>
  <c r="Y552" i="4"/>
  <c r="Y612" i="4"/>
  <c r="Y100" i="4"/>
  <c r="Y143" i="4"/>
  <c r="Y195" i="4"/>
  <c r="Y249" i="4"/>
  <c r="Y316" i="4"/>
  <c r="Y340" i="4"/>
  <c r="Y433" i="4"/>
  <c r="Y492" i="4"/>
  <c r="Y553" i="4"/>
  <c r="Y613" i="4"/>
  <c r="Y101" i="4"/>
  <c r="Y144" i="4"/>
  <c r="Y196" i="4"/>
  <c r="Y250" i="4"/>
  <c r="Y317" i="4"/>
  <c r="Y341" i="4"/>
  <c r="Y434" i="4"/>
  <c r="Y493" i="4"/>
  <c r="Y554" i="4"/>
  <c r="Y614" i="4"/>
  <c r="Y102" i="4"/>
  <c r="Y145" i="4"/>
  <c r="Y197" i="4"/>
  <c r="Y251" i="4"/>
  <c r="Y318" i="4"/>
  <c r="Y342" i="4"/>
  <c r="Y435" i="4"/>
  <c r="Y494" i="4"/>
  <c r="Y555" i="4"/>
  <c r="Y615" i="4"/>
  <c r="Y103" i="4"/>
  <c r="Y146" i="4"/>
  <c r="Y198" i="4"/>
  <c r="Y252" i="4"/>
  <c r="Y319" i="4"/>
  <c r="Y343" i="4"/>
  <c r="Y436" i="4"/>
  <c r="Y495" i="4"/>
  <c r="Y556" i="4"/>
  <c r="Y616" i="4"/>
  <c r="Y104" i="4"/>
  <c r="Y147" i="4"/>
  <c r="Y199" i="4"/>
  <c r="Y253" i="4"/>
  <c r="Y320" i="4"/>
  <c r="Y344" i="4"/>
  <c r="Y437" i="4"/>
  <c r="Y496" i="4"/>
  <c r="Y557" i="4"/>
  <c r="Y617" i="4"/>
  <c r="Y105" i="4"/>
  <c r="Y148" i="4"/>
  <c r="Y200" i="4"/>
  <c r="Y254" i="4"/>
  <c r="Y321" i="4"/>
  <c r="Y345" i="4"/>
  <c r="Y438" i="4"/>
  <c r="Y497" i="4"/>
  <c r="Y558" i="4"/>
  <c r="Y618" i="4"/>
  <c r="Y106" i="4"/>
  <c r="Y149" i="4"/>
  <c r="Y201" i="4"/>
  <c r="Y255" i="4"/>
  <c r="Y322" i="4"/>
  <c r="Y346" i="4"/>
  <c r="Y439" i="4"/>
  <c r="Y498" i="4"/>
  <c r="Y559" i="4"/>
  <c r="Y619" i="4"/>
  <c r="Y107" i="4"/>
  <c r="Z140" i="4"/>
  <c r="Z192" i="4"/>
  <c r="Z246" i="4"/>
  <c r="Z313" i="4"/>
  <c r="Z337" i="4"/>
  <c r="Z430" i="4"/>
  <c r="Z489" i="4"/>
  <c r="Z550" i="4"/>
  <c r="Z610" i="4"/>
  <c r="Z98" i="4"/>
  <c r="Z141" i="4"/>
  <c r="Z193" i="4"/>
  <c r="Z247" i="4"/>
  <c r="Z314" i="4"/>
  <c r="Z338" i="4"/>
  <c r="Z431" i="4"/>
  <c r="Z490" i="4"/>
  <c r="Z551" i="4"/>
  <c r="Z611" i="4"/>
  <c r="Z99" i="4"/>
  <c r="Z142" i="4"/>
  <c r="Z194" i="4"/>
  <c r="Z248" i="4"/>
  <c r="Z315" i="4"/>
  <c r="Z339" i="4"/>
  <c r="Z432" i="4"/>
  <c r="Z491" i="4"/>
  <c r="Z552" i="4"/>
  <c r="Z612" i="4"/>
  <c r="Z100" i="4"/>
  <c r="Z143" i="4"/>
  <c r="Z195" i="4"/>
  <c r="Z249" i="4"/>
  <c r="Z316" i="4"/>
  <c r="Z340" i="4"/>
  <c r="Z433" i="4"/>
  <c r="Z492" i="4"/>
  <c r="Z553" i="4"/>
  <c r="Z613" i="4"/>
  <c r="Z101" i="4"/>
  <c r="Z144" i="4"/>
  <c r="Z196" i="4"/>
  <c r="Z250" i="4"/>
  <c r="Z317" i="4"/>
  <c r="Z341" i="4"/>
  <c r="Z434" i="4"/>
  <c r="Z493" i="4"/>
  <c r="Z554" i="4"/>
  <c r="Z614" i="4"/>
  <c r="Z102" i="4"/>
  <c r="Z145" i="4"/>
  <c r="Z197" i="4"/>
  <c r="Z251" i="4"/>
  <c r="Z318" i="4"/>
  <c r="Z342" i="4"/>
  <c r="Z435" i="4"/>
  <c r="Z494" i="4"/>
  <c r="Z555" i="4"/>
  <c r="Z615" i="4"/>
  <c r="Z103" i="4"/>
  <c r="Z146" i="4"/>
  <c r="Z198" i="4"/>
  <c r="Z252" i="4"/>
  <c r="Z319" i="4"/>
  <c r="Z343" i="4"/>
  <c r="Z436" i="4"/>
  <c r="Z495" i="4"/>
  <c r="Z556" i="4"/>
  <c r="Z616" i="4"/>
  <c r="Z104" i="4"/>
  <c r="Z147" i="4"/>
  <c r="Z199" i="4"/>
  <c r="Z253" i="4"/>
  <c r="Z320" i="4"/>
  <c r="Z344" i="4"/>
  <c r="Z437" i="4"/>
  <c r="Z496" i="4"/>
  <c r="Z557" i="4"/>
  <c r="Z617" i="4"/>
  <c r="Z105" i="4"/>
  <c r="Z148" i="4"/>
  <c r="Z200" i="4"/>
  <c r="Z254" i="4"/>
  <c r="Z321" i="4"/>
  <c r="Z345" i="4"/>
  <c r="Z438" i="4"/>
  <c r="Z497" i="4"/>
  <c r="Z558" i="4"/>
  <c r="Z618" i="4"/>
  <c r="Z106" i="4"/>
  <c r="Z149" i="4"/>
  <c r="Z201" i="4"/>
  <c r="Z255" i="4"/>
  <c r="Z322" i="4"/>
  <c r="Z346" i="4"/>
  <c r="Z439" i="4"/>
  <c r="Z498" i="4"/>
  <c r="Z559" i="4"/>
  <c r="Z619" i="4"/>
  <c r="Z107" i="4"/>
  <c r="AF140" i="4"/>
  <c r="AF192" i="4"/>
  <c r="AF246" i="4"/>
  <c r="AF313" i="4"/>
  <c r="AF337" i="4"/>
  <c r="AF430" i="4"/>
  <c r="AF489" i="4"/>
  <c r="AF550" i="4"/>
  <c r="AF610" i="4"/>
  <c r="AF98" i="4"/>
  <c r="AF141" i="4"/>
  <c r="AF193" i="4"/>
  <c r="AF247" i="4"/>
  <c r="AF314" i="4"/>
  <c r="AF338" i="4"/>
  <c r="AF431" i="4"/>
  <c r="AF490" i="4"/>
  <c r="AF551" i="4"/>
  <c r="AF611" i="4"/>
  <c r="AF99" i="4"/>
  <c r="AF142" i="4"/>
  <c r="AF194" i="4"/>
  <c r="AF248" i="4"/>
  <c r="AF315" i="4"/>
  <c r="AF339" i="4"/>
  <c r="AF432" i="4"/>
  <c r="AF491" i="4"/>
  <c r="AF552" i="4"/>
  <c r="AF612" i="4"/>
  <c r="AF100" i="4"/>
  <c r="AF143" i="4"/>
  <c r="AF195" i="4"/>
  <c r="AF249" i="4"/>
  <c r="AF316" i="4"/>
  <c r="AF340" i="4"/>
  <c r="AF433" i="4"/>
  <c r="AF492" i="4"/>
  <c r="AF553" i="4"/>
  <c r="AF613" i="4"/>
  <c r="AF101" i="4"/>
  <c r="AF144" i="4"/>
  <c r="AF196" i="4"/>
  <c r="AF250" i="4"/>
  <c r="AF317" i="4"/>
  <c r="AF341" i="4"/>
  <c r="AF434" i="4"/>
  <c r="AF493" i="4"/>
  <c r="AF554" i="4"/>
  <c r="AF614" i="4"/>
  <c r="AF102" i="4"/>
  <c r="AF145" i="4"/>
  <c r="AF197" i="4"/>
  <c r="AF251" i="4"/>
  <c r="AF318" i="4"/>
  <c r="AF342" i="4"/>
  <c r="AF435" i="4"/>
  <c r="AF494" i="4"/>
  <c r="AF555" i="4"/>
  <c r="AF615" i="4"/>
  <c r="AF103" i="4"/>
  <c r="AF146" i="4"/>
  <c r="AF198" i="4"/>
  <c r="AF252" i="4"/>
  <c r="AF319" i="4"/>
  <c r="AF343" i="4"/>
  <c r="AF436" i="4"/>
  <c r="AF495" i="4"/>
  <c r="AF556" i="4"/>
  <c r="AF616" i="4"/>
  <c r="AF104" i="4"/>
  <c r="AF147" i="4"/>
  <c r="AF199" i="4"/>
  <c r="AF253" i="4"/>
  <c r="AF320" i="4"/>
  <c r="AF344" i="4"/>
  <c r="AF437" i="4"/>
  <c r="AF496" i="4"/>
  <c r="AF557" i="4"/>
  <c r="AF617" i="4"/>
  <c r="AF105" i="4"/>
  <c r="AF148" i="4"/>
  <c r="AF200" i="4"/>
  <c r="AF254" i="4"/>
  <c r="AF321" i="4"/>
  <c r="AF345" i="4"/>
  <c r="AF438" i="4"/>
  <c r="AF497" i="4"/>
  <c r="AF558" i="4"/>
  <c r="AF618" i="4"/>
  <c r="AF106" i="4"/>
  <c r="AF149" i="4"/>
  <c r="AF201" i="4"/>
  <c r="AF255" i="4"/>
  <c r="AF322" i="4"/>
  <c r="AF346" i="4"/>
  <c r="AF439" i="4"/>
  <c r="AF498" i="4"/>
  <c r="AF559" i="4"/>
  <c r="AF619" i="4"/>
  <c r="AF107" i="4"/>
  <c r="G97" i="4"/>
  <c r="H97" i="4"/>
  <c r="J97" i="4"/>
  <c r="X97" i="4" s="1"/>
  <c r="K97" i="4"/>
  <c r="L97" i="4"/>
  <c r="W97" i="4"/>
  <c r="Y97" i="4"/>
  <c r="Z97" i="4"/>
  <c r="AF97" i="4"/>
  <c r="W16" i="1"/>
  <c r="AF5" i="4"/>
  <c r="AF6" i="4"/>
  <c r="AF7" i="4"/>
  <c r="AF8" i="4"/>
  <c r="AF9" i="4"/>
  <c r="AF10" i="4"/>
  <c r="AF11" i="4"/>
  <c r="AF12" i="4"/>
  <c r="AF13" i="4"/>
  <c r="AF14" i="4"/>
  <c r="AF15" i="4"/>
  <c r="AF16" i="4"/>
  <c r="AF17" i="4"/>
  <c r="AF18" i="4"/>
  <c r="AF19" i="4"/>
  <c r="AF20" i="4"/>
  <c r="AF21" i="4"/>
  <c r="AF22" i="4"/>
  <c r="AF25" i="4"/>
  <c r="AF26" i="4"/>
  <c r="AF27" i="4"/>
  <c r="AF28" i="4"/>
  <c r="AF29" i="4"/>
  <c r="AF30" i="4"/>
  <c r="AF23" i="4"/>
  <c r="AF24" i="4"/>
  <c r="AF31" i="4"/>
  <c r="AF32" i="4"/>
  <c r="AF35" i="4"/>
  <c r="AF33" i="4"/>
  <c r="AF34" i="4"/>
  <c r="AF36" i="4"/>
  <c r="AF37" i="4"/>
  <c r="AF40" i="4"/>
  <c r="AF41" i="4"/>
  <c r="AF42" i="4"/>
  <c r="AF43" i="4"/>
  <c r="AF46" i="4"/>
  <c r="AF47" i="4"/>
  <c r="AF48" i="4"/>
  <c r="AF49" i="4"/>
  <c r="AF50" i="4"/>
  <c r="AF51" i="4"/>
  <c r="AF38" i="4"/>
  <c r="AF39" i="4"/>
  <c r="AF44" i="4"/>
  <c r="AF45" i="4"/>
  <c r="AF53" i="4"/>
  <c r="AF54" i="4"/>
  <c r="AF55" i="4"/>
  <c r="AF56" i="4"/>
  <c r="AF59" i="4"/>
  <c r="AF60" i="4"/>
  <c r="AF61" i="4"/>
  <c r="AF62" i="4"/>
  <c r="AF65" i="4"/>
  <c r="AF66" i="4"/>
  <c r="AF67" i="4"/>
  <c r="AF68" i="4"/>
  <c r="AF69" i="4"/>
  <c r="AF70" i="4"/>
  <c r="AF57" i="4"/>
  <c r="AF58" i="4"/>
  <c r="AF71" i="4"/>
  <c r="AF63" i="4"/>
  <c r="AF64" i="4"/>
  <c r="AF72" i="4"/>
  <c r="AF73" i="4"/>
  <c r="AF74" i="4"/>
  <c r="AF75" i="4"/>
  <c r="AF76" i="4"/>
  <c r="AF77" i="4"/>
  <c r="AF78" i="4"/>
  <c r="AF79" i="4"/>
  <c r="AF82" i="4"/>
  <c r="AF83" i="4"/>
  <c r="AF84" i="4"/>
  <c r="AF87" i="4"/>
  <c r="AF88" i="4"/>
  <c r="AF89" i="4"/>
  <c r="AF90" i="4"/>
  <c r="AF91" i="4"/>
  <c r="AF80" i="4"/>
  <c r="AF81" i="4"/>
  <c r="AF92" i="4"/>
  <c r="AF93" i="4"/>
  <c r="AF85" i="4"/>
  <c r="AF86" i="4"/>
  <c r="AF94" i="4"/>
  <c r="AF95" i="4"/>
  <c r="AF96" i="4"/>
  <c r="AF117" i="4"/>
  <c r="AF118" i="4"/>
  <c r="AF119" i="4"/>
  <c r="AF120" i="4"/>
  <c r="AF125" i="4"/>
  <c r="AF126" i="4"/>
  <c r="AF127" i="4"/>
  <c r="AF130" i="4"/>
  <c r="AF131" i="4"/>
  <c r="AF132" i="4"/>
  <c r="AF133" i="4"/>
  <c r="AF134" i="4"/>
  <c r="AF135" i="4"/>
  <c r="AF121" i="4"/>
  <c r="AF122" i="4"/>
  <c r="AF136" i="4"/>
  <c r="AF137" i="4"/>
  <c r="AF128" i="4"/>
  <c r="AF129" i="4"/>
  <c r="AF138" i="4"/>
  <c r="AF160" i="4"/>
  <c r="AF161" i="4"/>
  <c r="AF166" i="4"/>
  <c r="AF162" i="4"/>
  <c r="AF163" i="4"/>
  <c r="AF167" i="4"/>
  <c r="AF168" i="4"/>
  <c r="AF176" i="4"/>
  <c r="AF177" i="4"/>
  <c r="AF178" i="4"/>
  <c r="AF181" i="4"/>
  <c r="AF182" i="4"/>
  <c r="AF183" i="4"/>
  <c r="AF184" i="4"/>
  <c r="AF185" i="4"/>
  <c r="AF186" i="4"/>
  <c r="AF169" i="4"/>
  <c r="AF170" i="4"/>
  <c r="AF187" i="4"/>
  <c r="AF188" i="4"/>
  <c r="AF179" i="4"/>
  <c r="AF180" i="4"/>
  <c r="AF191" i="4"/>
  <c r="AF217" i="4"/>
  <c r="AF218" i="4"/>
  <c r="AF219" i="4"/>
  <c r="AF220" i="4"/>
  <c r="AF223" i="4"/>
  <c r="AF224" i="4"/>
  <c r="AF230" i="4"/>
  <c r="AF231" i="4"/>
  <c r="AF232" i="4"/>
  <c r="AF235" i="4"/>
  <c r="AF236" i="4"/>
  <c r="AF237" i="4"/>
  <c r="AF238" i="4"/>
  <c r="AF239" i="4"/>
  <c r="AF240" i="4"/>
  <c r="AF225" i="4"/>
  <c r="AF226" i="4"/>
  <c r="AF241" i="4"/>
  <c r="AF242" i="4"/>
  <c r="AF233" i="4"/>
  <c r="AF234" i="4"/>
  <c r="AF245" i="4"/>
  <c r="AF271" i="4"/>
  <c r="AF272" i="4"/>
  <c r="AF279" i="4"/>
  <c r="AF288" i="4"/>
  <c r="AF289" i="4"/>
  <c r="AF298" i="4"/>
  <c r="AF299" i="4"/>
  <c r="AF373" i="4"/>
  <c r="AF311" i="4"/>
  <c r="AF374" i="4"/>
  <c r="AF377" i="4"/>
  <c r="AF378" i="4"/>
  <c r="AF379" i="4"/>
  <c r="AF380" i="4"/>
  <c r="AF365" i="4"/>
  <c r="AF366" i="4"/>
  <c r="AF307" i="4"/>
  <c r="AF308" i="4"/>
  <c r="AF392" i="4"/>
  <c r="AF393" i="4"/>
  <c r="AF386" i="4"/>
  <c r="AF388" i="4"/>
  <c r="AF394" i="4"/>
  <c r="AF292" i="4"/>
  <c r="AF293" i="4"/>
  <c r="AF300" i="4"/>
  <c r="AF301" i="4"/>
  <c r="AF375" i="4"/>
  <c r="AF312" i="4"/>
  <c r="AF376" i="4"/>
  <c r="AF381" i="4"/>
  <c r="AF382" i="4"/>
  <c r="AF383" i="4"/>
  <c r="AF384" i="4"/>
  <c r="AF367" i="4"/>
  <c r="AF368" i="4"/>
  <c r="AF309" i="4"/>
  <c r="AF310" i="4"/>
  <c r="AF395" i="4"/>
  <c r="AF396" i="4"/>
  <c r="AF387" i="4"/>
  <c r="AF389" i="4"/>
  <c r="AF397" i="4"/>
  <c r="AF400" i="4"/>
  <c r="AF402" i="4"/>
  <c r="AF403" i="4"/>
  <c r="AF406" i="4"/>
  <c r="AF407" i="4"/>
  <c r="AF413" i="4"/>
  <c r="AF414" i="4"/>
  <c r="AF415" i="4"/>
  <c r="AF418" i="4"/>
  <c r="AF419" i="4"/>
  <c r="AF420" i="4"/>
  <c r="AF421" i="4"/>
  <c r="AF422" i="4"/>
  <c r="AF423" i="4"/>
  <c r="AF408" i="4"/>
  <c r="AF409" i="4"/>
  <c r="AF424" i="4"/>
  <c r="AF425" i="4"/>
  <c r="AF416" i="4"/>
  <c r="AF417" i="4"/>
  <c r="AF429" i="4"/>
  <c r="AF461" i="4"/>
  <c r="AF462" i="4"/>
  <c r="AF465" i="4"/>
  <c r="AF466" i="4"/>
  <c r="AF472" i="4"/>
  <c r="AF473" i="4"/>
  <c r="AF474" i="4"/>
  <c r="AF477" i="4"/>
  <c r="AF478" i="4"/>
  <c r="AF479" i="4"/>
  <c r="AF480" i="4"/>
  <c r="AF481" i="4"/>
  <c r="AF482" i="4"/>
  <c r="AF467" i="4"/>
  <c r="AF468" i="4"/>
  <c r="AF483" i="4"/>
  <c r="AF484" i="4"/>
  <c r="AF475" i="4"/>
  <c r="AF476" i="4"/>
  <c r="AF488" i="4"/>
  <c r="AF520" i="4"/>
  <c r="AF521" i="4"/>
  <c r="AF524" i="4"/>
  <c r="AF525" i="4"/>
  <c r="AF531" i="4"/>
  <c r="AF532" i="4"/>
  <c r="AF533" i="4"/>
  <c r="AF536" i="4"/>
  <c r="AF537" i="4"/>
  <c r="AF538" i="4"/>
  <c r="AF539" i="4"/>
  <c r="AF540" i="4"/>
  <c r="AF541" i="4"/>
  <c r="AF526" i="4"/>
  <c r="AF527" i="4"/>
  <c r="AF542" i="4"/>
  <c r="AF543" i="4"/>
  <c r="AF534" i="4"/>
  <c r="AF535" i="4"/>
  <c r="AF549" i="4"/>
  <c r="AF579" i="4"/>
  <c r="AF580" i="4"/>
  <c r="AF583" i="4"/>
  <c r="AF584" i="4"/>
  <c r="AF590" i="4"/>
  <c r="AF591" i="4"/>
  <c r="AF592" i="4"/>
  <c r="AF595" i="4"/>
  <c r="AF596" i="4"/>
  <c r="AF597" i="4"/>
  <c r="AF598" i="4"/>
  <c r="AF599" i="4"/>
  <c r="AF600" i="4"/>
  <c r="AF585" i="4"/>
  <c r="AF586" i="4"/>
  <c r="AF601" i="4"/>
  <c r="AF602" i="4"/>
  <c r="AF593" i="4"/>
  <c r="AF594" i="4"/>
  <c r="AF609" i="4"/>
  <c r="E3" i="12"/>
  <c r="AD175" i="4" s="1"/>
  <c r="E4" i="12"/>
  <c r="E5" i="12"/>
  <c r="E6" i="12"/>
  <c r="E7" i="12"/>
  <c r="E8" i="12"/>
  <c r="E9" i="12"/>
  <c r="E10" i="12"/>
  <c r="E11" i="12"/>
  <c r="P4" i="3"/>
  <c r="AB423" i="4" s="1"/>
  <c r="P3" i="3"/>
  <c r="AB52" i="4" s="1"/>
  <c r="AB406" i="4"/>
  <c r="AB407" i="4"/>
  <c r="AB413" i="4"/>
  <c r="AB414" i="4"/>
  <c r="AB415" i="4"/>
  <c r="AB418" i="4"/>
  <c r="AB419" i="4"/>
  <c r="AB420" i="4"/>
  <c r="AB422" i="4"/>
  <c r="AB417" i="4"/>
  <c r="AB429" i="4"/>
  <c r="AB461" i="4"/>
  <c r="AB462" i="4"/>
  <c r="AB465" i="4"/>
  <c r="AB466" i="4"/>
  <c r="AB472" i="4"/>
  <c r="AB473" i="4"/>
  <c r="AB474" i="4"/>
  <c r="AB477" i="4"/>
  <c r="AB478" i="4"/>
  <c r="AB479" i="4"/>
  <c r="AB480" i="4"/>
  <c r="AB481" i="4"/>
  <c r="AB482" i="4"/>
  <c r="AB467" i="4"/>
  <c r="AB468" i="4"/>
  <c r="AB483" i="4"/>
  <c r="AB484" i="4"/>
  <c r="AB475" i="4"/>
  <c r="AB476" i="4"/>
  <c r="AB488" i="4"/>
  <c r="AB520" i="4"/>
  <c r="AB521" i="4"/>
  <c r="AB524" i="4"/>
  <c r="AB525" i="4"/>
  <c r="AB531" i="4"/>
  <c r="AB532" i="4"/>
  <c r="AB533" i="4"/>
  <c r="AB536" i="4"/>
  <c r="AB537" i="4"/>
  <c r="AB538" i="4"/>
  <c r="AB539" i="4"/>
  <c r="AB540" i="4"/>
  <c r="AB541" i="4"/>
  <c r="AB526" i="4"/>
  <c r="AB527" i="4"/>
  <c r="AB542" i="4"/>
  <c r="AB543" i="4"/>
  <c r="AB534" i="4"/>
  <c r="AB535" i="4"/>
  <c r="AB549" i="4"/>
  <c r="AB579" i="4"/>
  <c r="AB580" i="4"/>
  <c r="AB583" i="4"/>
  <c r="AB584" i="4"/>
  <c r="AB590" i="4"/>
  <c r="AB591" i="4"/>
  <c r="AB592" i="4"/>
  <c r="AB595" i="4"/>
  <c r="AB596" i="4"/>
  <c r="AB597" i="4"/>
  <c r="AB598" i="4"/>
  <c r="AB599" i="4"/>
  <c r="AB600" i="4"/>
  <c r="AB585" i="4"/>
  <c r="AB586" i="4"/>
  <c r="AB601" i="4"/>
  <c r="AB602" i="4"/>
  <c r="AB593" i="4"/>
  <c r="AB594" i="4"/>
  <c r="AB609" i="4"/>
  <c r="Y43" i="6"/>
  <c r="H35" i="4"/>
  <c r="G74" i="4"/>
  <c r="G94" i="4"/>
  <c r="G138" i="4"/>
  <c r="G191" i="4"/>
  <c r="G245" i="4"/>
  <c r="G394" i="4"/>
  <c r="G397" i="4"/>
  <c r="G429" i="4"/>
  <c r="G488" i="4"/>
  <c r="G549" i="4"/>
  <c r="G609" i="4"/>
  <c r="H74" i="4"/>
  <c r="H94" i="4"/>
  <c r="H138" i="4"/>
  <c r="H191" i="4"/>
  <c r="H245" i="4"/>
  <c r="H394" i="4"/>
  <c r="H397" i="4"/>
  <c r="H429" i="4"/>
  <c r="H488" i="4"/>
  <c r="H549" i="4"/>
  <c r="H609" i="4"/>
  <c r="J74" i="4"/>
  <c r="X74" i="4" s="1"/>
  <c r="J94" i="4"/>
  <c r="X94" i="4" s="1"/>
  <c r="J138" i="4"/>
  <c r="X138" i="4" s="1"/>
  <c r="J191" i="4"/>
  <c r="X191" i="4" s="1"/>
  <c r="J245" i="4"/>
  <c r="X245" i="4" s="1"/>
  <c r="J394" i="4"/>
  <c r="X394" i="4" s="1"/>
  <c r="J397" i="4"/>
  <c r="X397" i="4" s="1"/>
  <c r="J429" i="4"/>
  <c r="X429" i="4" s="1"/>
  <c r="J488" i="4"/>
  <c r="X488" i="4" s="1"/>
  <c r="J549" i="4"/>
  <c r="X549" i="4" s="1"/>
  <c r="J609" i="4"/>
  <c r="X609" i="4" s="1"/>
  <c r="K74" i="4"/>
  <c r="K94" i="4"/>
  <c r="K138" i="4"/>
  <c r="K191" i="4"/>
  <c r="K245" i="4"/>
  <c r="K394" i="4"/>
  <c r="K397" i="4"/>
  <c r="K429" i="4"/>
  <c r="K488" i="4"/>
  <c r="K549" i="4"/>
  <c r="K609" i="4"/>
  <c r="L74" i="4"/>
  <c r="L94" i="4"/>
  <c r="L138" i="4"/>
  <c r="L191" i="4"/>
  <c r="L245" i="4"/>
  <c r="L394" i="4"/>
  <c r="L397" i="4"/>
  <c r="L429" i="4"/>
  <c r="L488" i="4"/>
  <c r="L549" i="4"/>
  <c r="L609" i="4"/>
  <c r="W74" i="4"/>
  <c r="W94" i="4"/>
  <c r="W138" i="4"/>
  <c r="W191" i="4"/>
  <c r="W245" i="4"/>
  <c r="W394" i="4"/>
  <c r="W397" i="4"/>
  <c r="W429" i="4"/>
  <c r="W488" i="4"/>
  <c r="W549" i="4"/>
  <c r="W609" i="4"/>
  <c r="Y74" i="4"/>
  <c r="Y94" i="4"/>
  <c r="Y138" i="4"/>
  <c r="Y191" i="4"/>
  <c r="Y245" i="4"/>
  <c r="Y394" i="4"/>
  <c r="Y397" i="4"/>
  <c r="Y429" i="4"/>
  <c r="Y488" i="4"/>
  <c r="Y549" i="4"/>
  <c r="Y609" i="4"/>
  <c r="Z74" i="4"/>
  <c r="Z94" i="4"/>
  <c r="Z138" i="4"/>
  <c r="Z191" i="4"/>
  <c r="Z245" i="4"/>
  <c r="Z394" i="4"/>
  <c r="Z397" i="4"/>
  <c r="Z429" i="4"/>
  <c r="Z488" i="4"/>
  <c r="Z549" i="4"/>
  <c r="Z609" i="4"/>
  <c r="L73" i="4"/>
  <c r="L93" i="4"/>
  <c r="L137" i="4"/>
  <c r="L188" i="4"/>
  <c r="L242" i="4"/>
  <c r="L393" i="4"/>
  <c r="L396" i="4"/>
  <c r="L425" i="4"/>
  <c r="L484" i="4"/>
  <c r="L543" i="4"/>
  <c r="L602" i="4"/>
  <c r="W73" i="4"/>
  <c r="W93" i="4"/>
  <c r="W137" i="4"/>
  <c r="W188" i="4"/>
  <c r="W242" i="4"/>
  <c r="W393" i="4"/>
  <c r="W396" i="4"/>
  <c r="W425" i="4"/>
  <c r="W484" i="4"/>
  <c r="W543" i="4"/>
  <c r="W602" i="4"/>
  <c r="Y73" i="4"/>
  <c r="Y93" i="4"/>
  <c r="Y137" i="4"/>
  <c r="Y188" i="4"/>
  <c r="Y242" i="4"/>
  <c r="Y393" i="4"/>
  <c r="Y396" i="4"/>
  <c r="Y425" i="4"/>
  <c r="Y484" i="4"/>
  <c r="Y543" i="4"/>
  <c r="Y602" i="4"/>
  <c r="Z73" i="4"/>
  <c r="Z93" i="4"/>
  <c r="Z137" i="4"/>
  <c r="Z188" i="4"/>
  <c r="Z242" i="4"/>
  <c r="Z393" i="4"/>
  <c r="Z396" i="4"/>
  <c r="Z425" i="4"/>
  <c r="Z484" i="4"/>
  <c r="Z543" i="4"/>
  <c r="Z602" i="4"/>
  <c r="K602" i="4"/>
  <c r="J602" i="4"/>
  <c r="X602" i="4" s="1"/>
  <c r="H602" i="4"/>
  <c r="G602" i="4"/>
  <c r="K543" i="4"/>
  <c r="J543" i="4"/>
  <c r="X543" i="4" s="1"/>
  <c r="H543" i="4"/>
  <c r="G543" i="4"/>
  <c r="K484" i="4"/>
  <c r="J484" i="4"/>
  <c r="X484" i="4" s="1"/>
  <c r="H484" i="4"/>
  <c r="G484" i="4"/>
  <c r="K425" i="4"/>
  <c r="J425" i="4"/>
  <c r="X425" i="4" s="1"/>
  <c r="H425" i="4"/>
  <c r="G425" i="4"/>
  <c r="K396" i="4"/>
  <c r="J396" i="4"/>
  <c r="X396" i="4" s="1"/>
  <c r="K393" i="4"/>
  <c r="J393" i="4"/>
  <c r="X393" i="4" s="1"/>
  <c r="H393" i="4"/>
  <c r="G393" i="4"/>
  <c r="K242" i="4"/>
  <c r="J242" i="4"/>
  <c r="X242" i="4" s="1"/>
  <c r="H242" i="4"/>
  <c r="G242" i="4"/>
  <c r="K188" i="4"/>
  <c r="J188" i="4"/>
  <c r="X188" i="4" s="1"/>
  <c r="H188" i="4"/>
  <c r="G188" i="4"/>
  <c r="K137" i="4"/>
  <c r="J137" i="4"/>
  <c r="X137" i="4" s="1"/>
  <c r="H137" i="4"/>
  <c r="G137" i="4"/>
  <c r="K93" i="4"/>
  <c r="J93" i="4"/>
  <c r="X93" i="4" s="1"/>
  <c r="H93" i="4"/>
  <c r="G93" i="4"/>
  <c r="K73" i="4"/>
  <c r="J73" i="4"/>
  <c r="X73" i="4" s="1"/>
  <c r="H73" i="4"/>
  <c r="G73" i="4"/>
  <c r="G72" i="4"/>
  <c r="G92" i="4"/>
  <c r="G136" i="4"/>
  <c r="G187" i="4"/>
  <c r="G241" i="4"/>
  <c r="G392" i="4"/>
  <c r="G424" i="4"/>
  <c r="G483" i="4"/>
  <c r="G542" i="4"/>
  <c r="G601" i="4"/>
  <c r="H72" i="4"/>
  <c r="H92" i="4"/>
  <c r="H136" i="4"/>
  <c r="H187" i="4"/>
  <c r="H241" i="4"/>
  <c r="H392" i="4"/>
  <c r="H424" i="4"/>
  <c r="H483" i="4"/>
  <c r="H542" i="4"/>
  <c r="H601" i="4"/>
  <c r="J72" i="4"/>
  <c r="X72" i="4" s="1"/>
  <c r="J92" i="4"/>
  <c r="X92" i="4" s="1"/>
  <c r="J136" i="4"/>
  <c r="X136" i="4" s="1"/>
  <c r="J187" i="4"/>
  <c r="X187" i="4" s="1"/>
  <c r="J241" i="4"/>
  <c r="X241" i="4" s="1"/>
  <c r="J392" i="4"/>
  <c r="X392" i="4" s="1"/>
  <c r="J395" i="4"/>
  <c r="X395" i="4" s="1"/>
  <c r="J424" i="4"/>
  <c r="X424" i="4" s="1"/>
  <c r="J483" i="4"/>
  <c r="X483" i="4" s="1"/>
  <c r="J542" i="4"/>
  <c r="X542" i="4" s="1"/>
  <c r="J601" i="4"/>
  <c r="X601" i="4" s="1"/>
  <c r="K72" i="4"/>
  <c r="K92" i="4"/>
  <c r="K136" i="4"/>
  <c r="K187" i="4"/>
  <c r="K241" i="4"/>
  <c r="K392" i="4"/>
  <c r="K395" i="4"/>
  <c r="K424" i="4"/>
  <c r="K483" i="4"/>
  <c r="K542" i="4"/>
  <c r="K601" i="4"/>
  <c r="L72" i="4"/>
  <c r="L92" i="4"/>
  <c r="L136" i="4"/>
  <c r="L187" i="4"/>
  <c r="L241" i="4"/>
  <c r="L392" i="4"/>
  <c r="L395" i="4"/>
  <c r="L424" i="4"/>
  <c r="L483" i="4"/>
  <c r="L542" i="4"/>
  <c r="L601" i="4"/>
  <c r="W72" i="4"/>
  <c r="W92" i="4"/>
  <c r="W136" i="4"/>
  <c r="W187" i="4"/>
  <c r="W241" i="4"/>
  <c r="W392" i="4"/>
  <c r="W395" i="4"/>
  <c r="W424" i="4"/>
  <c r="W483" i="4"/>
  <c r="W542" i="4"/>
  <c r="W601" i="4"/>
  <c r="Y72" i="4"/>
  <c r="Y92" i="4"/>
  <c r="Y136" i="4"/>
  <c r="Y187" i="4"/>
  <c r="Y241" i="4"/>
  <c r="Y392" i="4"/>
  <c r="Y395" i="4"/>
  <c r="Y424" i="4"/>
  <c r="Y483" i="4"/>
  <c r="Y542" i="4"/>
  <c r="Y601" i="4"/>
  <c r="Z72" i="4"/>
  <c r="Z92" i="4"/>
  <c r="Z136" i="4"/>
  <c r="Z187" i="4"/>
  <c r="Z241" i="4"/>
  <c r="Z392" i="4"/>
  <c r="Z395" i="4"/>
  <c r="Z424" i="4"/>
  <c r="Z483" i="4"/>
  <c r="Z542" i="4"/>
  <c r="Z601" i="4"/>
  <c r="G51" i="6"/>
  <c r="G65" i="6"/>
  <c r="AC84" i="6"/>
  <c r="H105" i="6"/>
  <c r="H130" i="6"/>
  <c r="H159" i="6"/>
  <c r="G183" i="6"/>
  <c r="G203" i="6"/>
  <c r="G225" i="6"/>
  <c r="G247" i="6"/>
  <c r="J51" i="6"/>
  <c r="Z51" i="6" s="1"/>
  <c r="J65" i="6"/>
  <c r="Z65" i="6" s="1"/>
  <c r="J84" i="6"/>
  <c r="Z84" i="6" s="1"/>
  <c r="J105" i="6"/>
  <c r="Z105" i="6" s="1"/>
  <c r="J130" i="6"/>
  <c r="Z130" i="6" s="1"/>
  <c r="J159" i="6"/>
  <c r="Z159" i="6" s="1"/>
  <c r="J183" i="6"/>
  <c r="Z183" i="6" s="1"/>
  <c r="J203" i="6"/>
  <c r="Z203" i="6" s="1"/>
  <c r="J225" i="6"/>
  <c r="Z225" i="6" s="1"/>
  <c r="J247" i="6"/>
  <c r="Z247" i="6" s="1"/>
  <c r="K51" i="6"/>
  <c r="K65" i="6"/>
  <c r="K84" i="6"/>
  <c r="K105" i="6"/>
  <c r="K130" i="6"/>
  <c r="K159" i="6"/>
  <c r="K183" i="6"/>
  <c r="K203" i="6"/>
  <c r="K225" i="6"/>
  <c r="K247" i="6"/>
  <c r="M51" i="6"/>
  <c r="M65" i="6"/>
  <c r="M84" i="6"/>
  <c r="M105" i="6"/>
  <c r="M130" i="6"/>
  <c r="M159" i="6"/>
  <c r="M183" i="6"/>
  <c r="M203" i="6"/>
  <c r="M225" i="6"/>
  <c r="M247" i="6"/>
  <c r="N51" i="6"/>
  <c r="N65" i="6"/>
  <c r="N84" i="6"/>
  <c r="N105" i="6"/>
  <c r="N130" i="6"/>
  <c r="N159" i="6"/>
  <c r="N183" i="6"/>
  <c r="N203" i="6"/>
  <c r="N225" i="6"/>
  <c r="N247" i="6"/>
  <c r="Y51" i="6"/>
  <c r="Y65" i="6"/>
  <c r="Y84" i="6"/>
  <c r="Y105" i="6"/>
  <c r="Y130" i="6"/>
  <c r="Y159" i="6"/>
  <c r="Y183" i="6"/>
  <c r="Y203" i="6"/>
  <c r="Y225" i="6"/>
  <c r="Y247" i="6"/>
  <c r="G42" i="6"/>
  <c r="J42" i="6"/>
  <c r="Z42" i="6" s="1"/>
  <c r="K42" i="6"/>
  <c r="M42" i="6"/>
  <c r="N42" i="6"/>
  <c r="Y42" i="6"/>
  <c r="W15" i="1"/>
  <c r="AB225" i="6" s="1"/>
  <c r="G272" i="4"/>
  <c r="H272" i="4"/>
  <c r="J272" i="4"/>
  <c r="X272" i="4" s="1"/>
  <c r="K272" i="4"/>
  <c r="L272" i="4"/>
  <c r="W272" i="4"/>
  <c r="Y272" i="4"/>
  <c r="Z272" i="4"/>
  <c r="G218" i="4"/>
  <c r="H218" i="4"/>
  <c r="J218" i="4"/>
  <c r="X218" i="4" s="1"/>
  <c r="K218" i="4"/>
  <c r="L218" i="4"/>
  <c r="W218" i="4"/>
  <c r="Y218" i="4"/>
  <c r="Z218" i="4"/>
  <c r="G161" i="4"/>
  <c r="H161" i="4"/>
  <c r="J161" i="4"/>
  <c r="X161" i="4" s="1"/>
  <c r="K161" i="4"/>
  <c r="L161" i="4"/>
  <c r="W161" i="4"/>
  <c r="Y161" i="4"/>
  <c r="Z161" i="4"/>
  <c r="G96" i="4"/>
  <c r="H96" i="4"/>
  <c r="J96" i="4"/>
  <c r="X96" i="4" s="1"/>
  <c r="K96" i="4"/>
  <c r="L96" i="4"/>
  <c r="W96" i="4"/>
  <c r="Y96" i="4"/>
  <c r="Z96" i="4"/>
  <c r="G71" i="4"/>
  <c r="H71" i="4"/>
  <c r="J71" i="4"/>
  <c r="X71" i="4" s="1"/>
  <c r="K71" i="4"/>
  <c r="L71" i="4"/>
  <c r="W71" i="4"/>
  <c r="Y71" i="4"/>
  <c r="Z71" i="4"/>
  <c r="G75" i="4"/>
  <c r="H75" i="4"/>
  <c r="G166" i="4"/>
  <c r="H166" i="4"/>
  <c r="G279" i="4"/>
  <c r="H279" i="4"/>
  <c r="G400" i="4"/>
  <c r="H400" i="4"/>
  <c r="AC39" i="6"/>
  <c r="Y39" i="6"/>
  <c r="N39" i="6"/>
  <c r="M39" i="6"/>
  <c r="L39" i="6"/>
  <c r="K39" i="6"/>
  <c r="J39" i="6"/>
  <c r="Z39" i="6" s="1"/>
  <c r="AB416" i="4" l="1"/>
  <c r="AB403" i="4"/>
  <c r="AB425" i="4"/>
  <c r="AB402" i="4"/>
  <c r="AB424" i="4"/>
  <c r="AB400" i="4"/>
  <c r="AB409" i="4"/>
  <c r="AB312" i="4"/>
  <c r="AB411" i="4"/>
  <c r="AB408" i="4"/>
  <c r="AB375" i="4"/>
  <c r="AB381" i="4"/>
  <c r="AB362" i="4"/>
  <c r="AB284" i="4"/>
  <c r="AB412" i="4"/>
  <c r="AB426" i="4"/>
  <c r="AB372" i="4"/>
  <c r="AB427" i="4"/>
  <c r="AB361" i="4"/>
  <c r="AB285" i="4"/>
  <c r="AB371" i="4"/>
  <c r="AB421" i="4"/>
  <c r="AC273" i="4"/>
  <c r="AC285" i="4"/>
  <c r="AB397" i="4"/>
  <c r="AB301" i="4"/>
  <c r="AC576" i="4"/>
  <c r="AC606" i="4"/>
  <c r="AD370" i="4"/>
  <c r="AD457" i="4"/>
  <c r="AC399" i="4"/>
  <c r="AC276" i="4"/>
  <c r="AD518" i="4"/>
  <c r="AB389" i="4"/>
  <c r="AB300" i="4"/>
  <c r="AC605" i="4"/>
  <c r="AD517" i="4"/>
  <c r="AD361" i="4"/>
  <c r="AC517" i="4"/>
  <c r="AC514" i="4"/>
  <c r="AC362" i="4"/>
  <c r="AC287" i="4"/>
  <c r="AC456" i="4"/>
  <c r="AB387" i="4"/>
  <c r="AB293" i="4"/>
  <c r="AC635" i="4"/>
  <c r="AD369" i="4"/>
  <c r="AD275" i="4"/>
  <c r="AD548" i="4"/>
  <c r="AD287" i="4"/>
  <c r="AC516" i="4"/>
  <c r="AB396" i="4"/>
  <c r="AB292" i="4"/>
  <c r="AB391" i="4"/>
  <c r="AD286" i="4"/>
  <c r="AD371" i="4"/>
  <c r="AD372" i="4"/>
  <c r="AD547" i="4"/>
  <c r="AC303" i="4"/>
  <c r="AB395" i="4"/>
  <c r="AD514" i="4"/>
  <c r="AC459" i="4"/>
  <c r="AC578" i="4"/>
  <c r="AD516" i="4"/>
  <c r="AC369" i="4"/>
  <c r="AB304" i="4"/>
  <c r="AD575" i="4"/>
  <c r="AC275" i="4"/>
  <c r="AC518" i="4"/>
  <c r="AC361" i="4"/>
  <c r="AC575" i="4"/>
  <c r="AC428" i="4"/>
  <c r="AD274" i="4"/>
  <c r="AC363" i="4"/>
  <c r="AC547" i="4"/>
  <c r="AC286" i="4"/>
  <c r="AD637" i="4"/>
  <c r="AD456" i="4"/>
  <c r="AD546" i="4"/>
  <c r="AB309" i="4"/>
  <c r="AB368" i="4"/>
  <c r="AD285" i="4"/>
  <c r="AC577" i="4"/>
  <c r="AC636" i="4"/>
  <c r="AD577" i="4"/>
  <c r="AC398" i="4"/>
  <c r="AC487" i="4"/>
  <c r="AB367" i="4"/>
  <c r="AC455" i="4"/>
  <c r="AD362" i="4"/>
  <c r="AC370" i="4"/>
  <c r="AD460" i="4"/>
  <c r="AC277" i="4"/>
  <c r="AC515" i="4"/>
  <c r="AB384" i="4"/>
  <c r="AD515" i="4"/>
  <c r="AD276" i="4"/>
  <c r="AD277" i="4"/>
  <c r="AD398" i="4"/>
  <c r="AC460" i="4"/>
  <c r="AD459" i="4"/>
  <c r="AD606" i="4"/>
  <c r="AD635" i="4"/>
  <c r="AC457" i="4"/>
  <c r="AB310" i="4"/>
  <c r="AB383" i="4"/>
  <c r="AD458" i="4"/>
  <c r="AD278" i="4"/>
  <c r="AC608" i="4"/>
  <c r="AC519" i="4"/>
  <c r="AD303" i="4"/>
  <c r="AC274" i="4"/>
  <c r="AC546" i="4"/>
  <c r="AB382" i="4"/>
  <c r="AB306" i="4"/>
  <c r="AC607" i="4"/>
  <c r="AD399" i="4"/>
  <c r="AC548" i="4"/>
  <c r="AD636" i="4"/>
  <c r="AD607" i="4"/>
  <c r="AC284" i="4"/>
  <c r="AD576" i="4"/>
  <c r="AD519" i="4"/>
  <c r="AD273" i="4"/>
  <c r="AD364" i="4"/>
  <c r="AD428" i="4"/>
  <c r="AC637" i="4"/>
  <c r="AC364" i="4"/>
  <c r="AD363" i="4"/>
  <c r="AC385" i="4"/>
  <c r="AD608" i="4"/>
  <c r="AC458" i="4"/>
  <c r="AB393" i="4"/>
  <c r="AB276" i="4"/>
  <c r="AB487" i="4"/>
  <c r="AB297" i="4"/>
  <c r="AB399" i="4"/>
  <c r="AB428" i="4"/>
  <c r="AB277" i="4"/>
  <c r="AB385" i="4"/>
  <c r="AB546" i="4"/>
  <c r="AB286" i="4"/>
  <c r="AB608" i="4"/>
  <c r="AB275" i="4"/>
  <c r="AB398" i="4"/>
  <c r="AB303" i="4"/>
  <c r="AB369" i="4"/>
  <c r="AB278" i="4"/>
  <c r="AB364" i="4"/>
  <c r="AB363" i="4"/>
  <c r="AB282" i="4"/>
  <c r="AB370" i="4"/>
  <c r="AB283" i="4"/>
  <c r="AB287" i="4"/>
  <c r="AB376" i="4"/>
  <c r="AD284" i="4"/>
  <c r="AD578" i="4"/>
  <c r="AD487" i="4"/>
  <c r="AC372" i="4"/>
  <c r="AD385" i="4"/>
  <c r="AC371" i="4"/>
  <c r="AD455" i="4"/>
  <c r="AC278" i="4"/>
  <c r="AD605" i="4"/>
  <c r="AB133" i="6"/>
  <c r="AA303" i="4"/>
  <c r="AB392" i="4"/>
  <c r="AB366" i="4"/>
  <c r="AB365" i="4"/>
  <c r="AB380" i="4"/>
  <c r="AB379" i="4"/>
  <c r="AB390" i="4"/>
  <c r="AB378" i="4"/>
  <c r="AB377" i="4"/>
  <c r="AB374" i="4"/>
  <c r="AB311" i="4"/>
  <c r="AB373" i="4"/>
  <c r="AB394" i="4"/>
  <c r="AB388" i="4"/>
  <c r="AB386" i="4"/>
  <c r="AB296" i="4"/>
  <c r="AB281" i="4"/>
  <c r="AB280" i="4"/>
  <c r="AB302" i="4"/>
  <c r="AB308" i="4"/>
  <c r="AB305" i="4"/>
  <c r="AB307" i="4"/>
  <c r="AB299" i="4"/>
  <c r="AB298" i="4"/>
  <c r="AB289" i="4"/>
  <c r="AB288" i="4"/>
  <c r="AB279" i="4"/>
  <c r="AB240" i="4"/>
  <c r="AB274" i="4"/>
  <c r="AB273" i="4"/>
  <c r="AB272" i="4"/>
  <c r="AB271" i="4"/>
  <c r="AD283" i="4"/>
  <c r="AC604" i="4"/>
  <c r="AB218" i="4"/>
  <c r="AB212" i="4"/>
  <c r="AC281" i="4"/>
  <c r="AD244" i="4"/>
  <c r="AB226" i="4"/>
  <c r="AB217" i="4"/>
  <c r="AC283" i="4"/>
  <c r="AB241" i="4"/>
  <c r="AB225" i="4"/>
  <c r="AB191" i="4"/>
  <c r="AC427" i="4"/>
  <c r="AD281" i="4"/>
  <c r="AC545" i="4"/>
  <c r="AB160" i="4"/>
  <c r="AB229" i="4"/>
  <c r="AB243" i="4"/>
  <c r="AB174" i="4"/>
  <c r="AB190" i="4"/>
  <c r="AB244" i="4"/>
  <c r="AB175" i="4"/>
  <c r="AB237" i="4"/>
  <c r="AD427" i="4"/>
  <c r="AB235" i="4"/>
  <c r="AD174" i="4"/>
  <c r="AB232" i="4"/>
  <c r="AB106" i="6"/>
  <c r="AB87" i="6"/>
  <c r="AA175" i="4"/>
  <c r="AB231" i="4"/>
  <c r="AA588" i="4"/>
  <c r="AB88" i="6"/>
  <c r="AA174" i="4"/>
  <c r="AB228" i="4"/>
  <c r="AC486" i="4"/>
  <c r="AB230" i="4"/>
  <c r="AC175" i="4"/>
  <c r="AB239" i="4"/>
  <c r="AB245" i="4"/>
  <c r="AB224" i="4"/>
  <c r="AB227" i="4"/>
  <c r="AC174" i="4"/>
  <c r="AD545" i="4"/>
  <c r="AB234" i="4"/>
  <c r="AB223" i="4"/>
  <c r="AD486" i="4"/>
  <c r="AB238" i="4"/>
  <c r="AB236" i="4"/>
  <c r="AB233" i="4"/>
  <c r="AB220" i="4"/>
  <c r="AC190" i="4"/>
  <c r="AD190" i="4"/>
  <c r="AD604" i="4"/>
  <c r="AB242" i="4"/>
  <c r="AB219" i="4"/>
  <c r="AB266" i="4"/>
  <c r="AC244" i="4"/>
  <c r="AB184" i="4"/>
  <c r="AB183" i="4"/>
  <c r="AB178" i="4"/>
  <c r="AB177" i="4"/>
  <c r="AB167" i="4"/>
  <c r="AB180" i="4"/>
  <c r="AB186" i="4"/>
  <c r="AB185" i="4"/>
  <c r="AB171" i="4"/>
  <c r="AB182" i="4"/>
  <c r="AB181" i="4"/>
  <c r="AB176" i="4"/>
  <c r="AB168" i="4"/>
  <c r="AB172" i="4"/>
  <c r="AB179" i="4"/>
  <c r="AB163" i="4"/>
  <c r="AB188" i="4"/>
  <c r="AB162" i="4"/>
  <c r="AB187" i="4"/>
  <c r="AB166" i="4"/>
  <c r="AB170" i="4"/>
  <c r="AB161" i="4"/>
  <c r="AC358" i="4"/>
  <c r="AB169" i="4"/>
  <c r="AB92" i="4"/>
  <c r="AB173" i="4"/>
  <c r="AB189" i="4"/>
  <c r="AB498" i="4"/>
  <c r="AB617" i="4"/>
  <c r="AB198" i="4"/>
  <c r="AB317" i="4"/>
  <c r="AB432" i="4"/>
  <c r="AB550" i="4"/>
  <c r="AB355" i="4"/>
  <c r="AB505" i="4"/>
  <c r="AB624" i="4"/>
  <c r="AB205" i="4"/>
  <c r="AB324" i="4"/>
  <c r="AD463" i="4"/>
  <c r="AD268" i="4"/>
  <c r="AD270" i="4"/>
  <c r="AC290" i="4"/>
  <c r="AC334" i="4"/>
  <c r="AC574" i="4"/>
  <c r="AD451" i="4"/>
  <c r="AB439" i="4"/>
  <c r="AB557" i="4"/>
  <c r="AB146" i="4"/>
  <c r="AB250" i="4"/>
  <c r="AB339" i="4"/>
  <c r="AB489" i="4"/>
  <c r="AB331" i="4"/>
  <c r="AB446" i="4"/>
  <c r="AB564" i="4"/>
  <c r="AB153" i="4"/>
  <c r="AB257" i="4"/>
  <c r="AD522" i="4"/>
  <c r="AD334" i="4"/>
  <c r="AD336" i="4"/>
  <c r="AD638" i="4"/>
  <c r="AC463" i="4"/>
  <c r="AC573" i="4"/>
  <c r="AC335" i="4"/>
  <c r="AB346" i="4"/>
  <c r="AB496" i="4"/>
  <c r="AB615" i="4"/>
  <c r="AB196" i="4"/>
  <c r="AB315" i="4"/>
  <c r="AB430" i="4"/>
  <c r="AB264" i="4"/>
  <c r="AB353" i="4"/>
  <c r="AB503" i="4"/>
  <c r="AB622" i="4"/>
  <c r="AB203" i="4"/>
  <c r="AD581" i="4"/>
  <c r="AD358" i="4"/>
  <c r="AD360" i="4"/>
  <c r="AC589" i="4"/>
  <c r="AC523" i="4"/>
  <c r="AC291" i="4"/>
  <c r="AB322" i="4"/>
  <c r="AB437" i="4"/>
  <c r="AB555" i="4"/>
  <c r="AB144" i="4"/>
  <c r="AB248" i="4"/>
  <c r="AB337" i="4"/>
  <c r="AB629" i="4"/>
  <c r="AB210" i="4"/>
  <c r="AB329" i="4"/>
  <c r="AB444" i="4"/>
  <c r="AB562" i="4"/>
  <c r="AB151" i="4"/>
  <c r="AD213" i="4"/>
  <c r="AD452" i="4"/>
  <c r="AD454" i="4"/>
  <c r="AC453" i="4"/>
  <c r="AC267" i="4"/>
  <c r="AC510" i="4"/>
  <c r="AB255" i="4"/>
  <c r="AB344" i="4"/>
  <c r="AB494" i="4"/>
  <c r="AB613" i="4"/>
  <c r="AB194" i="4"/>
  <c r="AB313" i="4"/>
  <c r="AB569" i="4"/>
  <c r="AB158" i="4"/>
  <c r="AB262" i="4"/>
  <c r="AB351" i="4"/>
  <c r="AB501" i="4"/>
  <c r="AB620" i="4"/>
  <c r="AD267" i="4"/>
  <c r="AD511" i="4"/>
  <c r="AD513" i="4"/>
  <c r="AC405" i="4"/>
  <c r="AD173" i="4"/>
  <c r="AC360" i="4"/>
  <c r="AB201" i="4"/>
  <c r="AB320" i="4"/>
  <c r="AB435" i="4"/>
  <c r="AB553" i="4"/>
  <c r="AB142" i="4"/>
  <c r="AB246" i="4"/>
  <c r="AB508" i="4"/>
  <c r="AB627" i="4"/>
  <c r="AB208" i="4"/>
  <c r="AB327" i="4"/>
  <c r="AB442" i="4"/>
  <c r="AB560" i="4"/>
  <c r="AC52" i="4"/>
  <c r="AD333" i="4"/>
  <c r="AD572" i="4"/>
  <c r="AD574" i="4"/>
  <c r="AC294" i="4"/>
  <c r="AC513" i="4"/>
  <c r="AC530" i="4"/>
  <c r="AC412" i="4"/>
  <c r="AB149" i="4"/>
  <c r="AB253" i="4"/>
  <c r="AB342" i="4"/>
  <c r="AB492" i="4"/>
  <c r="AB611" i="4"/>
  <c r="AB192" i="4"/>
  <c r="AB449" i="4"/>
  <c r="AB567" i="4"/>
  <c r="AB156" i="4"/>
  <c r="AB260" i="4"/>
  <c r="AB349" i="4"/>
  <c r="AB499" i="4"/>
  <c r="AC638" i="4"/>
  <c r="AD357" i="4"/>
  <c r="AD632" i="4"/>
  <c r="AD634" i="4"/>
  <c r="AD52" i="4"/>
  <c r="AC511" i="4"/>
  <c r="AC270" i="4"/>
  <c r="AC512" i="4"/>
  <c r="AB618" i="4"/>
  <c r="AB199" i="4"/>
  <c r="AB318" i="4"/>
  <c r="AB433" i="4"/>
  <c r="AB551" i="4"/>
  <c r="AB140" i="4"/>
  <c r="AB356" i="4"/>
  <c r="AB506" i="4"/>
  <c r="AB625" i="4"/>
  <c r="AB206" i="4"/>
  <c r="AB325" i="4"/>
  <c r="AB440" i="4"/>
  <c r="AC451" i="4"/>
  <c r="AD165" i="4"/>
  <c r="AD215" i="4"/>
  <c r="AC221" i="4"/>
  <c r="AC522" i="4"/>
  <c r="AC268" i="4"/>
  <c r="AC464" i="4"/>
  <c r="AB558" i="4"/>
  <c r="AB147" i="4"/>
  <c r="AB251" i="4"/>
  <c r="AB340" i="4"/>
  <c r="AB490" i="4"/>
  <c r="AB332" i="4"/>
  <c r="AB447" i="4"/>
  <c r="AB565" i="4"/>
  <c r="AB154" i="4"/>
  <c r="AB258" i="4"/>
  <c r="AB347" i="4"/>
  <c r="AD510" i="4"/>
  <c r="AD222" i="4"/>
  <c r="AD269" i="4"/>
  <c r="AD229" i="4"/>
  <c r="AC215" i="4"/>
  <c r="AC333" i="4"/>
  <c r="AC571" i="4"/>
  <c r="AB497" i="4"/>
  <c r="AB616" i="4"/>
  <c r="AB197" i="4"/>
  <c r="AB316" i="4"/>
  <c r="AB431" i="4"/>
  <c r="AB265" i="4"/>
  <c r="AB354" i="4"/>
  <c r="AB504" i="4"/>
  <c r="AB623" i="4"/>
  <c r="AB204" i="4"/>
  <c r="AB323" i="4"/>
  <c r="AD571" i="4"/>
  <c r="AD291" i="4"/>
  <c r="AD335" i="4"/>
  <c r="AC173" i="4"/>
  <c r="AC471" i="4"/>
  <c r="AC165" i="4"/>
  <c r="AC454" i="4"/>
  <c r="AC164" i="4"/>
  <c r="AB438" i="4"/>
  <c r="AB556" i="4"/>
  <c r="AB145" i="4"/>
  <c r="AB249" i="4"/>
  <c r="AB338" i="4"/>
  <c r="AB211" i="4"/>
  <c r="AB330" i="4"/>
  <c r="AB445" i="4"/>
  <c r="AB563" i="4"/>
  <c r="AB152" i="4"/>
  <c r="AB256" i="4"/>
  <c r="AD631" i="4"/>
  <c r="AD295" i="4"/>
  <c r="AD359" i="4"/>
  <c r="AD296" i="4"/>
  <c r="AC633" i="4"/>
  <c r="AC581" i="4"/>
  <c r="AC452" i="4"/>
  <c r="AC572" i="4"/>
  <c r="AB345" i="4"/>
  <c r="AB495" i="4"/>
  <c r="AB614" i="4"/>
  <c r="AB195" i="4"/>
  <c r="AB314" i="4"/>
  <c r="AB159" i="4"/>
  <c r="AB263" i="4"/>
  <c r="AB352" i="4"/>
  <c r="AB502" i="4"/>
  <c r="AB621" i="4"/>
  <c r="AB202" i="4"/>
  <c r="AD164" i="4"/>
  <c r="AD405" i="4"/>
  <c r="AD453" i="4"/>
  <c r="AD297" i="4"/>
  <c r="AC582" i="4"/>
  <c r="AC357" i="4"/>
  <c r="AB321" i="4"/>
  <c r="AB436" i="4"/>
  <c r="AB554" i="4"/>
  <c r="AB143" i="4"/>
  <c r="AB247" i="4"/>
  <c r="AB628" i="4"/>
  <c r="AB209" i="4"/>
  <c r="AB328" i="4"/>
  <c r="AB443" i="4"/>
  <c r="AB561" i="4"/>
  <c r="AB150" i="4"/>
  <c r="AD221" i="4"/>
  <c r="AD464" i="4"/>
  <c r="AD512" i="4"/>
  <c r="AD412" i="4"/>
  <c r="AC404" i="4"/>
  <c r="AC297" i="4"/>
  <c r="AC216" i="4"/>
  <c r="AB254" i="4"/>
  <c r="AB343" i="4"/>
  <c r="AB493" i="4"/>
  <c r="AB612" i="4"/>
  <c r="AB193" i="4"/>
  <c r="AB568" i="4"/>
  <c r="AB157" i="4"/>
  <c r="AB261" i="4"/>
  <c r="AB350" i="4"/>
  <c r="AB500" i="4"/>
  <c r="AD290" i="4"/>
  <c r="AD523" i="4"/>
  <c r="AD573" i="4"/>
  <c r="AD471" i="4"/>
  <c r="AC296" i="4"/>
  <c r="AC359" i="4"/>
  <c r="AC229" i="4"/>
  <c r="AC214" i="4"/>
  <c r="AB619" i="4"/>
  <c r="AB200" i="4"/>
  <c r="AB319" i="4"/>
  <c r="AB434" i="4"/>
  <c r="AB552" i="4"/>
  <c r="AB141" i="4"/>
  <c r="AB507" i="4"/>
  <c r="AB626" i="4"/>
  <c r="AB207" i="4"/>
  <c r="AB326" i="4"/>
  <c r="AB441" i="4"/>
  <c r="AD294" i="4"/>
  <c r="AD582" i="4"/>
  <c r="AD633" i="4"/>
  <c r="AD530" i="4"/>
  <c r="AC269" i="4"/>
  <c r="AC295" i="4"/>
  <c r="AC634" i="4"/>
  <c r="AC631" i="4"/>
  <c r="AB559" i="4"/>
  <c r="AB148" i="4"/>
  <c r="AB252" i="4"/>
  <c r="AB341" i="4"/>
  <c r="AB491" i="4"/>
  <c r="AB610" i="4"/>
  <c r="AB448" i="4"/>
  <c r="AB566" i="4"/>
  <c r="AB155" i="4"/>
  <c r="AB259" i="4"/>
  <c r="AB348" i="4"/>
  <c r="AD404" i="4"/>
  <c r="AD214" i="4"/>
  <c r="AD216" i="4"/>
  <c r="AD589" i="4"/>
  <c r="AC222" i="4"/>
  <c r="AC336" i="4"/>
  <c r="AC213" i="4"/>
  <c r="AC632" i="4"/>
  <c r="AA441" i="4"/>
  <c r="AA360" i="4"/>
  <c r="AA358" i="4"/>
  <c r="AB92" i="6"/>
  <c r="AA453" i="4"/>
  <c r="AA213" i="4"/>
  <c r="AB137" i="6"/>
  <c r="AB254" i="6"/>
  <c r="AA513" i="4"/>
  <c r="AA511" i="4"/>
  <c r="AA267" i="4"/>
  <c r="AB232" i="6"/>
  <c r="AA573" i="4"/>
  <c r="AA333" i="4"/>
  <c r="AB186" i="6"/>
  <c r="AA268" i="4"/>
  <c r="AA634" i="4"/>
  <c r="AA632" i="4"/>
  <c r="AA357" i="4"/>
  <c r="AA216" i="4"/>
  <c r="AA214" i="4"/>
  <c r="AA451" i="4"/>
  <c r="AA269" i="4"/>
  <c r="AA510" i="4"/>
  <c r="AA336" i="4"/>
  <c r="AA334" i="4"/>
  <c r="AA571" i="4"/>
  <c r="AA359" i="4"/>
  <c r="AA631" i="4"/>
  <c r="AB111" i="6"/>
  <c r="AA454" i="4"/>
  <c r="AA452" i="4"/>
  <c r="AA335" i="4"/>
  <c r="AA512" i="4"/>
  <c r="AB162" i="6"/>
  <c r="AA270" i="4"/>
  <c r="AA574" i="4"/>
  <c r="AA572" i="4"/>
  <c r="AA633" i="4"/>
  <c r="AB209" i="6"/>
  <c r="AA215" i="4"/>
  <c r="AC139" i="4"/>
  <c r="AB105" i="4"/>
  <c r="AB109" i="4"/>
  <c r="AB100" i="4"/>
  <c r="AD426" i="4"/>
  <c r="AA528" i="4"/>
  <c r="AC117" i="4"/>
  <c r="AC243" i="4"/>
  <c r="AA570" i="4"/>
  <c r="AC544" i="4"/>
  <c r="AB110" i="4"/>
  <c r="AC189" i="4"/>
  <c r="AB104" i="4"/>
  <c r="AB113" i="4"/>
  <c r="AD485" i="4"/>
  <c r="AC630" i="4"/>
  <c r="AB103" i="4"/>
  <c r="AB116" i="4"/>
  <c r="AB108" i="4"/>
  <c r="AD509" i="4"/>
  <c r="AC280" i="4"/>
  <c r="AD450" i="4"/>
  <c r="AD603" i="4"/>
  <c r="AB106" i="4"/>
  <c r="AB98" i="4"/>
  <c r="AB111" i="4"/>
  <c r="AC391" i="4"/>
  <c r="AD587" i="4"/>
  <c r="AD544" i="4"/>
  <c r="AD282" i="4"/>
  <c r="AB122" i="4"/>
  <c r="AC390" i="4"/>
  <c r="AD528" i="4"/>
  <c r="AC588" i="4"/>
  <c r="AB134" i="4"/>
  <c r="AB101" i="4"/>
  <c r="AB114" i="4"/>
  <c r="AC266" i="4"/>
  <c r="AD469" i="4"/>
  <c r="AA469" i="4"/>
  <c r="AD529" i="4"/>
  <c r="AC485" i="4"/>
  <c r="AD570" i="4"/>
  <c r="AC282" i="4"/>
  <c r="AC212" i="4"/>
  <c r="AB226" i="6"/>
  <c r="AC410" i="4"/>
  <c r="AD470" i="4"/>
  <c r="AD306" i="4"/>
  <c r="AD411" i="4"/>
  <c r="AB93" i="4"/>
  <c r="AB117" i="4"/>
  <c r="AC305" i="4"/>
  <c r="AD304" i="4"/>
  <c r="AD243" i="4"/>
  <c r="AB13" i="4"/>
  <c r="AB11" i="4"/>
  <c r="AB107" i="4"/>
  <c r="AB99" i="4"/>
  <c r="AB112" i="4"/>
  <c r="AC227" i="4"/>
  <c r="AC302" i="4"/>
  <c r="AC603" i="4"/>
  <c r="AC171" i="4"/>
  <c r="AC228" i="4"/>
  <c r="AD280" i="4"/>
  <c r="AB102" i="4"/>
  <c r="AB115" i="4"/>
  <c r="AB66" i="6"/>
  <c r="AC123" i="4"/>
  <c r="AC172" i="4"/>
  <c r="AC426" i="4"/>
  <c r="AD189" i="4"/>
  <c r="AB97" i="4"/>
  <c r="AC124" i="4"/>
  <c r="AA529" i="4"/>
  <c r="AA470" i="4"/>
  <c r="AA410" i="4"/>
  <c r="AB205" i="6"/>
  <c r="AA411" i="4"/>
  <c r="AA304" i="4"/>
  <c r="AA302" i="4"/>
  <c r="AA228" i="4"/>
  <c r="AA227" i="4"/>
  <c r="AB132" i="6"/>
  <c r="AA171" i="4"/>
  <c r="AB107" i="6"/>
  <c r="AB248" i="6"/>
  <c r="AA123" i="4"/>
  <c r="AB86" i="6"/>
  <c r="AA172" i="4"/>
  <c r="AB177" i="6"/>
  <c r="AB85" i="6"/>
  <c r="AB67" i="6"/>
  <c r="AA124" i="4"/>
  <c r="AB204" i="6"/>
  <c r="AB249" i="6"/>
  <c r="AB227" i="6"/>
  <c r="AA306" i="4"/>
  <c r="AB176" i="6"/>
  <c r="AA305" i="4"/>
  <c r="AB149" i="6"/>
  <c r="AB131" i="6"/>
  <c r="AA587" i="4"/>
  <c r="AB150" i="6"/>
  <c r="AC86" i="6"/>
  <c r="AC67" i="6"/>
  <c r="AC176" i="6"/>
  <c r="AC149" i="6"/>
  <c r="AB121" i="4"/>
  <c r="AB84" i="4"/>
  <c r="AB135" i="4"/>
  <c r="AB133" i="4"/>
  <c r="AB132" i="4"/>
  <c r="AB131" i="4"/>
  <c r="AB130" i="4"/>
  <c r="AB123" i="4"/>
  <c r="AB127" i="4"/>
  <c r="AB126" i="4"/>
  <c r="AB125" i="4"/>
  <c r="AB138" i="4"/>
  <c r="AB120" i="4"/>
  <c r="AB139" i="4"/>
  <c r="AB129" i="4"/>
  <c r="AB119" i="4"/>
  <c r="AB128" i="4"/>
  <c r="AB118" i="4"/>
  <c r="AB124" i="4"/>
  <c r="AB137" i="4"/>
  <c r="AB136" i="4"/>
  <c r="AB96" i="4"/>
  <c r="AD172" i="4"/>
  <c r="AC205" i="6"/>
  <c r="G132" i="6"/>
  <c r="G107" i="6"/>
  <c r="AC132" i="6"/>
  <c r="AC107" i="6"/>
  <c r="H86" i="6"/>
  <c r="H249" i="6"/>
  <c r="AC249" i="6"/>
  <c r="H227" i="6"/>
  <c r="AC227" i="6"/>
  <c r="H176" i="6"/>
  <c r="H67" i="6"/>
  <c r="AC248" i="6"/>
  <c r="G205" i="6"/>
  <c r="G149" i="6"/>
  <c r="AD588" i="4"/>
  <c r="AD228" i="4"/>
  <c r="AC411" i="4"/>
  <c r="AD124" i="4"/>
  <c r="AD302" i="4"/>
  <c r="AC529" i="4"/>
  <c r="AC470" i="4"/>
  <c r="AC304" i="4"/>
  <c r="AD410" i="4"/>
  <c r="AD305" i="4"/>
  <c r="AD227" i="4"/>
  <c r="AD171" i="4"/>
  <c r="AD123" i="4"/>
  <c r="AC587" i="4"/>
  <c r="AC528" i="4"/>
  <c r="AC469" i="4"/>
  <c r="AC306" i="4"/>
  <c r="H226" i="6"/>
  <c r="H204" i="6"/>
  <c r="AC226" i="6"/>
  <c r="H248" i="6"/>
  <c r="G131" i="6"/>
  <c r="AC204" i="6"/>
  <c r="AC131" i="6"/>
  <c r="AC177" i="6"/>
  <c r="AC136" i="6"/>
  <c r="AC150" i="6"/>
  <c r="H177" i="6"/>
  <c r="H150" i="6"/>
  <c r="AC106" i="6"/>
  <c r="AC85" i="6"/>
  <c r="H106" i="6"/>
  <c r="AC66" i="6"/>
  <c r="H85" i="6"/>
  <c r="H238" i="6"/>
  <c r="G238" i="6"/>
  <c r="H216" i="6"/>
  <c r="H66" i="6"/>
  <c r="AD630" i="4"/>
  <c r="AD212" i="4"/>
  <c r="AC570" i="4"/>
  <c r="AB216" i="6"/>
  <c r="AB174" i="6"/>
  <c r="AB120" i="6"/>
  <c r="AB76" i="6"/>
  <c r="AA630" i="4"/>
  <c r="AB194" i="6"/>
  <c r="AB238" i="6"/>
  <c r="AA509" i="4"/>
  <c r="AA450" i="4"/>
  <c r="AB147" i="6"/>
  <c r="AA391" i="4"/>
  <c r="AA390" i="4"/>
  <c r="AB97" i="6"/>
  <c r="AA266" i="4"/>
  <c r="AA212" i="4"/>
  <c r="AB58" i="6"/>
  <c r="AD391" i="4"/>
  <c r="AD390" i="4"/>
  <c r="AD266" i="4"/>
  <c r="AD139" i="4"/>
  <c r="AC509" i="4"/>
  <c r="AC450" i="4"/>
  <c r="AC216" i="6"/>
  <c r="G194" i="6"/>
  <c r="AC194" i="6"/>
  <c r="AC174" i="6"/>
  <c r="G147" i="6"/>
  <c r="AC147" i="6"/>
  <c r="H174" i="6"/>
  <c r="H97" i="6"/>
  <c r="AC120" i="6"/>
  <c r="AC97" i="6"/>
  <c r="H120" i="6"/>
  <c r="H76" i="6"/>
  <c r="AC76" i="6"/>
  <c r="AC58" i="6"/>
  <c r="AC91" i="6"/>
  <c r="AC70" i="6"/>
  <c r="H58" i="6"/>
  <c r="AA321" i="4"/>
  <c r="AA99" i="4"/>
  <c r="AA313" i="4"/>
  <c r="AC110" i="6"/>
  <c r="H110" i="6"/>
  <c r="G70" i="6"/>
  <c r="AA355" i="4"/>
  <c r="AA626" i="4"/>
  <c r="AB70" i="6"/>
  <c r="AA261" i="4"/>
  <c r="AA502" i="4"/>
  <c r="AA152" i="4"/>
  <c r="AA347" i="4"/>
  <c r="AA107" i="4"/>
  <c r="AA556" i="4"/>
  <c r="AA197" i="4"/>
  <c r="AA433" i="4"/>
  <c r="H231" i="6"/>
  <c r="H208" i="6"/>
  <c r="H185" i="6"/>
  <c r="G136" i="6"/>
  <c r="AC253" i="6"/>
  <c r="AC231" i="6"/>
  <c r="AC185" i="6"/>
  <c r="H253" i="6"/>
  <c r="AC438" i="4"/>
  <c r="AC104" i="4"/>
  <c r="AC318" i="4"/>
  <c r="AD553" i="4"/>
  <c r="AD194" i="4"/>
  <c r="AC430" i="4"/>
  <c r="AA322" i="4"/>
  <c r="AA557" i="4"/>
  <c r="AA198" i="4"/>
  <c r="AA434" i="4"/>
  <c r="AA100" i="4"/>
  <c r="AA314" i="4"/>
  <c r="AD628" i="4"/>
  <c r="AC263" i="4"/>
  <c r="AC504" i="4"/>
  <c r="AD154" i="4"/>
  <c r="AD349" i="4"/>
  <c r="AD620" i="4"/>
  <c r="AA356" i="4"/>
  <c r="AA627" i="4"/>
  <c r="AA262" i="4"/>
  <c r="AA503" i="4"/>
  <c r="AA153" i="4"/>
  <c r="AA348" i="4"/>
  <c r="G208" i="6"/>
  <c r="AC103" i="4"/>
  <c r="AC503" i="4"/>
  <c r="AC345" i="4"/>
  <c r="AC616" i="4"/>
  <c r="AC251" i="4"/>
  <c r="AD492" i="4"/>
  <c r="AD142" i="4"/>
  <c r="AC337" i="4"/>
  <c r="AA255" i="4"/>
  <c r="AA496" i="4"/>
  <c r="AA146" i="4"/>
  <c r="AA341" i="4"/>
  <c r="AA612" i="4"/>
  <c r="AA247" i="4"/>
  <c r="AC568" i="4"/>
  <c r="AC209" i="4"/>
  <c r="AC445" i="4"/>
  <c r="AD111" i="4"/>
  <c r="AD325" i="4"/>
  <c r="AC560" i="4"/>
  <c r="AA332" i="4"/>
  <c r="AA567" i="4"/>
  <c r="AA208" i="4"/>
  <c r="AA444" i="4"/>
  <c r="AA110" i="4"/>
  <c r="AA324" i="4"/>
  <c r="AC55" i="6"/>
  <c r="G161" i="6"/>
  <c r="AB62" i="4"/>
  <c r="AC107" i="4"/>
  <c r="AD321" i="4"/>
  <c r="AC556" i="4"/>
  <c r="AC197" i="4"/>
  <c r="AD433" i="4"/>
  <c r="AC99" i="4"/>
  <c r="AD313" i="4"/>
  <c r="AA201" i="4"/>
  <c r="AA437" i="4"/>
  <c r="AA103" i="4"/>
  <c r="AA317" i="4"/>
  <c r="AA552" i="4"/>
  <c r="AA193" i="4"/>
  <c r="AC507" i="4"/>
  <c r="AC157" i="4"/>
  <c r="AD352" i="4"/>
  <c r="AD623" i="4"/>
  <c r="AC258" i="4"/>
  <c r="AC499" i="4"/>
  <c r="AA265" i="4"/>
  <c r="AA506" i="4"/>
  <c r="AA156" i="4"/>
  <c r="AA351" i="4"/>
  <c r="AA622" i="4"/>
  <c r="AA257" i="4"/>
  <c r="AB55" i="6"/>
  <c r="AB253" i="6"/>
  <c r="AD193" i="4"/>
  <c r="AD586" i="4"/>
  <c r="AD474" i="4"/>
  <c r="AD299" i="4"/>
  <c r="AD162" i="4"/>
  <c r="AD72" i="4"/>
  <c r="AD56" i="4"/>
  <c r="AD41" i="4"/>
  <c r="AD25" i="4"/>
  <c r="AD7" i="4"/>
  <c r="AC619" i="4"/>
  <c r="AC254" i="4"/>
  <c r="AC495" i="4"/>
  <c r="AD145" i="4"/>
  <c r="AD340" i="4"/>
  <c r="AC611" i="4"/>
  <c r="AC246" i="4"/>
  <c r="AA149" i="4"/>
  <c r="AA344" i="4"/>
  <c r="AA615" i="4"/>
  <c r="AA250" i="4"/>
  <c r="AA491" i="4"/>
  <c r="AA141" i="4"/>
  <c r="AC448" i="4"/>
  <c r="AC114" i="4"/>
  <c r="AC328" i="4"/>
  <c r="AD563" i="4"/>
  <c r="AC204" i="4"/>
  <c r="AC440" i="4"/>
  <c r="AA211" i="4"/>
  <c r="AA447" i="4"/>
  <c r="AA113" i="4"/>
  <c r="AA327" i="4"/>
  <c r="AA562" i="4"/>
  <c r="AA203" i="4"/>
  <c r="AB231" i="6"/>
  <c r="AD437" i="4"/>
  <c r="AD627" i="4"/>
  <c r="AD524" i="4"/>
  <c r="AD395" i="4"/>
  <c r="AD238" i="4"/>
  <c r="AD130" i="4"/>
  <c r="AD91" i="4"/>
  <c r="AD64" i="4"/>
  <c r="AD55" i="4"/>
  <c r="AD40" i="4"/>
  <c r="AD22" i="4"/>
  <c r="AD6" i="4"/>
  <c r="AD559" i="4"/>
  <c r="AC200" i="4"/>
  <c r="AC436" i="4"/>
  <c r="AD102" i="4"/>
  <c r="AC316" i="4"/>
  <c r="AD551" i="4"/>
  <c r="AC192" i="4"/>
  <c r="AA106" i="4"/>
  <c r="AA320" i="4"/>
  <c r="AA555" i="4"/>
  <c r="AA196" i="4"/>
  <c r="AA432" i="4"/>
  <c r="AA98" i="4"/>
  <c r="AC355" i="4"/>
  <c r="AD626" i="4"/>
  <c r="AC261" i="4"/>
  <c r="AD502" i="4"/>
  <c r="AC152" i="4"/>
  <c r="AC347" i="4"/>
  <c r="AA159" i="4"/>
  <c r="AA354" i="4"/>
  <c r="AA625" i="4"/>
  <c r="AA260" i="4"/>
  <c r="AA501" i="4"/>
  <c r="AA151" i="4"/>
  <c r="AB208" i="6"/>
  <c r="G91" i="6"/>
  <c r="AD535" i="4"/>
  <c r="AD421" i="4"/>
  <c r="AD394" i="4"/>
  <c r="AD188" i="4"/>
  <c r="AD80" i="4"/>
  <c r="AD90" i="4"/>
  <c r="AD63" i="4"/>
  <c r="AD54" i="4"/>
  <c r="AD37" i="4"/>
  <c r="AD21" i="4"/>
  <c r="AD5" i="4"/>
  <c r="AC498" i="4"/>
  <c r="AC148" i="4"/>
  <c r="AD343" i="4"/>
  <c r="AD614" i="4"/>
  <c r="AC249" i="4"/>
  <c r="AC490" i="4"/>
  <c r="AC140" i="4"/>
  <c r="AA618" i="4"/>
  <c r="AA253" i="4"/>
  <c r="AA494" i="4"/>
  <c r="AA144" i="4"/>
  <c r="AA339" i="4"/>
  <c r="AA610" i="4"/>
  <c r="AC331" i="4"/>
  <c r="AC566" i="4"/>
  <c r="AD207" i="4"/>
  <c r="AD443" i="4"/>
  <c r="AC109" i="4"/>
  <c r="AC323" i="4"/>
  <c r="AA116" i="4"/>
  <c r="AA330" i="4"/>
  <c r="AA565" i="4"/>
  <c r="AA206" i="4"/>
  <c r="AA442" i="4"/>
  <c r="AA108" i="4"/>
  <c r="AB185" i="6"/>
  <c r="AC262" i="4"/>
  <c r="AC439" i="4"/>
  <c r="AD319" i="4"/>
  <c r="AC554" i="4"/>
  <c r="AC431" i="4"/>
  <c r="AA558" i="4"/>
  <c r="AA199" i="4"/>
  <c r="AA435" i="4"/>
  <c r="AA101" i="4"/>
  <c r="AA315" i="4"/>
  <c r="AA550" i="4"/>
  <c r="AC629" i="4"/>
  <c r="AC264" i="4"/>
  <c r="AC505" i="4"/>
  <c r="AD155" i="4"/>
  <c r="AD350" i="4"/>
  <c r="AC621" i="4"/>
  <c r="AC256" i="4"/>
  <c r="AA628" i="4"/>
  <c r="AA263" i="4"/>
  <c r="AA504" i="4"/>
  <c r="AA154" i="4"/>
  <c r="AA349" i="4"/>
  <c r="AA620" i="4"/>
  <c r="AB161" i="6"/>
  <c r="AC105" i="4"/>
  <c r="AC195" i="4"/>
  <c r="AD97" i="4"/>
  <c r="AC346" i="4"/>
  <c r="AD617" i="4"/>
  <c r="AD252" i="4"/>
  <c r="AC493" i="4"/>
  <c r="AC143" i="4"/>
  <c r="AC338" i="4"/>
  <c r="AA497" i="4"/>
  <c r="AA147" i="4"/>
  <c r="AA342" i="4"/>
  <c r="AA613" i="4"/>
  <c r="AA248" i="4"/>
  <c r="AA489" i="4"/>
  <c r="AC569" i="4"/>
  <c r="AC210" i="4"/>
  <c r="AD446" i="4"/>
  <c r="AC112" i="4"/>
  <c r="AC326" i="4"/>
  <c r="AC561" i="4"/>
  <c r="AC202" i="4"/>
  <c r="AA568" i="4"/>
  <c r="AA209" i="4"/>
  <c r="AA445" i="4"/>
  <c r="AA111" i="4"/>
  <c r="AA325" i="4"/>
  <c r="AA560" i="4"/>
  <c r="AB136" i="6"/>
  <c r="AD317" i="4"/>
  <c r="AC153" i="4"/>
  <c r="AC322" i="4"/>
  <c r="AD557" i="4"/>
  <c r="AD198" i="4"/>
  <c r="AC434" i="4"/>
  <c r="AC100" i="4"/>
  <c r="AC314" i="4"/>
  <c r="AA438" i="4"/>
  <c r="AA104" i="4"/>
  <c r="AA318" i="4"/>
  <c r="AA553" i="4"/>
  <c r="AA194" i="4"/>
  <c r="AA430" i="4"/>
  <c r="AC508" i="4"/>
  <c r="AD158" i="4"/>
  <c r="AD353" i="4"/>
  <c r="AC624" i="4"/>
  <c r="AC259" i="4"/>
  <c r="AC500" i="4"/>
  <c r="AD150" i="4"/>
  <c r="AA507" i="4"/>
  <c r="AA157" i="4"/>
  <c r="AA352" i="4"/>
  <c r="AA623" i="4"/>
  <c r="AA258" i="4"/>
  <c r="AA499" i="4"/>
  <c r="AB110" i="6"/>
  <c r="AA97" i="4"/>
  <c r="AC255" i="4"/>
  <c r="AD496" i="4"/>
  <c r="AD146" i="4"/>
  <c r="AC341" i="4"/>
  <c r="AC612" i="4"/>
  <c r="AC247" i="4"/>
  <c r="AA345" i="4"/>
  <c r="AA616" i="4"/>
  <c r="AA251" i="4"/>
  <c r="AA492" i="4"/>
  <c r="AA142" i="4"/>
  <c r="AA337" i="4"/>
  <c r="AC449" i="4"/>
  <c r="AD115" i="4"/>
  <c r="AD329" i="4"/>
  <c r="AC564" i="4"/>
  <c r="AC205" i="4"/>
  <c r="AC441" i="4"/>
  <c r="AA448" i="4"/>
  <c r="AA114" i="4"/>
  <c r="AA328" i="4"/>
  <c r="AA563" i="4"/>
  <c r="AA204" i="4"/>
  <c r="AA440" i="4"/>
  <c r="AB91" i="6"/>
  <c r="AD348" i="4"/>
  <c r="AC592" i="4"/>
  <c r="AC539" i="4"/>
  <c r="AC468" i="4"/>
  <c r="AD82" i="4"/>
  <c r="AD68" i="4"/>
  <c r="AC51" i="4"/>
  <c r="AC31" i="4"/>
  <c r="AC15" i="4"/>
  <c r="AD149" i="4"/>
  <c r="AD344" i="4"/>
  <c r="AC615" i="4"/>
  <c r="AC250" i="4"/>
  <c r="AC491" i="4"/>
  <c r="AD141" i="4"/>
  <c r="AA619" i="4"/>
  <c r="AA254" i="4"/>
  <c r="AA495" i="4"/>
  <c r="AA145" i="4"/>
  <c r="AA340" i="4"/>
  <c r="AA611" i="4"/>
  <c r="AA246" i="4"/>
  <c r="AC332" i="4"/>
  <c r="AD567" i="4"/>
  <c r="AC208" i="4"/>
  <c r="AC444" i="4"/>
  <c r="AC110" i="4"/>
  <c r="AC324" i="4"/>
  <c r="AA331" i="4"/>
  <c r="AA566" i="4"/>
  <c r="AA207" i="4"/>
  <c r="AA443" i="4"/>
  <c r="AA109" i="4"/>
  <c r="AA323" i="4"/>
  <c r="AC201" i="4"/>
  <c r="AC79" i="4"/>
  <c r="AC67" i="4"/>
  <c r="AC50" i="4"/>
  <c r="AC24" i="4"/>
  <c r="AC14" i="4"/>
  <c r="AD106" i="4"/>
  <c r="AC320" i="4"/>
  <c r="AD555" i="4"/>
  <c r="AC196" i="4"/>
  <c r="AC432" i="4"/>
  <c r="AD98" i="4"/>
  <c r="AA559" i="4"/>
  <c r="AA200" i="4"/>
  <c r="AA436" i="4"/>
  <c r="AA102" i="4"/>
  <c r="AA316" i="4"/>
  <c r="AA551" i="4"/>
  <c r="AA192" i="4"/>
  <c r="AC265" i="4"/>
  <c r="AD506" i="4"/>
  <c r="AD156" i="4"/>
  <c r="AC351" i="4"/>
  <c r="AD622" i="4"/>
  <c r="AC257" i="4"/>
  <c r="AA629" i="4"/>
  <c r="AA264" i="4"/>
  <c r="AA505" i="4"/>
  <c r="AA155" i="4"/>
  <c r="AA350" i="4"/>
  <c r="AA621" i="4"/>
  <c r="AA256" i="4"/>
  <c r="AD618" i="4"/>
  <c r="AC253" i="4"/>
  <c r="AC494" i="4"/>
  <c r="AC144" i="4"/>
  <c r="AD339" i="4"/>
  <c r="AD610" i="4"/>
  <c r="AA498" i="4"/>
  <c r="AA148" i="4"/>
  <c r="AA343" i="4"/>
  <c r="AA614" i="4"/>
  <c r="AA249" i="4"/>
  <c r="AA490" i="4"/>
  <c r="AA140" i="4"/>
  <c r="AD211" i="4"/>
  <c r="AD447" i="4"/>
  <c r="AC113" i="4"/>
  <c r="AC327" i="4"/>
  <c r="AC562" i="4"/>
  <c r="AD203" i="4"/>
  <c r="AA569" i="4"/>
  <c r="AA210" i="4"/>
  <c r="AA446" i="4"/>
  <c r="AA112" i="4"/>
  <c r="AA326" i="4"/>
  <c r="AA561" i="4"/>
  <c r="AA202" i="4"/>
  <c r="AC161" i="6"/>
  <c r="AC552" i="4"/>
  <c r="AC199" i="4"/>
  <c r="AC435" i="4"/>
  <c r="AC101" i="4"/>
  <c r="AD315" i="4"/>
  <c r="AC550" i="4"/>
  <c r="AA439" i="4"/>
  <c r="AA105" i="4"/>
  <c r="AA319" i="4"/>
  <c r="AA554" i="4"/>
  <c r="AA195" i="4"/>
  <c r="AA431" i="4"/>
  <c r="AD159" i="4"/>
  <c r="AC354" i="4"/>
  <c r="AC625" i="4"/>
  <c r="AC260" i="4"/>
  <c r="AC501" i="4"/>
  <c r="AD151" i="4"/>
  <c r="AA508" i="4"/>
  <c r="AA158" i="4"/>
  <c r="AA353" i="4"/>
  <c r="AA624" i="4"/>
  <c r="AA259" i="4"/>
  <c r="AA500" i="4"/>
  <c r="AA150" i="4"/>
  <c r="AD356" i="4"/>
  <c r="AC558" i="4"/>
  <c r="AB95" i="4"/>
  <c r="AC497" i="4"/>
  <c r="AC147" i="4"/>
  <c r="AC342" i="4"/>
  <c r="AD613" i="4"/>
  <c r="AD248" i="4"/>
  <c r="AC489" i="4"/>
  <c r="AA346" i="4"/>
  <c r="AA617" i="4"/>
  <c r="AA252" i="4"/>
  <c r="AA493" i="4"/>
  <c r="AA143" i="4"/>
  <c r="AA338" i="4"/>
  <c r="AD116" i="4"/>
  <c r="AC330" i="4"/>
  <c r="AC565" i="4"/>
  <c r="AC206" i="4"/>
  <c r="AD442" i="4"/>
  <c r="AD108" i="4"/>
  <c r="AA449" i="4"/>
  <c r="AA115" i="4"/>
  <c r="AA329" i="4"/>
  <c r="AA564" i="4"/>
  <c r="AA205" i="4"/>
  <c r="H55" i="6"/>
  <c r="AD440" i="4"/>
  <c r="AD432" i="4"/>
  <c r="AC116" i="4"/>
  <c r="AC339" i="4"/>
  <c r="AC628" i="4"/>
  <c r="AC193" i="4"/>
  <c r="AC156" i="4"/>
  <c r="AC443" i="4"/>
  <c r="AC350" i="4"/>
  <c r="AC620" i="4"/>
  <c r="AD354" i="4"/>
  <c r="AD262" i="4"/>
  <c r="AD624" i="4"/>
  <c r="AD326" i="4"/>
  <c r="AD201" i="4"/>
  <c r="AD205" i="4"/>
  <c r="AD209" i="4"/>
  <c r="AC356" i="4"/>
  <c r="AC502" i="4"/>
  <c r="AD208" i="4"/>
  <c r="AC158" i="4"/>
  <c r="AC622" i="4"/>
  <c r="AD258" i="4"/>
  <c r="AC506" i="4"/>
  <c r="AD436" i="4"/>
  <c r="AD204" i="4"/>
  <c r="AC447" i="4"/>
  <c r="AD197" i="4"/>
  <c r="AD569" i="4"/>
  <c r="AD113" i="4"/>
  <c r="AD152" i="4"/>
  <c r="AD493" i="4"/>
  <c r="AD565" i="4"/>
  <c r="AC626" i="4"/>
  <c r="AC348" i="4"/>
  <c r="AD101" i="4"/>
  <c r="AD109" i="4"/>
  <c r="AD568" i="4"/>
  <c r="AD112" i="4"/>
  <c r="AD561" i="4"/>
  <c r="AC108" i="4"/>
  <c r="AD448" i="4"/>
  <c r="AD331" i="4"/>
  <c r="AD564" i="4"/>
  <c r="AC352" i="4"/>
  <c r="AC150" i="4"/>
  <c r="AD444" i="4"/>
  <c r="AD327" i="4"/>
  <c r="AD560" i="4"/>
  <c r="AC145" i="4"/>
  <c r="AC613" i="4"/>
  <c r="AD330" i="4"/>
  <c r="AD323" i="4"/>
  <c r="AC154" i="4"/>
  <c r="AC317" i="4"/>
  <c r="AC211" i="4"/>
  <c r="AC115" i="4"/>
  <c r="AC446" i="4"/>
  <c r="AC207" i="4"/>
  <c r="AC111" i="4"/>
  <c r="AC442" i="4"/>
  <c r="AC203" i="4"/>
  <c r="AC555" i="4"/>
  <c r="AD507" i="4"/>
  <c r="AD263" i="4"/>
  <c r="AD503" i="4"/>
  <c r="AD259" i="4"/>
  <c r="AD499" i="4"/>
  <c r="AC159" i="4"/>
  <c r="AC627" i="4"/>
  <c r="AC353" i="4"/>
  <c r="AC155" i="4"/>
  <c r="AC623" i="4"/>
  <c r="AC349" i="4"/>
  <c r="AC151" i="4"/>
  <c r="AC567" i="4"/>
  <c r="AC329" i="4"/>
  <c r="AC563" i="4"/>
  <c r="AC325" i="4"/>
  <c r="AD489" i="4"/>
  <c r="AD629" i="4"/>
  <c r="AD355" i="4"/>
  <c r="AD157" i="4"/>
  <c r="AD625" i="4"/>
  <c r="AD351" i="4"/>
  <c r="AD153" i="4"/>
  <c r="AD621" i="4"/>
  <c r="AD347" i="4"/>
  <c r="AD508" i="4"/>
  <c r="AD264" i="4"/>
  <c r="AD504" i="4"/>
  <c r="AD260" i="4"/>
  <c r="AD500" i="4"/>
  <c r="AD256" i="4"/>
  <c r="AC149" i="4"/>
  <c r="AC551" i="4"/>
  <c r="AD449" i="4"/>
  <c r="AD210" i="4"/>
  <c r="AD114" i="4"/>
  <c r="AD445" i="4"/>
  <c r="AD206" i="4"/>
  <c r="AD110" i="4"/>
  <c r="AD441" i="4"/>
  <c r="AD202" i="4"/>
  <c r="AC559" i="4"/>
  <c r="AD497" i="4"/>
  <c r="AC321" i="4"/>
  <c r="AD105" i="4"/>
  <c r="AC141" i="4"/>
  <c r="AD332" i="4"/>
  <c r="AD566" i="4"/>
  <c r="AD328" i="4"/>
  <c r="AD562" i="4"/>
  <c r="AD324" i="4"/>
  <c r="AD253" i="4"/>
  <c r="AC617" i="4"/>
  <c r="AC313" i="4"/>
  <c r="AD265" i="4"/>
  <c r="AD505" i="4"/>
  <c r="AD261" i="4"/>
  <c r="AD501" i="4"/>
  <c r="AD257" i="4"/>
  <c r="AC343" i="4"/>
  <c r="AD249" i="4"/>
  <c r="AD107" i="4"/>
  <c r="AD438" i="4"/>
  <c r="AD199" i="4"/>
  <c r="AD103" i="4"/>
  <c r="AD434" i="4"/>
  <c r="AD195" i="4"/>
  <c r="AD99" i="4"/>
  <c r="AD430" i="4"/>
  <c r="AC557" i="4"/>
  <c r="AC319" i="4"/>
  <c r="AC553" i="4"/>
  <c r="AC315" i="4"/>
  <c r="AD558" i="4"/>
  <c r="AD320" i="4"/>
  <c r="AD554" i="4"/>
  <c r="AD316" i="4"/>
  <c r="AD550" i="4"/>
  <c r="AD619" i="4"/>
  <c r="AD345" i="4"/>
  <c r="AD147" i="4"/>
  <c r="AD615" i="4"/>
  <c r="AD341" i="4"/>
  <c r="AD143" i="4"/>
  <c r="AD611" i="4"/>
  <c r="AD337" i="4"/>
  <c r="AC496" i="4"/>
  <c r="AC252" i="4"/>
  <c r="AC492" i="4"/>
  <c r="AC248" i="4"/>
  <c r="AC106" i="4"/>
  <c r="AC437" i="4"/>
  <c r="AC198" i="4"/>
  <c r="AC102" i="4"/>
  <c r="AC433" i="4"/>
  <c r="AC194" i="4"/>
  <c r="AC98" i="4"/>
  <c r="AD498" i="4"/>
  <c r="AD254" i="4"/>
  <c r="AD494" i="4"/>
  <c r="AD250" i="4"/>
  <c r="AD490" i="4"/>
  <c r="AD246" i="4"/>
  <c r="AC618" i="4"/>
  <c r="AC344" i="4"/>
  <c r="AC146" i="4"/>
  <c r="AC614" i="4"/>
  <c r="AC340" i="4"/>
  <c r="AC142" i="4"/>
  <c r="AC610" i="4"/>
  <c r="AD439" i="4"/>
  <c r="AD200" i="4"/>
  <c r="AD104" i="4"/>
  <c r="AD435" i="4"/>
  <c r="AD196" i="4"/>
  <c r="AD100" i="4"/>
  <c r="AD431" i="4"/>
  <c r="AD192" i="4"/>
  <c r="AD346" i="4"/>
  <c r="AD148" i="4"/>
  <c r="AD616" i="4"/>
  <c r="AD342" i="4"/>
  <c r="AD144" i="4"/>
  <c r="AD612" i="4"/>
  <c r="AD338" i="4"/>
  <c r="AD140" i="4"/>
  <c r="AD322" i="4"/>
  <c r="AD556" i="4"/>
  <c r="AD318" i="4"/>
  <c r="AD552" i="4"/>
  <c r="AD314" i="4"/>
  <c r="AD255" i="4"/>
  <c r="AD495" i="4"/>
  <c r="AD251" i="4"/>
  <c r="AD491" i="4"/>
  <c r="AD247" i="4"/>
  <c r="AC97" i="4"/>
  <c r="AB48" i="4"/>
  <c r="AD521" i="4"/>
  <c r="AD388" i="4"/>
  <c r="AD543" i="4"/>
  <c r="AD386" i="4"/>
  <c r="AD161" i="4"/>
  <c r="AB91" i="4"/>
  <c r="AB30" i="4"/>
  <c r="AC599" i="4"/>
  <c r="AC542" i="4"/>
  <c r="AC488" i="4"/>
  <c r="AC466" i="4"/>
  <c r="AC418" i="4"/>
  <c r="AC368" i="4"/>
  <c r="AC393" i="4"/>
  <c r="AC288" i="4"/>
  <c r="AC235" i="4"/>
  <c r="AC169" i="4"/>
  <c r="AC160" i="4"/>
  <c r="AC125" i="4"/>
  <c r="AC89" i="4"/>
  <c r="AC71" i="4"/>
  <c r="AC53" i="4"/>
  <c r="AC36" i="4"/>
  <c r="AC20" i="4"/>
  <c r="AD585" i="4"/>
  <c r="AD473" i="4"/>
  <c r="AD298" i="4"/>
  <c r="AD127" i="4"/>
  <c r="AB47" i="4"/>
  <c r="AD472" i="4"/>
  <c r="AD289" i="4"/>
  <c r="AB90" i="4"/>
  <c r="AB29" i="4"/>
  <c r="AC598" i="4"/>
  <c r="AC527" i="4"/>
  <c r="AC476" i="4"/>
  <c r="AC465" i="4"/>
  <c r="AC415" i="4"/>
  <c r="AC367" i="4"/>
  <c r="AC392" i="4"/>
  <c r="AC279" i="4"/>
  <c r="AC232" i="4"/>
  <c r="AC186" i="4"/>
  <c r="AC138" i="4"/>
  <c r="AC120" i="4"/>
  <c r="AC88" i="4"/>
  <c r="AC58" i="4"/>
  <c r="AC45" i="4"/>
  <c r="AC34" i="4"/>
  <c r="AC19" i="4"/>
  <c r="AB81" i="4"/>
  <c r="AD534" i="4"/>
  <c r="AD310" i="4"/>
  <c r="AD187" i="4"/>
  <c r="AD419" i="4"/>
  <c r="AD236" i="4"/>
  <c r="AB89" i="4"/>
  <c r="AB12" i="4"/>
  <c r="AC597" i="4"/>
  <c r="AC526" i="4"/>
  <c r="AC475" i="4"/>
  <c r="AC462" i="4"/>
  <c r="AC414" i="4"/>
  <c r="AC384" i="4"/>
  <c r="AC308" i="4"/>
  <c r="AC272" i="4"/>
  <c r="AC231" i="4"/>
  <c r="AC185" i="4"/>
  <c r="AC129" i="4"/>
  <c r="AC119" i="4"/>
  <c r="AC87" i="4"/>
  <c r="AC57" i="4"/>
  <c r="AC44" i="4"/>
  <c r="AC33" i="4"/>
  <c r="AC18" i="4"/>
  <c r="AB80" i="4"/>
  <c r="AD520" i="4"/>
  <c r="AD170" i="4"/>
  <c r="AB88" i="4"/>
  <c r="AC596" i="4"/>
  <c r="AC541" i="4"/>
  <c r="AC484" i="4"/>
  <c r="AC461" i="4"/>
  <c r="AC413" i="4"/>
  <c r="AC383" i="4"/>
  <c r="AC307" i="4"/>
  <c r="AC271" i="4"/>
  <c r="AC230" i="4"/>
  <c r="AC184" i="4"/>
  <c r="AC128" i="4"/>
  <c r="AC118" i="4"/>
  <c r="AC84" i="4"/>
  <c r="AC70" i="4"/>
  <c r="AC39" i="4"/>
  <c r="AC35" i="4"/>
  <c r="AC17" i="4"/>
  <c r="AD420" i="4"/>
  <c r="AD237" i="4"/>
  <c r="AD166" i="4"/>
  <c r="AD600" i="4"/>
  <c r="AD309" i="4"/>
  <c r="AD126" i="4"/>
  <c r="AB87" i="4"/>
  <c r="AA542" i="4"/>
  <c r="AC595" i="4"/>
  <c r="AC540" i="4"/>
  <c r="AC483" i="4"/>
  <c r="AC429" i="4"/>
  <c r="AC407" i="4"/>
  <c r="AC382" i="4"/>
  <c r="AC366" i="4"/>
  <c r="AC245" i="4"/>
  <c r="AC224" i="4"/>
  <c r="AC183" i="4"/>
  <c r="AC137" i="4"/>
  <c r="AC83" i="4"/>
  <c r="AC69" i="4"/>
  <c r="AC38" i="4"/>
  <c r="AC32" i="4"/>
  <c r="AC16" i="4"/>
  <c r="AC417" i="4"/>
  <c r="AC182" i="4"/>
  <c r="AA483" i="4"/>
  <c r="AC416" i="4"/>
  <c r="AC233" i="4"/>
  <c r="AC122" i="4"/>
  <c r="AB82" i="4"/>
  <c r="AA429" i="4"/>
  <c r="AC590" i="4"/>
  <c r="AC537" i="4"/>
  <c r="AC482" i="4"/>
  <c r="AC425" i="4"/>
  <c r="AC402" i="4"/>
  <c r="AC312" i="4"/>
  <c r="AC379" i="4"/>
  <c r="AC242" i="4"/>
  <c r="AC219" i="4"/>
  <c r="AC178" i="4"/>
  <c r="AC121" i="4"/>
  <c r="AC94" i="4"/>
  <c r="AC78" i="4"/>
  <c r="AC66" i="4"/>
  <c r="AC49" i="4"/>
  <c r="AC23" i="4"/>
  <c r="AC13" i="4"/>
  <c r="AC223" i="4"/>
  <c r="AB83" i="4"/>
  <c r="AC538" i="4"/>
  <c r="AC403" i="4"/>
  <c r="AC220" i="4"/>
  <c r="AC95" i="4"/>
  <c r="AB79" i="4"/>
  <c r="AA425" i="4"/>
  <c r="AD609" i="4"/>
  <c r="AD584" i="4"/>
  <c r="AD536" i="4"/>
  <c r="AD481" i="4"/>
  <c r="AD424" i="4"/>
  <c r="AD400" i="4"/>
  <c r="AD375" i="4"/>
  <c r="AD378" i="4"/>
  <c r="AD241" i="4"/>
  <c r="AD218" i="4"/>
  <c r="AD177" i="4"/>
  <c r="AD135" i="4"/>
  <c r="AD86" i="4"/>
  <c r="AD77" i="4"/>
  <c r="AD65" i="4"/>
  <c r="AD48" i="4"/>
  <c r="AD30" i="4"/>
  <c r="AD12" i="4"/>
  <c r="AC365" i="4"/>
  <c r="AC591" i="4"/>
  <c r="AC380" i="4"/>
  <c r="AB94" i="4"/>
  <c r="AB78" i="4"/>
  <c r="AA245" i="4"/>
  <c r="AD594" i="4"/>
  <c r="AD583" i="4"/>
  <c r="AD533" i="4"/>
  <c r="AD480" i="4"/>
  <c r="AD409" i="4"/>
  <c r="AD397" i="4"/>
  <c r="AD301" i="4"/>
  <c r="AD377" i="4"/>
  <c r="AD226" i="4"/>
  <c r="AD217" i="4"/>
  <c r="AD176" i="4"/>
  <c r="AD134" i="4"/>
  <c r="AD85" i="4"/>
  <c r="AD76" i="4"/>
  <c r="AD62" i="4"/>
  <c r="AD47" i="4"/>
  <c r="AD29" i="4"/>
  <c r="AD11" i="4"/>
  <c r="AC234" i="4"/>
  <c r="AC467" i="4"/>
  <c r="AC376" i="4"/>
  <c r="AC181" i="4"/>
  <c r="AB86" i="4"/>
  <c r="AB77" i="4"/>
  <c r="AA242" i="4"/>
  <c r="AD593" i="4"/>
  <c r="AD580" i="4"/>
  <c r="AD532" i="4"/>
  <c r="AD479" i="4"/>
  <c r="AD408" i="4"/>
  <c r="AD389" i="4"/>
  <c r="AD300" i="4"/>
  <c r="AD374" i="4"/>
  <c r="AD225" i="4"/>
  <c r="AD191" i="4"/>
  <c r="AD168" i="4"/>
  <c r="AD133" i="4"/>
  <c r="AD93" i="4"/>
  <c r="AD75" i="4"/>
  <c r="AD61" i="4"/>
  <c r="AD46" i="4"/>
  <c r="AD28" i="4"/>
  <c r="AD10" i="4"/>
  <c r="AA488" i="4"/>
  <c r="AC406" i="4"/>
  <c r="AC96" i="4"/>
  <c r="AB85" i="4"/>
  <c r="AB76" i="4"/>
  <c r="AA137" i="4"/>
  <c r="AD602" i="4"/>
  <c r="AD579" i="4"/>
  <c r="AD531" i="4"/>
  <c r="AD478" i="4"/>
  <c r="AD423" i="4"/>
  <c r="AD387" i="4"/>
  <c r="AD293" i="4"/>
  <c r="AD311" i="4"/>
  <c r="AD240" i="4"/>
  <c r="AD180" i="4"/>
  <c r="AD167" i="4"/>
  <c r="AD132" i="4"/>
  <c r="AD92" i="4"/>
  <c r="AD74" i="4"/>
  <c r="AD60" i="4"/>
  <c r="AD43" i="4"/>
  <c r="AD27" i="4"/>
  <c r="AD9" i="4"/>
  <c r="AC381" i="4"/>
  <c r="AC136" i="4"/>
  <c r="AB65" i="4"/>
  <c r="AA94" i="4"/>
  <c r="AD601" i="4"/>
  <c r="AD549" i="4"/>
  <c r="AD525" i="4"/>
  <c r="AD477" i="4"/>
  <c r="AD422" i="4"/>
  <c r="AD396" i="4"/>
  <c r="AD292" i="4"/>
  <c r="AD373" i="4"/>
  <c r="AD239" i="4"/>
  <c r="AD179" i="4"/>
  <c r="AD163" i="4"/>
  <c r="AD131" i="4"/>
  <c r="AD81" i="4"/>
  <c r="AD73" i="4"/>
  <c r="AD59" i="4"/>
  <c r="AD42" i="4"/>
  <c r="AD26" i="4"/>
  <c r="AD8" i="4"/>
  <c r="AB75" i="4"/>
  <c r="AB61" i="4"/>
  <c r="AB46" i="4"/>
  <c r="AB28" i="4"/>
  <c r="AB10" i="4"/>
  <c r="AB74" i="4"/>
  <c r="AB60" i="4"/>
  <c r="AB43" i="4"/>
  <c r="AB27" i="4"/>
  <c r="AB9" i="4"/>
  <c r="AB73" i="4"/>
  <c r="AB59" i="4"/>
  <c r="AB42" i="4"/>
  <c r="AB26" i="4"/>
  <c r="AB8" i="4"/>
  <c r="AB72" i="4"/>
  <c r="AB56" i="4"/>
  <c r="AB41" i="4"/>
  <c r="AB25" i="4"/>
  <c r="AB7" i="4"/>
  <c r="AB64" i="4"/>
  <c r="AB55" i="4"/>
  <c r="AB40" i="4"/>
  <c r="AB22" i="4"/>
  <c r="AB6" i="4"/>
  <c r="AB63" i="4"/>
  <c r="AB54" i="4"/>
  <c r="AB37" i="4"/>
  <c r="AB21" i="4"/>
  <c r="AB5" i="4"/>
  <c r="AB71" i="4"/>
  <c r="AB53" i="4"/>
  <c r="AB36" i="4"/>
  <c r="AB20" i="4"/>
  <c r="AB58" i="4"/>
  <c r="AB45" i="4"/>
  <c r="AB34" i="4"/>
  <c r="AB19" i="4"/>
  <c r="AB57" i="4"/>
  <c r="AB44" i="4"/>
  <c r="AB33" i="4"/>
  <c r="AB18" i="4"/>
  <c r="AB70" i="4"/>
  <c r="AB39" i="4"/>
  <c r="AB35" i="4"/>
  <c r="AB17" i="4"/>
  <c r="AB69" i="4"/>
  <c r="AB38" i="4"/>
  <c r="AB32" i="4"/>
  <c r="AB16" i="4"/>
  <c r="AB68" i="4"/>
  <c r="AB51" i="4"/>
  <c r="AB31" i="4"/>
  <c r="AB15" i="4"/>
  <c r="AB67" i="4"/>
  <c r="AB50" i="4"/>
  <c r="AB24" i="4"/>
  <c r="AB14" i="4"/>
  <c r="AB66" i="4"/>
  <c r="AB49" i="4"/>
  <c r="AB23" i="4"/>
  <c r="AC163" i="4"/>
  <c r="AC59" i="4"/>
  <c r="AC56" i="4"/>
  <c r="AC48" i="4"/>
  <c r="AC536" i="4"/>
  <c r="AC375" i="4"/>
  <c r="AC177" i="4"/>
  <c r="AC65" i="4"/>
  <c r="AC532" i="4"/>
  <c r="AC300" i="4"/>
  <c r="AC168" i="4"/>
  <c r="AC61" i="4"/>
  <c r="AC525" i="4"/>
  <c r="AC292" i="4"/>
  <c r="AC524" i="4"/>
  <c r="AC394" i="4"/>
  <c r="AC162" i="4"/>
  <c r="AC481" i="4"/>
  <c r="AC378" i="4"/>
  <c r="AC135" i="4"/>
  <c r="AC479" i="4"/>
  <c r="AC374" i="4"/>
  <c r="AC133" i="4"/>
  <c r="AC46" i="4"/>
  <c r="AC477" i="4"/>
  <c r="AC373" i="4"/>
  <c r="AC131" i="4"/>
  <c r="AC42" i="4"/>
  <c r="AC474" i="4"/>
  <c r="AC299" i="4"/>
  <c r="AC130" i="4"/>
  <c r="AC41" i="4"/>
  <c r="AC609" i="4"/>
  <c r="AC424" i="4"/>
  <c r="AC241" i="4"/>
  <c r="AC86" i="4"/>
  <c r="AC30" i="4"/>
  <c r="AC593" i="4"/>
  <c r="AC408" i="4"/>
  <c r="AC225" i="4"/>
  <c r="AC93" i="4"/>
  <c r="AC28" i="4"/>
  <c r="AC601" i="4"/>
  <c r="AC422" i="4"/>
  <c r="AC239" i="4"/>
  <c r="AC81" i="4"/>
  <c r="AC26" i="4"/>
  <c r="AC586" i="4"/>
  <c r="AC421" i="4"/>
  <c r="AC238" i="4"/>
  <c r="AC80" i="4"/>
  <c r="AC25" i="4"/>
  <c r="AC584" i="4"/>
  <c r="AC400" i="4"/>
  <c r="AC218" i="4"/>
  <c r="AC77" i="4"/>
  <c r="AC12" i="4"/>
  <c r="AC580" i="4"/>
  <c r="AC389" i="4"/>
  <c r="AC191" i="4"/>
  <c r="AC75" i="4"/>
  <c r="AC10" i="4"/>
  <c r="AC549" i="4"/>
  <c r="AC396" i="4"/>
  <c r="AC179" i="4"/>
  <c r="AC73" i="4"/>
  <c r="AC8" i="4"/>
  <c r="AC535" i="4"/>
  <c r="AC395" i="4"/>
  <c r="AC188" i="4"/>
  <c r="AC72" i="4"/>
  <c r="AC7" i="4"/>
  <c r="AD599" i="4"/>
  <c r="AD542" i="4"/>
  <c r="AD488" i="4"/>
  <c r="AD466" i="4"/>
  <c r="AD418" i="4"/>
  <c r="AD368" i="4"/>
  <c r="AD393" i="4"/>
  <c r="AD288" i="4"/>
  <c r="AD235" i="4"/>
  <c r="AD169" i="4"/>
  <c r="AD160" i="4"/>
  <c r="AD125" i="4"/>
  <c r="AD89" i="4"/>
  <c r="AD71" i="4"/>
  <c r="AD53" i="4"/>
  <c r="AD36" i="4"/>
  <c r="AD20" i="4"/>
  <c r="AC594" i="4"/>
  <c r="AC583" i="4"/>
  <c r="AC533" i="4"/>
  <c r="AC480" i="4"/>
  <c r="AC409" i="4"/>
  <c r="AC397" i="4"/>
  <c r="AC301" i="4"/>
  <c r="AC377" i="4"/>
  <c r="AC226" i="4"/>
  <c r="AC217" i="4"/>
  <c r="AC176" i="4"/>
  <c r="AC134" i="4"/>
  <c r="AC85" i="4"/>
  <c r="AC76" i="4"/>
  <c r="AC62" i="4"/>
  <c r="AC47" i="4"/>
  <c r="AC29" i="4"/>
  <c r="AC11" i="4"/>
  <c r="AD598" i="4"/>
  <c r="AD527" i="4"/>
  <c r="AD476" i="4"/>
  <c r="AD465" i="4"/>
  <c r="AD415" i="4"/>
  <c r="AD367" i="4"/>
  <c r="AD392" i="4"/>
  <c r="AD279" i="4"/>
  <c r="AD232" i="4"/>
  <c r="AD186" i="4"/>
  <c r="AD138" i="4"/>
  <c r="AD120" i="4"/>
  <c r="AD88" i="4"/>
  <c r="AD58" i="4"/>
  <c r="AD45" i="4"/>
  <c r="AD34" i="4"/>
  <c r="AD19" i="4"/>
  <c r="AD597" i="4"/>
  <c r="AD526" i="4"/>
  <c r="AD475" i="4"/>
  <c r="AD462" i="4"/>
  <c r="AD414" i="4"/>
  <c r="AD384" i="4"/>
  <c r="AD308" i="4"/>
  <c r="AD272" i="4"/>
  <c r="AD231" i="4"/>
  <c r="AD185" i="4"/>
  <c r="AD129" i="4"/>
  <c r="AD119" i="4"/>
  <c r="AD87" i="4"/>
  <c r="AD57" i="4"/>
  <c r="AD44" i="4"/>
  <c r="AD33" i="4"/>
  <c r="AD18" i="4"/>
  <c r="AC602" i="4"/>
  <c r="AC579" i="4"/>
  <c r="AC531" i="4"/>
  <c r="AC478" i="4"/>
  <c r="AC423" i="4"/>
  <c r="AC387" i="4"/>
  <c r="AC293" i="4"/>
  <c r="AC311" i="4"/>
  <c r="AC240" i="4"/>
  <c r="AC180" i="4"/>
  <c r="AC167" i="4"/>
  <c r="AC132" i="4"/>
  <c r="AC92" i="4"/>
  <c r="AC74" i="4"/>
  <c r="AC60" i="4"/>
  <c r="AC43" i="4"/>
  <c r="AC27" i="4"/>
  <c r="AC9" i="4"/>
  <c r="AD596" i="4"/>
  <c r="AD541" i="4"/>
  <c r="AD484" i="4"/>
  <c r="AD461" i="4"/>
  <c r="AD413" i="4"/>
  <c r="AD383" i="4"/>
  <c r="AD307" i="4"/>
  <c r="AD271" i="4"/>
  <c r="AD230" i="4"/>
  <c r="AD184" i="4"/>
  <c r="AD128" i="4"/>
  <c r="AD118" i="4"/>
  <c r="AD84" i="4"/>
  <c r="AD70" i="4"/>
  <c r="AD39" i="4"/>
  <c r="AD35" i="4"/>
  <c r="AD17" i="4"/>
  <c r="AD595" i="4"/>
  <c r="AD540" i="4"/>
  <c r="AD483" i="4"/>
  <c r="AD429" i="4"/>
  <c r="AD407" i="4"/>
  <c r="AD382" i="4"/>
  <c r="AD366" i="4"/>
  <c r="AD245" i="4"/>
  <c r="AD224" i="4"/>
  <c r="AD183" i="4"/>
  <c r="AD137" i="4"/>
  <c r="AD117" i="4"/>
  <c r="AD83" i="4"/>
  <c r="AD69" i="4"/>
  <c r="AD38" i="4"/>
  <c r="AD32" i="4"/>
  <c r="AD16" i="4"/>
  <c r="AD468" i="4"/>
  <c r="AD365" i="4"/>
  <c r="AD31" i="4"/>
  <c r="AC585" i="4"/>
  <c r="AC534" i="4"/>
  <c r="AC521" i="4"/>
  <c r="AC473" i="4"/>
  <c r="AC420" i="4"/>
  <c r="AC310" i="4"/>
  <c r="AC388" i="4"/>
  <c r="AC298" i="4"/>
  <c r="AC237" i="4"/>
  <c r="AC187" i="4"/>
  <c r="AC166" i="4"/>
  <c r="AC127" i="4"/>
  <c r="AC91" i="4"/>
  <c r="AC64" i="4"/>
  <c r="AC55" i="4"/>
  <c r="AC40" i="4"/>
  <c r="AC22" i="4"/>
  <c r="AC6" i="4"/>
  <c r="AD591" i="4"/>
  <c r="AD538" i="4"/>
  <c r="AD467" i="4"/>
  <c r="AD416" i="4"/>
  <c r="AD403" i="4"/>
  <c r="AD376" i="4"/>
  <c r="AD380" i="4"/>
  <c r="AD233" i="4"/>
  <c r="AD220" i="4"/>
  <c r="AD181" i="4"/>
  <c r="AD122" i="4"/>
  <c r="AD95" i="4"/>
  <c r="AD79" i="4"/>
  <c r="AD67" i="4"/>
  <c r="AD50" i="4"/>
  <c r="AD24" i="4"/>
  <c r="AD14" i="4"/>
  <c r="AD417" i="4"/>
  <c r="AD381" i="4"/>
  <c r="AD234" i="4"/>
  <c r="AD15" i="4"/>
  <c r="AC600" i="4"/>
  <c r="AC543" i="4"/>
  <c r="AC520" i="4"/>
  <c r="AC472" i="4"/>
  <c r="AC419" i="4"/>
  <c r="AC309" i="4"/>
  <c r="AC386" i="4"/>
  <c r="AC289" i="4"/>
  <c r="AC236" i="4"/>
  <c r="AC170" i="4"/>
  <c r="AC161" i="4"/>
  <c r="AC126" i="4"/>
  <c r="AC90" i="4"/>
  <c r="AC63" i="4"/>
  <c r="AC54" i="4"/>
  <c r="AC37" i="4"/>
  <c r="AC21" i="4"/>
  <c r="AC5" i="4"/>
  <c r="AD590" i="4"/>
  <c r="AD537" i="4"/>
  <c r="AD482" i="4"/>
  <c r="AD425" i="4"/>
  <c r="AD402" i="4"/>
  <c r="AD312" i="4"/>
  <c r="AD379" i="4"/>
  <c r="AD242" i="4"/>
  <c r="AD219" i="4"/>
  <c r="AD178" i="4"/>
  <c r="AD121" i="4"/>
  <c r="AD94" i="4"/>
  <c r="AD78" i="4"/>
  <c r="AD66" i="4"/>
  <c r="AD49" i="4"/>
  <c r="AD23" i="4"/>
  <c r="AD13" i="4"/>
  <c r="AD223" i="4"/>
  <c r="AD539" i="4"/>
  <c r="AD96" i="4"/>
  <c r="AD182" i="4"/>
  <c r="AD592" i="4"/>
  <c r="AD406" i="4"/>
  <c r="AD136" i="4"/>
  <c r="AD51" i="4"/>
  <c r="AC82" i="4"/>
  <c r="AC68" i="4"/>
  <c r="AA484" i="4"/>
  <c r="AA136" i="4"/>
  <c r="AA609" i="4"/>
  <c r="AA424" i="4"/>
  <c r="AA241" i="4"/>
  <c r="AA397" i="4"/>
  <c r="AA191" i="4"/>
  <c r="AA93" i="4"/>
  <c r="AA602" i="4"/>
  <c r="AA92" i="4"/>
  <c r="AA74" i="4"/>
  <c r="AA601" i="4"/>
  <c r="AA549" i="4"/>
  <c r="AA396" i="4"/>
  <c r="AA73" i="4"/>
  <c r="AA395" i="4"/>
  <c r="AA394" i="4"/>
  <c r="AA188" i="4"/>
  <c r="AA72" i="4"/>
  <c r="AA187" i="4"/>
  <c r="AA543" i="4"/>
  <c r="AA393" i="4"/>
  <c r="AA392" i="4"/>
  <c r="AA138" i="4"/>
  <c r="AB203" i="6"/>
  <c r="AB183" i="6"/>
  <c r="AB159" i="6"/>
  <c r="AB130" i="6"/>
  <c r="AC247" i="6"/>
  <c r="AB105" i="6"/>
  <c r="AB65" i="6"/>
  <c r="AB42" i="6"/>
  <c r="AB84" i="6"/>
  <c r="AB51" i="6"/>
  <c r="AB247" i="6"/>
  <c r="G159" i="6"/>
  <c r="AC159" i="6"/>
  <c r="AC225" i="6"/>
  <c r="AC203" i="6"/>
  <c r="H247" i="6"/>
  <c r="H225" i="6"/>
  <c r="AC51" i="6"/>
  <c r="H203" i="6"/>
  <c r="H183" i="6"/>
  <c r="AC65" i="6"/>
  <c r="AC183" i="6"/>
  <c r="H84" i="6"/>
  <c r="H65" i="6"/>
  <c r="AC105" i="6"/>
  <c r="H51" i="6"/>
  <c r="G130" i="6"/>
  <c r="G105" i="6"/>
  <c r="AC130" i="6"/>
  <c r="G84" i="6"/>
  <c r="AC42" i="6"/>
  <c r="H42" i="6"/>
  <c r="G39" i="6"/>
  <c r="H39" i="6"/>
  <c r="G586" i="4" l="1"/>
  <c r="H586" i="4"/>
  <c r="J586" i="4"/>
  <c r="X586" i="4" s="1"/>
  <c r="K586" i="4"/>
  <c r="L586" i="4"/>
  <c r="W586" i="4"/>
  <c r="Y586" i="4"/>
  <c r="Z586" i="4"/>
  <c r="G39" i="4"/>
  <c r="G58" i="4"/>
  <c r="G81" i="4"/>
  <c r="G122" i="4"/>
  <c r="G170" i="4"/>
  <c r="G226" i="4"/>
  <c r="G308" i="4"/>
  <c r="G409" i="4"/>
  <c r="G468" i="4"/>
  <c r="G527" i="4"/>
  <c r="H39" i="4"/>
  <c r="H58" i="4"/>
  <c r="H81" i="4"/>
  <c r="H122" i="4"/>
  <c r="H170" i="4"/>
  <c r="H226" i="4"/>
  <c r="H308" i="4"/>
  <c r="H409" i="4"/>
  <c r="H468" i="4"/>
  <c r="H527" i="4"/>
  <c r="J39" i="4"/>
  <c r="X39" i="4" s="1"/>
  <c r="J58" i="4"/>
  <c r="X58" i="4" s="1"/>
  <c r="J81" i="4"/>
  <c r="X81" i="4" s="1"/>
  <c r="J122" i="4"/>
  <c r="X122" i="4" s="1"/>
  <c r="J170" i="4"/>
  <c r="X170" i="4" s="1"/>
  <c r="J226" i="4"/>
  <c r="X226" i="4" s="1"/>
  <c r="J308" i="4"/>
  <c r="X308" i="4" s="1"/>
  <c r="J310" i="4"/>
  <c r="X310" i="4" s="1"/>
  <c r="J409" i="4"/>
  <c r="X409" i="4" s="1"/>
  <c r="J468" i="4"/>
  <c r="X468" i="4" s="1"/>
  <c r="J527" i="4"/>
  <c r="X527" i="4" s="1"/>
  <c r="K39" i="4"/>
  <c r="K58" i="4"/>
  <c r="K81" i="4"/>
  <c r="K122" i="4"/>
  <c r="K170" i="4"/>
  <c r="K226" i="4"/>
  <c r="K308" i="4"/>
  <c r="K310" i="4"/>
  <c r="K409" i="4"/>
  <c r="K468" i="4"/>
  <c r="K527" i="4"/>
  <c r="L39" i="4"/>
  <c r="L58" i="4"/>
  <c r="L81" i="4"/>
  <c r="L122" i="4"/>
  <c r="L170" i="4"/>
  <c r="L226" i="4"/>
  <c r="L308" i="4"/>
  <c r="L310" i="4"/>
  <c r="L409" i="4"/>
  <c r="L468" i="4"/>
  <c r="L527" i="4"/>
  <c r="W39" i="4"/>
  <c r="W58" i="4"/>
  <c r="W81" i="4"/>
  <c r="W122" i="4"/>
  <c r="W170" i="4"/>
  <c r="W226" i="4"/>
  <c r="W308" i="4"/>
  <c r="W310" i="4"/>
  <c r="W409" i="4"/>
  <c r="W468" i="4"/>
  <c r="W527" i="4"/>
  <c r="Y39" i="4"/>
  <c r="Y58" i="4"/>
  <c r="Y81" i="4"/>
  <c r="Y122" i="4"/>
  <c r="Y170" i="4"/>
  <c r="Y226" i="4"/>
  <c r="Y308" i="4"/>
  <c r="Y310" i="4"/>
  <c r="Y409" i="4"/>
  <c r="Y468" i="4"/>
  <c r="Y527" i="4"/>
  <c r="Z39" i="4"/>
  <c r="Z58" i="4"/>
  <c r="Z81" i="4"/>
  <c r="Z122" i="4"/>
  <c r="Z170" i="4"/>
  <c r="Z226" i="4"/>
  <c r="Z308" i="4"/>
  <c r="Z310" i="4"/>
  <c r="Z409" i="4"/>
  <c r="Z468" i="4"/>
  <c r="Z527" i="4"/>
  <c r="G38" i="4"/>
  <c r="G57" i="4"/>
  <c r="G80" i="4"/>
  <c r="G121" i="4"/>
  <c r="G169" i="4"/>
  <c r="G225" i="4"/>
  <c r="G307" i="4"/>
  <c r="G408" i="4"/>
  <c r="G467" i="4"/>
  <c r="G526" i="4"/>
  <c r="G585" i="4"/>
  <c r="H38" i="4"/>
  <c r="H57" i="4"/>
  <c r="H80" i="4"/>
  <c r="H121" i="4"/>
  <c r="H169" i="4"/>
  <c r="H225" i="4"/>
  <c r="H307" i="4"/>
  <c r="H408" i="4"/>
  <c r="H467" i="4"/>
  <c r="H526" i="4"/>
  <c r="H585" i="4"/>
  <c r="J38" i="4"/>
  <c r="X38" i="4" s="1"/>
  <c r="J57" i="4"/>
  <c r="X57" i="4" s="1"/>
  <c r="J80" i="4"/>
  <c r="X80" i="4" s="1"/>
  <c r="J121" i="4"/>
  <c r="X121" i="4" s="1"/>
  <c r="J169" i="4"/>
  <c r="X169" i="4" s="1"/>
  <c r="J225" i="4"/>
  <c r="X225" i="4" s="1"/>
  <c r="J307" i="4"/>
  <c r="X307" i="4" s="1"/>
  <c r="J309" i="4"/>
  <c r="X309" i="4" s="1"/>
  <c r="J408" i="4"/>
  <c r="X408" i="4" s="1"/>
  <c r="J467" i="4"/>
  <c r="X467" i="4" s="1"/>
  <c r="J526" i="4"/>
  <c r="X526" i="4" s="1"/>
  <c r="J585" i="4"/>
  <c r="X585" i="4" s="1"/>
  <c r="K38" i="4"/>
  <c r="K57" i="4"/>
  <c r="K80" i="4"/>
  <c r="K121" i="4"/>
  <c r="K169" i="4"/>
  <c r="K225" i="4"/>
  <c r="K307" i="4"/>
  <c r="K309" i="4"/>
  <c r="K408" i="4"/>
  <c r="K467" i="4"/>
  <c r="K526" i="4"/>
  <c r="K585" i="4"/>
  <c r="L38" i="4"/>
  <c r="L57" i="4"/>
  <c r="L80" i="4"/>
  <c r="L121" i="4"/>
  <c r="L169" i="4"/>
  <c r="L225" i="4"/>
  <c r="L307" i="4"/>
  <c r="L309" i="4"/>
  <c r="L408" i="4"/>
  <c r="L467" i="4"/>
  <c r="L526" i="4"/>
  <c r="L585" i="4"/>
  <c r="W38" i="4"/>
  <c r="W57" i="4"/>
  <c r="W80" i="4"/>
  <c r="W121" i="4"/>
  <c r="W169" i="4"/>
  <c r="W225" i="4"/>
  <c r="W307" i="4"/>
  <c r="W309" i="4"/>
  <c r="W408" i="4"/>
  <c r="W467" i="4"/>
  <c r="W526" i="4"/>
  <c r="W585" i="4"/>
  <c r="Y38" i="4"/>
  <c r="Y57" i="4"/>
  <c r="Y80" i="4"/>
  <c r="Y121" i="4"/>
  <c r="Y169" i="4"/>
  <c r="Y225" i="4"/>
  <c r="Y307" i="4"/>
  <c r="Y309" i="4"/>
  <c r="Y408" i="4"/>
  <c r="Y467" i="4"/>
  <c r="Y526" i="4"/>
  <c r="Y585" i="4"/>
  <c r="Z38" i="4"/>
  <c r="Z57" i="4"/>
  <c r="Z80" i="4"/>
  <c r="Z121" i="4"/>
  <c r="Z169" i="4"/>
  <c r="Z225" i="4"/>
  <c r="Z307" i="4"/>
  <c r="Z309" i="4"/>
  <c r="Z408" i="4"/>
  <c r="Z467" i="4"/>
  <c r="Z526" i="4"/>
  <c r="Z585" i="4"/>
  <c r="G38" i="6"/>
  <c r="H50" i="6"/>
  <c r="G64" i="6"/>
  <c r="H83" i="6"/>
  <c r="H104" i="6"/>
  <c r="G129" i="6"/>
  <c r="H151" i="6"/>
  <c r="H178" i="6"/>
  <c r="G202" i="6"/>
  <c r="G224" i="6"/>
  <c r="H246" i="6"/>
  <c r="J38" i="6"/>
  <c r="Z38" i="6" s="1"/>
  <c r="J50" i="6"/>
  <c r="Z50" i="6" s="1"/>
  <c r="J64" i="6"/>
  <c r="Z64" i="6" s="1"/>
  <c r="J83" i="6"/>
  <c r="Z83" i="6" s="1"/>
  <c r="J104" i="6"/>
  <c r="Z104" i="6" s="1"/>
  <c r="J129" i="6"/>
  <c r="Z129" i="6" s="1"/>
  <c r="J151" i="6"/>
  <c r="Z151" i="6" s="1"/>
  <c r="J178" i="6"/>
  <c r="Z178" i="6" s="1"/>
  <c r="J202" i="6"/>
  <c r="Z202" i="6" s="1"/>
  <c r="J224" i="6"/>
  <c r="Z224" i="6" s="1"/>
  <c r="J246" i="6"/>
  <c r="Z246" i="6" s="1"/>
  <c r="K38" i="6"/>
  <c r="K50" i="6"/>
  <c r="K64" i="6"/>
  <c r="K83" i="6"/>
  <c r="K104" i="6"/>
  <c r="K129" i="6"/>
  <c r="K151" i="6"/>
  <c r="K178" i="6"/>
  <c r="K202" i="6"/>
  <c r="K224" i="6"/>
  <c r="K246" i="6"/>
  <c r="M38" i="6"/>
  <c r="M50" i="6"/>
  <c r="M64" i="6"/>
  <c r="M83" i="6"/>
  <c r="M104" i="6"/>
  <c r="M129" i="6"/>
  <c r="M151" i="6"/>
  <c r="M178" i="6"/>
  <c r="M202" i="6"/>
  <c r="M224" i="6"/>
  <c r="M246" i="6"/>
  <c r="N38" i="6"/>
  <c r="N50" i="6"/>
  <c r="N64" i="6"/>
  <c r="N83" i="6"/>
  <c r="N104" i="6"/>
  <c r="N129" i="6"/>
  <c r="N151" i="6"/>
  <c r="N178" i="6"/>
  <c r="N202" i="6"/>
  <c r="N224" i="6"/>
  <c r="N246" i="6"/>
  <c r="Y38" i="6"/>
  <c r="Y50" i="6"/>
  <c r="Y64" i="6"/>
  <c r="Y83" i="6"/>
  <c r="Y104" i="6"/>
  <c r="Y129" i="6"/>
  <c r="Y151" i="6"/>
  <c r="Y178" i="6"/>
  <c r="Y202" i="6"/>
  <c r="Y224" i="6"/>
  <c r="Y246" i="6"/>
  <c r="J29" i="6"/>
  <c r="K29" i="6"/>
  <c r="M29" i="6"/>
  <c r="N29" i="6"/>
  <c r="Y29" i="6"/>
  <c r="W14" i="1"/>
  <c r="W35" i="4"/>
  <c r="AC64" i="6" l="1"/>
  <c r="AB246" i="6"/>
  <c r="AA58" i="4"/>
  <c r="AA527" i="4"/>
  <c r="AA169" i="4"/>
  <c r="AA170" i="4"/>
  <c r="AA309" i="4"/>
  <c r="AA121" i="4"/>
  <c r="AA310" i="4"/>
  <c r="AA585" i="4"/>
  <c r="AA80" i="4"/>
  <c r="AA586" i="4"/>
  <c r="AA81" i="4"/>
  <c r="AA225" i="4"/>
  <c r="AA408" i="4"/>
  <c r="AA226" i="4"/>
  <c r="AA409" i="4"/>
  <c r="AA122" i="4"/>
  <c r="AA467" i="4"/>
  <c r="AA468" i="4"/>
  <c r="AA38" i="4"/>
  <c r="AA39" i="4"/>
  <c r="AA307" i="4"/>
  <c r="AA57" i="4"/>
  <c r="AA308" i="4"/>
  <c r="AA526" i="4"/>
  <c r="AC224" i="6"/>
  <c r="Z29" i="6"/>
  <c r="H29" i="6"/>
  <c r="AC38" i="6"/>
  <c r="AC178" i="6"/>
  <c r="AC202" i="6"/>
  <c r="AC50" i="6"/>
  <c r="AC151" i="6"/>
  <c r="AC83" i="6"/>
  <c r="H38" i="6"/>
  <c r="G178" i="6"/>
  <c r="G151" i="6"/>
  <c r="AC129" i="6"/>
  <c r="AB178" i="6"/>
  <c r="AB202" i="6"/>
  <c r="AB129" i="6"/>
  <c r="AB64" i="6"/>
  <c r="AB50" i="6"/>
  <c r="AB224" i="6"/>
  <c r="AB151" i="6"/>
  <c r="AB104" i="6"/>
  <c r="AB83" i="6"/>
  <c r="AB38" i="6"/>
  <c r="AB29" i="6"/>
  <c r="AC246" i="6"/>
  <c r="G50" i="6"/>
  <c r="H202" i="6"/>
  <c r="H224" i="6"/>
  <c r="H129" i="6"/>
  <c r="H64" i="6"/>
  <c r="G104" i="6"/>
  <c r="G83" i="6"/>
  <c r="AC104" i="6"/>
  <c r="AC29" i="6"/>
  <c r="G246" i="6"/>
  <c r="G29" i="6"/>
  <c r="H292" i="4"/>
  <c r="H5" i="6"/>
  <c r="H6" i="6"/>
  <c r="H10" i="6"/>
  <c r="AC36" i="6"/>
  <c r="H37" i="6"/>
  <c r="G40" i="6"/>
  <c r="G41" i="6"/>
  <c r="H48" i="6"/>
  <c r="AC49" i="6"/>
  <c r="H52" i="6"/>
  <c r="G53" i="6"/>
  <c r="H62" i="6"/>
  <c r="H63" i="6"/>
  <c r="G68" i="6"/>
  <c r="G69" i="6"/>
  <c r="AC81" i="6"/>
  <c r="H82" i="6"/>
  <c r="G89" i="6"/>
  <c r="G90" i="6"/>
  <c r="AC102" i="6"/>
  <c r="AC103" i="6"/>
  <c r="G108" i="6"/>
  <c r="G109" i="6"/>
  <c r="H127" i="6"/>
  <c r="H128" i="6"/>
  <c r="H134" i="6"/>
  <c r="G135" i="6"/>
  <c r="AC158" i="6"/>
  <c r="G153" i="6"/>
  <c r="H164" i="6"/>
  <c r="H165" i="6"/>
  <c r="AC182" i="6"/>
  <c r="H180" i="6"/>
  <c r="H187" i="6"/>
  <c r="G188" i="6"/>
  <c r="AC200" i="6"/>
  <c r="H201" i="6"/>
  <c r="H206" i="6"/>
  <c r="H207" i="6"/>
  <c r="H222" i="6"/>
  <c r="AC223" i="6"/>
  <c r="H229" i="6"/>
  <c r="H230" i="6"/>
  <c r="G244" i="6"/>
  <c r="H245" i="6"/>
  <c r="AC251" i="6"/>
  <c r="H252" i="6"/>
  <c r="G134" i="4"/>
  <c r="G239" i="4"/>
  <c r="H422" i="4"/>
  <c r="H481" i="4"/>
  <c r="G599" i="4"/>
  <c r="H30" i="4"/>
  <c r="H51" i="4"/>
  <c r="H70" i="4"/>
  <c r="H91" i="4"/>
  <c r="G366" i="4"/>
  <c r="H423" i="4"/>
  <c r="H482" i="4"/>
  <c r="H541" i="4"/>
  <c r="G70" i="4"/>
  <c r="G135" i="4"/>
  <c r="G186" i="4"/>
  <c r="G240" i="4"/>
  <c r="G482" i="4"/>
  <c r="G541" i="4"/>
  <c r="G600" i="4"/>
  <c r="H135" i="4"/>
  <c r="H186" i="4"/>
  <c r="H240" i="4"/>
  <c r="H366" i="4"/>
  <c r="H600" i="4"/>
  <c r="J30" i="4"/>
  <c r="X30" i="4" s="1"/>
  <c r="J51" i="4"/>
  <c r="X51" i="4" s="1"/>
  <c r="J70" i="4"/>
  <c r="X70" i="4" s="1"/>
  <c r="J91" i="4"/>
  <c r="X91" i="4" s="1"/>
  <c r="J135" i="4"/>
  <c r="X135" i="4" s="1"/>
  <c r="J186" i="4"/>
  <c r="X186" i="4" s="1"/>
  <c r="J240" i="4"/>
  <c r="X240" i="4" s="1"/>
  <c r="J366" i="4"/>
  <c r="X366" i="4" s="1"/>
  <c r="J368" i="4"/>
  <c r="X368" i="4" s="1"/>
  <c r="J423" i="4"/>
  <c r="X423" i="4" s="1"/>
  <c r="J482" i="4"/>
  <c r="X482" i="4" s="1"/>
  <c r="J541" i="4"/>
  <c r="X541" i="4" s="1"/>
  <c r="J600" i="4"/>
  <c r="X600" i="4" s="1"/>
  <c r="K30" i="4"/>
  <c r="K51" i="4"/>
  <c r="K70" i="4"/>
  <c r="K91" i="4"/>
  <c r="K135" i="4"/>
  <c r="K186" i="4"/>
  <c r="K240" i="4"/>
  <c r="K366" i="4"/>
  <c r="K368" i="4"/>
  <c r="K423" i="4"/>
  <c r="K482" i="4"/>
  <c r="K541" i="4"/>
  <c r="K600" i="4"/>
  <c r="L30" i="4"/>
  <c r="L51" i="4"/>
  <c r="L70" i="4"/>
  <c r="L91" i="4"/>
  <c r="L135" i="4"/>
  <c r="L186" i="4"/>
  <c r="L240" i="4"/>
  <c r="L366" i="4"/>
  <c r="L368" i="4"/>
  <c r="L423" i="4"/>
  <c r="L482" i="4"/>
  <c r="L541" i="4"/>
  <c r="L600" i="4"/>
  <c r="W30" i="4"/>
  <c r="W51" i="4"/>
  <c r="W70" i="4"/>
  <c r="W91" i="4"/>
  <c r="W135" i="4"/>
  <c r="W186" i="4"/>
  <c r="W240" i="4"/>
  <c r="W366" i="4"/>
  <c r="W368" i="4"/>
  <c r="W423" i="4"/>
  <c r="W482" i="4"/>
  <c r="W541" i="4"/>
  <c r="W600" i="4"/>
  <c r="Y30" i="4"/>
  <c r="Y51" i="4"/>
  <c r="Y70" i="4"/>
  <c r="Y91" i="4"/>
  <c r="Y135" i="4"/>
  <c r="Y186" i="4"/>
  <c r="Y240" i="4"/>
  <c r="Y366" i="4"/>
  <c r="Y368" i="4"/>
  <c r="Y423" i="4"/>
  <c r="Y482" i="4"/>
  <c r="Y541" i="4"/>
  <c r="Y600" i="4"/>
  <c r="Z30" i="4"/>
  <c r="Z51" i="4"/>
  <c r="Z70" i="4"/>
  <c r="Z91" i="4"/>
  <c r="Z135" i="4"/>
  <c r="Z186" i="4"/>
  <c r="Z240" i="4"/>
  <c r="Z366" i="4"/>
  <c r="Z368" i="4"/>
  <c r="Z423" i="4"/>
  <c r="Z482" i="4"/>
  <c r="Z541" i="4"/>
  <c r="Z600" i="4"/>
  <c r="G422" i="4"/>
  <c r="G481" i="4"/>
  <c r="G540" i="4"/>
  <c r="H540" i="4"/>
  <c r="H599" i="4"/>
  <c r="J422" i="4"/>
  <c r="X422" i="4" s="1"/>
  <c r="J481" i="4"/>
  <c r="X481" i="4" s="1"/>
  <c r="J540" i="4"/>
  <c r="X540" i="4" s="1"/>
  <c r="J599" i="4"/>
  <c r="X599" i="4" s="1"/>
  <c r="K422" i="4"/>
  <c r="K481" i="4"/>
  <c r="K540" i="4"/>
  <c r="K599" i="4"/>
  <c r="L422" i="4"/>
  <c r="L481" i="4"/>
  <c r="L540" i="4"/>
  <c r="L599" i="4"/>
  <c r="W422" i="4"/>
  <c r="W481" i="4"/>
  <c r="W540" i="4"/>
  <c r="W599" i="4"/>
  <c r="Y422" i="4"/>
  <c r="Y481" i="4"/>
  <c r="Y540" i="4"/>
  <c r="Y599" i="4"/>
  <c r="Z422" i="4"/>
  <c r="Z481" i="4"/>
  <c r="Z540" i="4"/>
  <c r="Z599" i="4"/>
  <c r="J367" i="4"/>
  <c r="X367" i="4" s="1"/>
  <c r="K367" i="4"/>
  <c r="L367" i="4"/>
  <c r="W367" i="4"/>
  <c r="Y367" i="4"/>
  <c r="Z367" i="4"/>
  <c r="G365" i="4"/>
  <c r="H365" i="4"/>
  <c r="J365" i="4"/>
  <c r="X365" i="4" s="1"/>
  <c r="K365" i="4"/>
  <c r="L365" i="4"/>
  <c r="W365" i="4"/>
  <c r="Y365" i="4"/>
  <c r="Z365" i="4"/>
  <c r="J239" i="4"/>
  <c r="X239" i="4" s="1"/>
  <c r="K239" i="4"/>
  <c r="L239" i="4"/>
  <c r="W239" i="4"/>
  <c r="Y239" i="4"/>
  <c r="Z239" i="4"/>
  <c r="G185" i="4"/>
  <c r="H185" i="4"/>
  <c r="J185" i="4"/>
  <c r="X185" i="4" s="1"/>
  <c r="K185" i="4"/>
  <c r="L185" i="4"/>
  <c r="W185" i="4"/>
  <c r="Y185" i="4"/>
  <c r="Z185" i="4"/>
  <c r="J134" i="4"/>
  <c r="X134" i="4" s="1"/>
  <c r="K134" i="4"/>
  <c r="L134" i="4"/>
  <c r="W134" i="4"/>
  <c r="Y134" i="4"/>
  <c r="Z134" i="4"/>
  <c r="G90" i="4"/>
  <c r="H90" i="4"/>
  <c r="J90" i="4"/>
  <c r="X90" i="4" s="1"/>
  <c r="K90" i="4"/>
  <c r="L90" i="4"/>
  <c r="W90" i="4"/>
  <c r="Y90" i="4"/>
  <c r="Z90" i="4"/>
  <c r="G69" i="4"/>
  <c r="H69" i="4"/>
  <c r="J69" i="4"/>
  <c r="X69" i="4" s="1"/>
  <c r="K69" i="4"/>
  <c r="L69" i="4"/>
  <c r="W69" i="4"/>
  <c r="Y69" i="4"/>
  <c r="Z69" i="4"/>
  <c r="G50" i="4"/>
  <c r="H50" i="4"/>
  <c r="J50" i="4"/>
  <c r="X50" i="4" s="1"/>
  <c r="K50" i="4"/>
  <c r="L50" i="4"/>
  <c r="W50" i="4"/>
  <c r="Y50" i="4"/>
  <c r="Z50" i="4"/>
  <c r="G29" i="4"/>
  <c r="H29" i="4"/>
  <c r="J29" i="4"/>
  <c r="X29" i="4" s="1"/>
  <c r="K29" i="4"/>
  <c r="L29" i="4"/>
  <c r="W29" i="4"/>
  <c r="Y29" i="4"/>
  <c r="Z29" i="4"/>
  <c r="J245" i="6"/>
  <c r="Z245" i="6" s="1"/>
  <c r="K245" i="6"/>
  <c r="M245" i="6"/>
  <c r="N245" i="6"/>
  <c r="Y245" i="6"/>
  <c r="J223" i="6"/>
  <c r="Z223" i="6" s="1"/>
  <c r="K223" i="6"/>
  <c r="M223" i="6"/>
  <c r="N223" i="6"/>
  <c r="Y223" i="6"/>
  <c r="J201" i="6"/>
  <c r="Z201" i="6" s="1"/>
  <c r="K201" i="6"/>
  <c r="M201" i="6"/>
  <c r="N201" i="6"/>
  <c r="Y201" i="6"/>
  <c r="Z180" i="6"/>
  <c r="K180" i="6"/>
  <c r="M180" i="6"/>
  <c r="N180" i="6"/>
  <c r="Y180" i="6"/>
  <c r="J153" i="6"/>
  <c r="Z153" i="6" s="1"/>
  <c r="K153" i="6"/>
  <c r="M153" i="6"/>
  <c r="N153" i="6"/>
  <c r="Y153" i="6"/>
  <c r="J128" i="6"/>
  <c r="Z128" i="6" s="1"/>
  <c r="K128" i="6"/>
  <c r="M128" i="6"/>
  <c r="N128" i="6"/>
  <c r="Y128" i="6"/>
  <c r="J103" i="6"/>
  <c r="Z103" i="6" s="1"/>
  <c r="K103" i="6"/>
  <c r="M103" i="6"/>
  <c r="N103" i="6"/>
  <c r="Y103" i="6"/>
  <c r="J82" i="6"/>
  <c r="Z82" i="6" s="1"/>
  <c r="K82" i="6"/>
  <c r="M82" i="6"/>
  <c r="N82" i="6"/>
  <c r="Y82" i="6"/>
  <c r="J63" i="6"/>
  <c r="Z63" i="6" s="1"/>
  <c r="K63" i="6"/>
  <c r="M63" i="6"/>
  <c r="N63" i="6"/>
  <c r="Y63" i="6"/>
  <c r="J49" i="6"/>
  <c r="Z49" i="6" s="1"/>
  <c r="K49" i="6"/>
  <c r="M49" i="6"/>
  <c r="N49" i="6"/>
  <c r="Y49" i="6"/>
  <c r="J37" i="6"/>
  <c r="Z37" i="6" s="1"/>
  <c r="K37" i="6"/>
  <c r="M37" i="6"/>
  <c r="N37" i="6"/>
  <c r="Y37" i="6"/>
  <c r="J28" i="6"/>
  <c r="K28" i="6"/>
  <c r="M28" i="6"/>
  <c r="N28" i="6"/>
  <c r="Y28" i="6"/>
  <c r="J17" i="6"/>
  <c r="K17" i="6"/>
  <c r="M17" i="6"/>
  <c r="N17" i="6"/>
  <c r="Y17" i="6"/>
  <c r="W13" i="1"/>
  <c r="G131" i="4"/>
  <c r="G133" i="4"/>
  <c r="G182" i="4"/>
  <c r="G183" i="4"/>
  <c r="G184" i="4"/>
  <c r="G238" i="4"/>
  <c r="G418" i="4"/>
  <c r="G419" i="4"/>
  <c r="G420" i="4"/>
  <c r="H421" i="4"/>
  <c r="G480" i="4"/>
  <c r="G537" i="4"/>
  <c r="G539" i="4"/>
  <c r="G596" i="4"/>
  <c r="G598" i="4"/>
  <c r="W12" i="1"/>
  <c r="J598" i="4"/>
  <c r="X598" i="4" s="1"/>
  <c r="K598" i="4"/>
  <c r="L598" i="4"/>
  <c r="W598" i="4"/>
  <c r="Y598" i="4"/>
  <c r="Z598" i="4"/>
  <c r="G597" i="4"/>
  <c r="H597" i="4"/>
  <c r="J597" i="4"/>
  <c r="X597" i="4" s="1"/>
  <c r="K597" i="4"/>
  <c r="L597" i="4"/>
  <c r="W597" i="4"/>
  <c r="Y597" i="4"/>
  <c r="Z597" i="4"/>
  <c r="J596" i="4"/>
  <c r="X596" i="4" s="1"/>
  <c r="K596" i="4"/>
  <c r="L596" i="4"/>
  <c r="W596" i="4"/>
  <c r="Y596" i="4"/>
  <c r="Z596" i="4"/>
  <c r="G595" i="4"/>
  <c r="H595" i="4"/>
  <c r="J595" i="4"/>
  <c r="X595" i="4" s="1"/>
  <c r="K595" i="4"/>
  <c r="L595" i="4"/>
  <c r="W595" i="4"/>
  <c r="Y595" i="4"/>
  <c r="Z595" i="4"/>
  <c r="H539" i="4"/>
  <c r="J539" i="4"/>
  <c r="X539" i="4" s="1"/>
  <c r="K539" i="4"/>
  <c r="L539" i="4"/>
  <c r="W539" i="4"/>
  <c r="Y539" i="4"/>
  <c r="Z539" i="4"/>
  <c r="G538" i="4"/>
  <c r="H538" i="4"/>
  <c r="J538" i="4"/>
  <c r="X538" i="4" s="1"/>
  <c r="K538" i="4"/>
  <c r="L538" i="4"/>
  <c r="W538" i="4"/>
  <c r="Y538" i="4"/>
  <c r="Z538" i="4"/>
  <c r="H537" i="4"/>
  <c r="J537" i="4"/>
  <c r="X537" i="4" s="1"/>
  <c r="K537" i="4"/>
  <c r="L537" i="4"/>
  <c r="W537" i="4"/>
  <c r="Y537" i="4"/>
  <c r="Z537" i="4"/>
  <c r="G536" i="4"/>
  <c r="H536" i="4"/>
  <c r="J536" i="4"/>
  <c r="X536" i="4" s="1"/>
  <c r="K536" i="4"/>
  <c r="L536" i="4"/>
  <c r="W536" i="4"/>
  <c r="Y536" i="4"/>
  <c r="Z536" i="4"/>
  <c r="H480" i="4"/>
  <c r="J480" i="4"/>
  <c r="X480" i="4" s="1"/>
  <c r="K480" i="4"/>
  <c r="L480" i="4"/>
  <c r="W480" i="4"/>
  <c r="Y480" i="4"/>
  <c r="Z480" i="4"/>
  <c r="G479" i="4"/>
  <c r="H479" i="4"/>
  <c r="J479" i="4"/>
  <c r="X479" i="4" s="1"/>
  <c r="K479" i="4"/>
  <c r="L479" i="4"/>
  <c r="W479" i="4"/>
  <c r="Y479" i="4"/>
  <c r="Z479" i="4"/>
  <c r="G478" i="4"/>
  <c r="H478" i="4"/>
  <c r="J478" i="4"/>
  <c r="X478" i="4" s="1"/>
  <c r="K478" i="4"/>
  <c r="L478" i="4"/>
  <c r="W478" i="4"/>
  <c r="Y478" i="4"/>
  <c r="Z478" i="4"/>
  <c r="G477" i="4"/>
  <c r="H477" i="4"/>
  <c r="J477" i="4"/>
  <c r="X477" i="4" s="1"/>
  <c r="K477" i="4"/>
  <c r="L477" i="4"/>
  <c r="W477" i="4"/>
  <c r="Y477" i="4"/>
  <c r="Z477" i="4"/>
  <c r="J421" i="4"/>
  <c r="X421" i="4" s="1"/>
  <c r="K421" i="4"/>
  <c r="L421" i="4"/>
  <c r="W421" i="4"/>
  <c r="Y421" i="4"/>
  <c r="Z421" i="4"/>
  <c r="H420" i="4"/>
  <c r="J420" i="4"/>
  <c r="X420" i="4" s="1"/>
  <c r="K420" i="4"/>
  <c r="L420" i="4"/>
  <c r="W420" i="4"/>
  <c r="Y420" i="4"/>
  <c r="Z420" i="4"/>
  <c r="H419" i="4"/>
  <c r="J419" i="4"/>
  <c r="X419" i="4" s="1"/>
  <c r="K419" i="4"/>
  <c r="L419" i="4"/>
  <c r="W419" i="4"/>
  <c r="Y419" i="4"/>
  <c r="Z419" i="4"/>
  <c r="H418" i="4"/>
  <c r="J418" i="4"/>
  <c r="X418" i="4" s="1"/>
  <c r="K418" i="4"/>
  <c r="L418" i="4"/>
  <c r="W418" i="4"/>
  <c r="Y418" i="4"/>
  <c r="Z418" i="4"/>
  <c r="J384" i="4"/>
  <c r="X384" i="4" s="1"/>
  <c r="K384" i="4"/>
  <c r="L384" i="4"/>
  <c r="W384" i="4"/>
  <c r="Y384" i="4"/>
  <c r="Z384" i="4"/>
  <c r="J383" i="4"/>
  <c r="X383" i="4" s="1"/>
  <c r="K383" i="4"/>
  <c r="L383" i="4"/>
  <c r="W383" i="4"/>
  <c r="Y383" i="4"/>
  <c r="Z383" i="4"/>
  <c r="J382" i="4"/>
  <c r="X382" i="4" s="1"/>
  <c r="K382" i="4"/>
  <c r="L382" i="4"/>
  <c r="W382" i="4"/>
  <c r="Y382" i="4"/>
  <c r="Z382" i="4"/>
  <c r="J381" i="4"/>
  <c r="X381" i="4" s="1"/>
  <c r="K381" i="4"/>
  <c r="L381" i="4"/>
  <c r="W381" i="4"/>
  <c r="Y381" i="4"/>
  <c r="Z381" i="4"/>
  <c r="G380" i="4"/>
  <c r="H380" i="4"/>
  <c r="J380" i="4"/>
  <c r="X380" i="4" s="1"/>
  <c r="K380" i="4"/>
  <c r="L380" i="4"/>
  <c r="W380" i="4"/>
  <c r="Y380" i="4"/>
  <c r="Z380" i="4"/>
  <c r="G379" i="4"/>
  <c r="H379" i="4"/>
  <c r="J379" i="4"/>
  <c r="X379" i="4" s="1"/>
  <c r="K379" i="4"/>
  <c r="L379" i="4"/>
  <c r="W379" i="4"/>
  <c r="Y379" i="4"/>
  <c r="Z379" i="4"/>
  <c r="G378" i="4"/>
  <c r="H378" i="4"/>
  <c r="J378" i="4"/>
  <c r="X378" i="4" s="1"/>
  <c r="K378" i="4"/>
  <c r="L378" i="4"/>
  <c r="W378" i="4"/>
  <c r="Y378" i="4"/>
  <c r="Z378" i="4"/>
  <c r="G377" i="4"/>
  <c r="H377" i="4"/>
  <c r="J377" i="4"/>
  <c r="X377" i="4" s="1"/>
  <c r="K377" i="4"/>
  <c r="L377" i="4"/>
  <c r="W377" i="4"/>
  <c r="Y377" i="4"/>
  <c r="Z377" i="4"/>
  <c r="H238" i="4"/>
  <c r="J238" i="4"/>
  <c r="X238" i="4" s="1"/>
  <c r="K238" i="4"/>
  <c r="L238" i="4"/>
  <c r="W238" i="4"/>
  <c r="Y238" i="4"/>
  <c r="Z238" i="4"/>
  <c r="G237" i="4"/>
  <c r="H237" i="4"/>
  <c r="J237" i="4"/>
  <c r="X237" i="4" s="1"/>
  <c r="K237" i="4"/>
  <c r="L237" i="4"/>
  <c r="W237" i="4"/>
  <c r="Y237" i="4"/>
  <c r="Z237" i="4"/>
  <c r="G236" i="4"/>
  <c r="H236" i="4"/>
  <c r="J236" i="4"/>
  <c r="X236" i="4" s="1"/>
  <c r="K236" i="4"/>
  <c r="L236" i="4"/>
  <c r="W236" i="4"/>
  <c r="Y236" i="4"/>
  <c r="Z236" i="4"/>
  <c r="G235" i="4"/>
  <c r="H235" i="4"/>
  <c r="J235" i="4"/>
  <c r="X235" i="4" s="1"/>
  <c r="K235" i="4"/>
  <c r="L235" i="4"/>
  <c r="W235" i="4"/>
  <c r="Y235" i="4"/>
  <c r="Z235" i="4"/>
  <c r="H184" i="4"/>
  <c r="J184" i="4"/>
  <c r="X184" i="4" s="1"/>
  <c r="K184" i="4"/>
  <c r="L184" i="4"/>
  <c r="W184" i="4"/>
  <c r="Y184" i="4"/>
  <c r="Z184" i="4"/>
  <c r="H183" i="4"/>
  <c r="J183" i="4"/>
  <c r="X183" i="4" s="1"/>
  <c r="K183" i="4"/>
  <c r="L183" i="4"/>
  <c r="W183" i="4"/>
  <c r="Y183" i="4"/>
  <c r="Z183" i="4"/>
  <c r="H182" i="4"/>
  <c r="J182" i="4"/>
  <c r="X182" i="4" s="1"/>
  <c r="K182" i="4"/>
  <c r="L182" i="4"/>
  <c r="W182" i="4"/>
  <c r="Y182" i="4"/>
  <c r="Z182" i="4"/>
  <c r="G181" i="4"/>
  <c r="H181" i="4"/>
  <c r="J181" i="4"/>
  <c r="X181" i="4" s="1"/>
  <c r="K181" i="4"/>
  <c r="L181" i="4"/>
  <c r="W181" i="4"/>
  <c r="Y181" i="4"/>
  <c r="Z181" i="4"/>
  <c r="H133" i="4"/>
  <c r="J133" i="4"/>
  <c r="X133" i="4" s="1"/>
  <c r="K133" i="4"/>
  <c r="L133" i="4"/>
  <c r="W133" i="4"/>
  <c r="Y133" i="4"/>
  <c r="Z133" i="4"/>
  <c r="G132" i="4"/>
  <c r="H132" i="4"/>
  <c r="J132" i="4"/>
  <c r="X132" i="4" s="1"/>
  <c r="K132" i="4"/>
  <c r="L132" i="4"/>
  <c r="W132" i="4"/>
  <c r="Y132" i="4"/>
  <c r="Z132" i="4"/>
  <c r="H131" i="4"/>
  <c r="J131" i="4"/>
  <c r="X131" i="4" s="1"/>
  <c r="K131" i="4"/>
  <c r="L131" i="4"/>
  <c r="W131" i="4"/>
  <c r="Y131" i="4"/>
  <c r="Z131" i="4"/>
  <c r="G130" i="4"/>
  <c r="H130" i="4"/>
  <c r="J130" i="4"/>
  <c r="X130" i="4" s="1"/>
  <c r="K130" i="4"/>
  <c r="L130" i="4"/>
  <c r="W130" i="4"/>
  <c r="Y130" i="4"/>
  <c r="Z130" i="4"/>
  <c r="G89" i="4"/>
  <c r="H89" i="4"/>
  <c r="J89" i="4"/>
  <c r="X89" i="4" s="1"/>
  <c r="K89" i="4"/>
  <c r="L89" i="4"/>
  <c r="W89" i="4"/>
  <c r="Y89" i="4"/>
  <c r="Z89" i="4"/>
  <c r="G88" i="4"/>
  <c r="H88" i="4"/>
  <c r="J88" i="4"/>
  <c r="X88" i="4" s="1"/>
  <c r="K88" i="4"/>
  <c r="L88" i="4"/>
  <c r="W88" i="4"/>
  <c r="Y88" i="4"/>
  <c r="Z88" i="4"/>
  <c r="G87" i="4"/>
  <c r="H87" i="4"/>
  <c r="J87" i="4"/>
  <c r="X87" i="4" s="1"/>
  <c r="K87" i="4"/>
  <c r="L87" i="4"/>
  <c r="W87" i="4"/>
  <c r="Y87" i="4"/>
  <c r="Z87" i="4"/>
  <c r="G68" i="4"/>
  <c r="H68" i="4"/>
  <c r="J68" i="4"/>
  <c r="X68" i="4" s="1"/>
  <c r="K68" i="4"/>
  <c r="L68" i="4"/>
  <c r="W68" i="4"/>
  <c r="Y68" i="4"/>
  <c r="Z68" i="4"/>
  <c r="G67" i="4"/>
  <c r="H67" i="4"/>
  <c r="J67" i="4"/>
  <c r="X67" i="4" s="1"/>
  <c r="K67" i="4"/>
  <c r="L67" i="4"/>
  <c r="W67" i="4"/>
  <c r="Y67" i="4"/>
  <c r="Z67" i="4"/>
  <c r="G66" i="4"/>
  <c r="H66" i="4"/>
  <c r="J66" i="4"/>
  <c r="X66" i="4" s="1"/>
  <c r="K66" i="4"/>
  <c r="L66" i="4"/>
  <c r="W66" i="4"/>
  <c r="Y66" i="4"/>
  <c r="Z66" i="4"/>
  <c r="G65" i="4"/>
  <c r="H65" i="4"/>
  <c r="J65" i="4"/>
  <c r="X65" i="4" s="1"/>
  <c r="K65" i="4"/>
  <c r="L65" i="4"/>
  <c r="W65" i="4"/>
  <c r="Y65" i="4"/>
  <c r="Z65" i="4"/>
  <c r="G49" i="4"/>
  <c r="H49" i="4"/>
  <c r="J49" i="4"/>
  <c r="X49" i="4" s="1"/>
  <c r="K49" i="4"/>
  <c r="L49" i="4"/>
  <c r="W49" i="4"/>
  <c r="Y49" i="4"/>
  <c r="Z49" i="4"/>
  <c r="G48" i="4"/>
  <c r="H48" i="4"/>
  <c r="J48" i="4"/>
  <c r="X48" i="4" s="1"/>
  <c r="K48" i="4"/>
  <c r="L48" i="4"/>
  <c r="W48" i="4"/>
  <c r="Y48" i="4"/>
  <c r="Z48" i="4"/>
  <c r="G47" i="4"/>
  <c r="H47" i="4"/>
  <c r="J47" i="4"/>
  <c r="X47" i="4" s="1"/>
  <c r="K47" i="4"/>
  <c r="L47" i="4"/>
  <c r="W47" i="4"/>
  <c r="Y47" i="4"/>
  <c r="Z47" i="4"/>
  <c r="G46" i="4"/>
  <c r="H46" i="4"/>
  <c r="J46" i="4"/>
  <c r="X46" i="4" s="1"/>
  <c r="K46" i="4"/>
  <c r="L46" i="4"/>
  <c r="W46" i="4"/>
  <c r="Y46" i="4"/>
  <c r="Z46" i="4"/>
  <c r="G28" i="4"/>
  <c r="H28" i="4"/>
  <c r="J28" i="4"/>
  <c r="X28" i="4" s="1"/>
  <c r="K28" i="4"/>
  <c r="L28" i="4"/>
  <c r="W28" i="4"/>
  <c r="Y28" i="4"/>
  <c r="Z28" i="4"/>
  <c r="G27" i="4"/>
  <c r="H27" i="4"/>
  <c r="J27" i="4"/>
  <c r="X27" i="4" s="1"/>
  <c r="K27" i="4"/>
  <c r="L27" i="4"/>
  <c r="W27" i="4"/>
  <c r="Y27" i="4"/>
  <c r="Z27" i="4"/>
  <c r="G26" i="4"/>
  <c r="H26" i="4"/>
  <c r="J26" i="4"/>
  <c r="X26" i="4" s="1"/>
  <c r="K26" i="4"/>
  <c r="L26" i="4"/>
  <c r="W26" i="4"/>
  <c r="Y26" i="4"/>
  <c r="Z26" i="4"/>
  <c r="G25" i="4"/>
  <c r="H25" i="4"/>
  <c r="J25" i="4"/>
  <c r="X25" i="4" s="1"/>
  <c r="K25" i="4"/>
  <c r="L25" i="4"/>
  <c r="W25" i="4"/>
  <c r="Y25" i="4"/>
  <c r="Z25" i="4"/>
  <c r="L10" i="6"/>
  <c r="L18" i="6"/>
  <c r="L30" i="6"/>
  <c r="L40" i="6"/>
  <c r="L52" i="6"/>
  <c r="L68" i="6"/>
  <c r="L89" i="6"/>
  <c r="L108" i="6"/>
  <c r="L134" i="6"/>
  <c r="L164" i="6"/>
  <c r="L187" i="6"/>
  <c r="L206" i="6"/>
  <c r="L229" i="6"/>
  <c r="L251" i="6"/>
  <c r="L11" i="6"/>
  <c r="L19" i="6"/>
  <c r="L31" i="6"/>
  <c r="L41" i="6"/>
  <c r="L53" i="6"/>
  <c r="L69" i="6"/>
  <c r="L90" i="6"/>
  <c r="L109" i="6"/>
  <c r="L135" i="6"/>
  <c r="L165" i="6"/>
  <c r="L188" i="6"/>
  <c r="L207" i="6"/>
  <c r="L230" i="6"/>
  <c r="L252" i="6"/>
  <c r="L16" i="6"/>
  <c r="L27" i="6"/>
  <c r="L36" i="6"/>
  <c r="L48" i="6"/>
  <c r="L62" i="6"/>
  <c r="L81" i="6"/>
  <c r="L102" i="6"/>
  <c r="L127" i="6"/>
  <c r="L158" i="6"/>
  <c r="L182" i="6"/>
  <c r="L200" i="6"/>
  <c r="L222" i="6"/>
  <c r="L244" i="6"/>
  <c r="N5" i="6"/>
  <c r="N12" i="6"/>
  <c r="N22" i="6"/>
  <c r="N32" i="6"/>
  <c r="N44" i="6"/>
  <c r="N56" i="6"/>
  <c r="N73" i="6"/>
  <c r="N94" i="6"/>
  <c r="N117" i="6"/>
  <c r="N142" i="6"/>
  <c r="N169" i="6"/>
  <c r="N191" i="6"/>
  <c r="N213" i="6"/>
  <c r="N235" i="6"/>
  <c r="N6" i="6"/>
  <c r="N14" i="6"/>
  <c r="N24" i="6"/>
  <c r="N34" i="6"/>
  <c r="N46" i="6"/>
  <c r="N60" i="6"/>
  <c r="N79" i="6"/>
  <c r="N100" i="6"/>
  <c r="N125" i="6"/>
  <c r="N156" i="6"/>
  <c r="N181" i="6"/>
  <c r="N198" i="6"/>
  <c r="N220" i="6"/>
  <c r="N242" i="6"/>
  <c r="N7" i="6"/>
  <c r="N15" i="6"/>
  <c r="N25" i="6"/>
  <c r="N35" i="6"/>
  <c r="N47" i="6"/>
  <c r="N61" i="6"/>
  <c r="N80" i="6"/>
  <c r="N101" i="6"/>
  <c r="N126" i="6"/>
  <c r="N152" i="6"/>
  <c r="N179" i="6"/>
  <c r="N199" i="6"/>
  <c r="N221" i="6"/>
  <c r="N243" i="6"/>
  <c r="N13" i="6"/>
  <c r="N23" i="6"/>
  <c r="N33" i="6"/>
  <c r="N45" i="6"/>
  <c r="N57" i="6"/>
  <c r="N75" i="6"/>
  <c r="N96" i="6"/>
  <c r="N119" i="6"/>
  <c r="N146" i="6"/>
  <c r="N173" i="6"/>
  <c r="N193" i="6"/>
  <c r="N215" i="6"/>
  <c r="N237" i="6"/>
  <c r="N8" i="6"/>
  <c r="N21" i="6"/>
  <c r="N43" i="6"/>
  <c r="N72" i="6"/>
  <c r="N116" i="6"/>
  <c r="N167" i="6"/>
  <c r="N9" i="6"/>
  <c r="N20" i="6"/>
  <c r="N26" i="6"/>
  <c r="N54" i="6"/>
  <c r="N71" i="6"/>
  <c r="N93" i="6"/>
  <c r="N112" i="6"/>
  <c r="N10" i="6"/>
  <c r="N18" i="6"/>
  <c r="N30" i="6"/>
  <c r="N40" i="6"/>
  <c r="N52" i="6"/>
  <c r="N68" i="6"/>
  <c r="N89" i="6"/>
  <c r="N108" i="6"/>
  <c r="N134" i="6"/>
  <c r="N164" i="6"/>
  <c r="N187" i="6"/>
  <c r="N206" i="6"/>
  <c r="N229" i="6"/>
  <c r="N251" i="6"/>
  <c r="N11" i="6"/>
  <c r="N19" i="6"/>
  <c r="N31" i="6"/>
  <c r="N41" i="6"/>
  <c r="N53" i="6"/>
  <c r="N69" i="6"/>
  <c r="N90" i="6"/>
  <c r="N109" i="6"/>
  <c r="N135" i="6"/>
  <c r="N165" i="6"/>
  <c r="N188" i="6"/>
  <c r="N207" i="6"/>
  <c r="N230" i="6"/>
  <c r="N252" i="6"/>
  <c r="N16" i="6"/>
  <c r="N27" i="6"/>
  <c r="N36" i="6"/>
  <c r="N48" i="6"/>
  <c r="N62" i="6"/>
  <c r="N81" i="6"/>
  <c r="N102" i="6"/>
  <c r="N127" i="6"/>
  <c r="N158" i="6"/>
  <c r="N182" i="6"/>
  <c r="N200" i="6"/>
  <c r="N222" i="6"/>
  <c r="N244" i="6"/>
  <c r="L12" i="6"/>
  <c r="M12" i="6"/>
  <c r="L22" i="6"/>
  <c r="M22" i="6"/>
  <c r="L32" i="6"/>
  <c r="M32" i="6"/>
  <c r="L44" i="6"/>
  <c r="M44" i="6"/>
  <c r="L56" i="6"/>
  <c r="M56" i="6"/>
  <c r="L73" i="6"/>
  <c r="M73" i="6"/>
  <c r="L94" i="6"/>
  <c r="M94" i="6"/>
  <c r="L117" i="6"/>
  <c r="M117" i="6"/>
  <c r="L142" i="6"/>
  <c r="M142" i="6"/>
  <c r="L169" i="6"/>
  <c r="M169" i="6"/>
  <c r="L191" i="6"/>
  <c r="M191" i="6"/>
  <c r="L213" i="6"/>
  <c r="M213" i="6"/>
  <c r="L235" i="6"/>
  <c r="M235" i="6"/>
  <c r="L6" i="6"/>
  <c r="M6" i="6"/>
  <c r="L14" i="6"/>
  <c r="M14" i="6"/>
  <c r="L24" i="6"/>
  <c r="M24" i="6"/>
  <c r="L34" i="6"/>
  <c r="M34" i="6"/>
  <c r="L46" i="6"/>
  <c r="M46" i="6"/>
  <c r="L60" i="6"/>
  <c r="M60" i="6"/>
  <c r="L79" i="6"/>
  <c r="M79" i="6"/>
  <c r="L100" i="6"/>
  <c r="M100" i="6"/>
  <c r="L125" i="6"/>
  <c r="M125" i="6"/>
  <c r="L156" i="6"/>
  <c r="M156" i="6"/>
  <c r="L181" i="6"/>
  <c r="M181" i="6"/>
  <c r="L198" i="6"/>
  <c r="M198" i="6"/>
  <c r="L220" i="6"/>
  <c r="M220" i="6"/>
  <c r="L242" i="6"/>
  <c r="M242" i="6"/>
  <c r="L7" i="6"/>
  <c r="M7" i="6"/>
  <c r="L15" i="6"/>
  <c r="M15" i="6"/>
  <c r="L25" i="6"/>
  <c r="M25" i="6"/>
  <c r="L35" i="6"/>
  <c r="M35" i="6"/>
  <c r="L47" i="6"/>
  <c r="M47" i="6"/>
  <c r="L61" i="6"/>
  <c r="M61" i="6"/>
  <c r="L80" i="6"/>
  <c r="M80" i="6"/>
  <c r="L101" i="6"/>
  <c r="M101" i="6"/>
  <c r="L126" i="6"/>
  <c r="M126" i="6"/>
  <c r="L152" i="6"/>
  <c r="M152" i="6"/>
  <c r="L179" i="6"/>
  <c r="M179" i="6"/>
  <c r="L199" i="6"/>
  <c r="M199" i="6"/>
  <c r="L221" i="6"/>
  <c r="M221" i="6"/>
  <c r="L243" i="6"/>
  <c r="M243" i="6"/>
  <c r="L13" i="6"/>
  <c r="M13" i="6"/>
  <c r="L23" i="6"/>
  <c r="M23" i="6"/>
  <c r="L33" i="6"/>
  <c r="M33" i="6"/>
  <c r="L45" i="6"/>
  <c r="M45" i="6"/>
  <c r="L57" i="6"/>
  <c r="M57" i="6"/>
  <c r="L75" i="6"/>
  <c r="M75" i="6"/>
  <c r="L96" i="6"/>
  <c r="M96" i="6"/>
  <c r="L119" i="6"/>
  <c r="M119" i="6"/>
  <c r="L146" i="6"/>
  <c r="M146" i="6"/>
  <c r="L173" i="6"/>
  <c r="M173" i="6"/>
  <c r="L193" i="6"/>
  <c r="M193" i="6"/>
  <c r="L215" i="6"/>
  <c r="M215" i="6"/>
  <c r="L237" i="6"/>
  <c r="M237" i="6"/>
  <c r="L8" i="6"/>
  <c r="M8" i="6"/>
  <c r="L21" i="6"/>
  <c r="M21" i="6"/>
  <c r="L43" i="6"/>
  <c r="M43" i="6"/>
  <c r="L72" i="6"/>
  <c r="M72" i="6"/>
  <c r="L116" i="6"/>
  <c r="M116" i="6"/>
  <c r="L167" i="6"/>
  <c r="M167" i="6"/>
  <c r="L9" i="6"/>
  <c r="M9" i="6"/>
  <c r="L20" i="6"/>
  <c r="M20" i="6"/>
  <c r="L26" i="6"/>
  <c r="M26" i="6"/>
  <c r="L54" i="6"/>
  <c r="M54" i="6"/>
  <c r="L71" i="6"/>
  <c r="M71" i="6"/>
  <c r="L93" i="6"/>
  <c r="M93" i="6"/>
  <c r="L112" i="6"/>
  <c r="M112" i="6"/>
  <c r="M5" i="6"/>
  <c r="M10" i="6"/>
  <c r="M18" i="6"/>
  <c r="M30" i="6"/>
  <c r="M40" i="6"/>
  <c r="M52" i="6"/>
  <c r="M68" i="6"/>
  <c r="M89" i="6"/>
  <c r="M108" i="6"/>
  <c r="M134" i="6"/>
  <c r="M164" i="6"/>
  <c r="M187" i="6"/>
  <c r="M206" i="6"/>
  <c r="M229" i="6"/>
  <c r="M251" i="6"/>
  <c r="M11" i="6"/>
  <c r="M19" i="6"/>
  <c r="M31" i="6"/>
  <c r="M41" i="6"/>
  <c r="M53" i="6"/>
  <c r="M69" i="6"/>
  <c r="M90" i="6"/>
  <c r="M109" i="6"/>
  <c r="M135" i="6"/>
  <c r="M165" i="6"/>
  <c r="M188" i="6"/>
  <c r="M207" i="6"/>
  <c r="M230" i="6"/>
  <c r="M252" i="6"/>
  <c r="M16" i="6"/>
  <c r="M27" i="6"/>
  <c r="M36" i="6"/>
  <c r="M48" i="6"/>
  <c r="M62" i="6"/>
  <c r="M81" i="6"/>
  <c r="M102" i="6"/>
  <c r="M127" i="6"/>
  <c r="M158" i="6"/>
  <c r="M182" i="6"/>
  <c r="M200" i="6"/>
  <c r="M222" i="6"/>
  <c r="M244" i="6"/>
  <c r="L5" i="6"/>
  <c r="J244" i="6"/>
  <c r="Z244" i="6" s="1"/>
  <c r="K244" i="6"/>
  <c r="Y244" i="6"/>
  <c r="J222" i="6"/>
  <c r="Z222" i="6" s="1"/>
  <c r="K222" i="6"/>
  <c r="Y222" i="6"/>
  <c r="J200" i="6"/>
  <c r="Z200" i="6" s="1"/>
  <c r="K200" i="6"/>
  <c r="Y200" i="6"/>
  <c r="J182" i="6"/>
  <c r="Z182" i="6" s="1"/>
  <c r="K182" i="6"/>
  <c r="Y182" i="6"/>
  <c r="J158" i="6"/>
  <c r="Z158" i="6" s="1"/>
  <c r="K158" i="6"/>
  <c r="Y158" i="6"/>
  <c r="J127" i="6"/>
  <c r="Z127" i="6" s="1"/>
  <c r="K127" i="6"/>
  <c r="Y127" i="6"/>
  <c r="J102" i="6"/>
  <c r="Z102" i="6" s="1"/>
  <c r="K102" i="6"/>
  <c r="Y102" i="6"/>
  <c r="J81" i="6"/>
  <c r="Z81" i="6" s="1"/>
  <c r="K81" i="6"/>
  <c r="Y81" i="6"/>
  <c r="J62" i="6"/>
  <c r="Z62" i="6" s="1"/>
  <c r="K62" i="6"/>
  <c r="Y62" i="6"/>
  <c r="J48" i="6"/>
  <c r="Z48" i="6" s="1"/>
  <c r="K48" i="6"/>
  <c r="Y48" i="6"/>
  <c r="J36" i="6"/>
  <c r="Z36" i="6" s="1"/>
  <c r="K36" i="6"/>
  <c r="Y36" i="6"/>
  <c r="J27" i="6"/>
  <c r="K27" i="6"/>
  <c r="Y27" i="6"/>
  <c r="J16" i="6"/>
  <c r="K16" i="6"/>
  <c r="Y16" i="6"/>
  <c r="W11" i="1"/>
  <c r="G15" i="4"/>
  <c r="G24" i="4"/>
  <c r="G45" i="4"/>
  <c r="G64" i="4"/>
  <c r="G86" i="4"/>
  <c r="G129" i="4"/>
  <c r="G180" i="4"/>
  <c r="G234" i="4"/>
  <c r="G388" i="4"/>
  <c r="G417" i="4"/>
  <c r="G476" i="4"/>
  <c r="G535" i="4"/>
  <c r="G594" i="4"/>
  <c r="H15" i="4"/>
  <c r="H24" i="4"/>
  <c r="H45" i="4"/>
  <c r="H64" i="4"/>
  <c r="H86" i="4"/>
  <c r="H129" i="4"/>
  <c r="H180" i="4"/>
  <c r="H234" i="4"/>
  <c r="H388" i="4"/>
  <c r="H417" i="4"/>
  <c r="H476" i="4"/>
  <c r="H535" i="4"/>
  <c r="H594" i="4"/>
  <c r="J15" i="4"/>
  <c r="X15" i="4" s="1"/>
  <c r="J24" i="4"/>
  <c r="X24" i="4" s="1"/>
  <c r="J45" i="4"/>
  <c r="X45" i="4" s="1"/>
  <c r="J64" i="4"/>
  <c r="X64" i="4" s="1"/>
  <c r="J86" i="4"/>
  <c r="X86" i="4" s="1"/>
  <c r="J129" i="4"/>
  <c r="X129" i="4" s="1"/>
  <c r="J180" i="4"/>
  <c r="X180" i="4" s="1"/>
  <c r="J234" i="4"/>
  <c r="X234" i="4" s="1"/>
  <c r="J388" i="4"/>
  <c r="X388" i="4" s="1"/>
  <c r="J389" i="4"/>
  <c r="X389" i="4" s="1"/>
  <c r="J417" i="4"/>
  <c r="X417" i="4" s="1"/>
  <c r="J476" i="4"/>
  <c r="X476" i="4" s="1"/>
  <c r="J535" i="4"/>
  <c r="X535" i="4" s="1"/>
  <c r="J594" i="4"/>
  <c r="X594" i="4" s="1"/>
  <c r="K15" i="4"/>
  <c r="K24" i="4"/>
  <c r="K45" i="4"/>
  <c r="K64" i="4"/>
  <c r="K86" i="4"/>
  <c r="K129" i="4"/>
  <c r="K180" i="4"/>
  <c r="K234" i="4"/>
  <c r="K388" i="4"/>
  <c r="K389" i="4"/>
  <c r="K417" i="4"/>
  <c r="K476" i="4"/>
  <c r="K535" i="4"/>
  <c r="K594" i="4"/>
  <c r="L15" i="4"/>
  <c r="L24" i="4"/>
  <c r="L45" i="4"/>
  <c r="L64" i="4"/>
  <c r="L86" i="4"/>
  <c r="L129" i="4"/>
  <c r="L180" i="4"/>
  <c r="L234" i="4"/>
  <c r="L388" i="4"/>
  <c r="L389" i="4"/>
  <c r="L417" i="4"/>
  <c r="L476" i="4"/>
  <c r="L535" i="4"/>
  <c r="L594" i="4"/>
  <c r="W15" i="4"/>
  <c r="W24" i="4"/>
  <c r="W45" i="4"/>
  <c r="W64" i="4"/>
  <c r="W86" i="4"/>
  <c r="W129" i="4"/>
  <c r="W180" i="4"/>
  <c r="W234" i="4"/>
  <c r="W388" i="4"/>
  <c r="W389" i="4"/>
  <c r="W417" i="4"/>
  <c r="W476" i="4"/>
  <c r="W535" i="4"/>
  <c r="W594" i="4"/>
  <c r="Y15" i="4"/>
  <c r="Y24" i="4"/>
  <c r="Y45" i="4"/>
  <c r="Y64" i="4"/>
  <c r="Y86" i="4"/>
  <c r="Y129" i="4"/>
  <c r="Y180" i="4"/>
  <c r="Y234" i="4"/>
  <c r="Y388" i="4"/>
  <c r="Y389" i="4"/>
  <c r="Y417" i="4"/>
  <c r="Y476" i="4"/>
  <c r="Y535" i="4"/>
  <c r="Y594" i="4"/>
  <c r="Z15" i="4"/>
  <c r="Z24" i="4"/>
  <c r="Z45" i="4"/>
  <c r="Z64" i="4"/>
  <c r="Z86" i="4"/>
  <c r="Z129" i="4"/>
  <c r="Z180" i="4"/>
  <c r="Z234" i="4"/>
  <c r="Z388" i="4"/>
  <c r="Z389" i="4"/>
  <c r="Z417" i="4"/>
  <c r="Z476" i="4"/>
  <c r="Z535" i="4"/>
  <c r="Z594" i="4"/>
  <c r="J11" i="6"/>
  <c r="J19" i="6"/>
  <c r="J31" i="6"/>
  <c r="J41" i="6"/>
  <c r="Z41" i="6" s="1"/>
  <c r="J53" i="6"/>
  <c r="Z53" i="6" s="1"/>
  <c r="J69" i="6"/>
  <c r="Z69" i="6" s="1"/>
  <c r="J90" i="6"/>
  <c r="Z90" i="6" s="1"/>
  <c r="J109" i="6"/>
  <c r="Z109" i="6" s="1"/>
  <c r="J135" i="6"/>
  <c r="Z135" i="6" s="1"/>
  <c r="J165" i="6"/>
  <c r="Z165" i="6" s="1"/>
  <c r="J188" i="6"/>
  <c r="Z188" i="6" s="1"/>
  <c r="J207" i="6"/>
  <c r="Z207" i="6" s="1"/>
  <c r="J230" i="6"/>
  <c r="Z230" i="6" s="1"/>
  <c r="J252" i="6"/>
  <c r="Z252" i="6" s="1"/>
  <c r="K11" i="6"/>
  <c r="K19" i="6"/>
  <c r="K31" i="6"/>
  <c r="K41" i="6"/>
  <c r="K53" i="6"/>
  <c r="K69" i="6"/>
  <c r="K90" i="6"/>
  <c r="K109" i="6"/>
  <c r="K135" i="6"/>
  <c r="K165" i="6"/>
  <c r="K188" i="6"/>
  <c r="K207" i="6"/>
  <c r="K230" i="6"/>
  <c r="K252" i="6"/>
  <c r="Y11" i="6"/>
  <c r="Y19" i="6"/>
  <c r="Y31" i="6"/>
  <c r="Y41" i="6"/>
  <c r="Y53" i="6"/>
  <c r="Y69" i="6"/>
  <c r="Y90" i="6"/>
  <c r="Y109" i="6"/>
  <c r="Y135" i="6"/>
  <c r="Y165" i="6"/>
  <c r="Y188" i="6"/>
  <c r="Y207" i="6"/>
  <c r="Y230" i="6"/>
  <c r="Y252" i="6"/>
  <c r="W10" i="1"/>
  <c r="J6" i="6"/>
  <c r="J7" i="6"/>
  <c r="J8" i="6"/>
  <c r="J9" i="6"/>
  <c r="J10" i="6"/>
  <c r="Z10" i="6" s="1"/>
  <c r="J12" i="6"/>
  <c r="J13" i="6"/>
  <c r="J14" i="6"/>
  <c r="J15" i="6"/>
  <c r="J18" i="6"/>
  <c r="J20" i="6"/>
  <c r="J22" i="6"/>
  <c r="J23" i="6"/>
  <c r="J24" i="6"/>
  <c r="J25" i="6"/>
  <c r="J26" i="6"/>
  <c r="J30" i="6"/>
  <c r="J21" i="6"/>
  <c r="J32" i="6"/>
  <c r="J33" i="6"/>
  <c r="J34" i="6"/>
  <c r="J35" i="6"/>
  <c r="J40" i="6"/>
  <c r="Z40" i="6" s="1"/>
  <c r="J44" i="6"/>
  <c r="J45" i="6"/>
  <c r="J43" i="6"/>
  <c r="J46" i="6"/>
  <c r="J47" i="6"/>
  <c r="J54" i="6"/>
  <c r="J52" i="6"/>
  <c r="Z52" i="6" s="1"/>
  <c r="J56" i="6"/>
  <c r="J57" i="6"/>
  <c r="J60" i="6"/>
  <c r="J61" i="6"/>
  <c r="J71" i="6"/>
  <c r="J68" i="6"/>
  <c r="Z68" i="6" s="1"/>
  <c r="J73" i="6"/>
  <c r="J75" i="6"/>
  <c r="J72" i="6"/>
  <c r="J79" i="6"/>
  <c r="J80" i="6"/>
  <c r="J89" i="6"/>
  <c r="Z89" i="6" s="1"/>
  <c r="J93" i="6"/>
  <c r="J94" i="6"/>
  <c r="J96" i="6"/>
  <c r="J112" i="6"/>
  <c r="J100" i="6"/>
  <c r="J101" i="6"/>
  <c r="J108" i="6"/>
  <c r="Z108" i="6" s="1"/>
  <c r="J117" i="6"/>
  <c r="J119" i="6"/>
  <c r="J116" i="6"/>
  <c r="J125" i="6"/>
  <c r="J126" i="6"/>
  <c r="J134" i="6"/>
  <c r="Z134" i="6" s="1"/>
  <c r="J142" i="6"/>
  <c r="J146" i="6"/>
  <c r="J156" i="6"/>
  <c r="J152" i="6"/>
  <c r="J164" i="6"/>
  <c r="Z164" i="6" s="1"/>
  <c r="J169" i="6"/>
  <c r="J173" i="6"/>
  <c r="J181" i="6"/>
  <c r="J179" i="6"/>
  <c r="J187" i="6"/>
  <c r="Z187" i="6" s="1"/>
  <c r="J167" i="6"/>
  <c r="J191" i="6"/>
  <c r="J193" i="6"/>
  <c r="J198" i="6"/>
  <c r="J199" i="6"/>
  <c r="J206" i="6"/>
  <c r="Z206" i="6" s="1"/>
  <c r="J213" i="6"/>
  <c r="J215" i="6"/>
  <c r="J220" i="6"/>
  <c r="J221" i="6"/>
  <c r="J229" i="6"/>
  <c r="Z229" i="6" s="1"/>
  <c r="J235" i="6"/>
  <c r="J237" i="6"/>
  <c r="J242" i="6"/>
  <c r="J243" i="6"/>
  <c r="J251" i="6"/>
  <c r="Z251" i="6" s="1"/>
  <c r="G23" i="4"/>
  <c r="G44" i="4"/>
  <c r="G63" i="4"/>
  <c r="G85" i="4"/>
  <c r="G128" i="4"/>
  <c r="G179" i="4"/>
  <c r="G233" i="4"/>
  <c r="G386" i="4"/>
  <c r="G416" i="4"/>
  <c r="G475" i="4"/>
  <c r="G534" i="4"/>
  <c r="G593" i="4"/>
  <c r="H23" i="4"/>
  <c r="H44" i="4"/>
  <c r="H63" i="4"/>
  <c r="H85" i="4"/>
  <c r="H128" i="4"/>
  <c r="H179" i="4"/>
  <c r="H233" i="4"/>
  <c r="H386" i="4"/>
  <c r="H416" i="4"/>
  <c r="H475" i="4"/>
  <c r="H534" i="4"/>
  <c r="H593" i="4"/>
  <c r="J23" i="4"/>
  <c r="X23" i="4" s="1"/>
  <c r="J44" i="4"/>
  <c r="X44" i="4" s="1"/>
  <c r="J63" i="4"/>
  <c r="X63" i="4" s="1"/>
  <c r="J85" i="4"/>
  <c r="X85" i="4" s="1"/>
  <c r="J128" i="4"/>
  <c r="X128" i="4" s="1"/>
  <c r="J179" i="4"/>
  <c r="X179" i="4" s="1"/>
  <c r="J233" i="4"/>
  <c r="X233" i="4" s="1"/>
  <c r="J386" i="4"/>
  <c r="X386" i="4" s="1"/>
  <c r="J387" i="4"/>
  <c r="X387" i="4" s="1"/>
  <c r="J416" i="4"/>
  <c r="X416" i="4" s="1"/>
  <c r="J475" i="4"/>
  <c r="X475" i="4" s="1"/>
  <c r="J534" i="4"/>
  <c r="X534" i="4" s="1"/>
  <c r="J593" i="4"/>
  <c r="X593" i="4" s="1"/>
  <c r="K23" i="4"/>
  <c r="K44" i="4"/>
  <c r="K63" i="4"/>
  <c r="K85" i="4"/>
  <c r="K128" i="4"/>
  <c r="K179" i="4"/>
  <c r="K233" i="4"/>
  <c r="K386" i="4"/>
  <c r="K387" i="4"/>
  <c r="K416" i="4"/>
  <c r="K475" i="4"/>
  <c r="K534" i="4"/>
  <c r="K593" i="4"/>
  <c r="L23" i="4"/>
  <c r="L44" i="4"/>
  <c r="L63" i="4"/>
  <c r="L85" i="4"/>
  <c r="L128" i="4"/>
  <c r="L179" i="4"/>
  <c r="L233" i="4"/>
  <c r="L386" i="4"/>
  <c r="L387" i="4"/>
  <c r="L416" i="4"/>
  <c r="L475" i="4"/>
  <c r="L534" i="4"/>
  <c r="L593" i="4"/>
  <c r="W23" i="4"/>
  <c r="W44" i="4"/>
  <c r="W63" i="4"/>
  <c r="W85" i="4"/>
  <c r="W128" i="4"/>
  <c r="W179" i="4"/>
  <c r="W233" i="4"/>
  <c r="W386" i="4"/>
  <c r="W387" i="4"/>
  <c r="W416" i="4"/>
  <c r="W475" i="4"/>
  <c r="W534" i="4"/>
  <c r="W593" i="4"/>
  <c r="Y23" i="4"/>
  <c r="Y44" i="4"/>
  <c r="Y63" i="4"/>
  <c r="Y85" i="4"/>
  <c r="Y128" i="4"/>
  <c r="Y179" i="4"/>
  <c r="Y233" i="4"/>
  <c r="Y386" i="4"/>
  <c r="Y387" i="4"/>
  <c r="Y416" i="4"/>
  <c r="Y475" i="4"/>
  <c r="Y534" i="4"/>
  <c r="Y593" i="4"/>
  <c r="Z23" i="4"/>
  <c r="Z44" i="4"/>
  <c r="Z63" i="4"/>
  <c r="Z85" i="4"/>
  <c r="Z128" i="4"/>
  <c r="Z179" i="4"/>
  <c r="Z233" i="4"/>
  <c r="Z386" i="4"/>
  <c r="Z387" i="4"/>
  <c r="Z416" i="4"/>
  <c r="Z475" i="4"/>
  <c r="Z534" i="4"/>
  <c r="Z593" i="4"/>
  <c r="K18" i="6"/>
  <c r="K30" i="6"/>
  <c r="K40" i="6"/>
  <c r="K52" i="6"/>
  <c r="K68" i="6"/>
  <c r="K89" i="6"/>
  <c r="K108" i="6"/>
  <c r="K134" i="6"/>
  <c r="K164" i="6"/>
  <c r="K187" i="6"/>
  <c r="K206" i="6"/>
  <c r="K229" i="6"/>
  <c r="K251" i="6"/>
  <c r="Y18" i="6"/>
  <c r="Y30" i="6"/>
  <c r="Y40" i="6"/>
  <c r="Y52" i="6"/>
  <c r="Y68" i="6"/>
  <c r="Y89" i="6"/>
  <c r="Y108" i="6"/>
  <c r="Y134" i="6"/>
  <c r="Y164" i="6"/>
  <c r="Y187" i="6"/>
  <c r="Y206" i="6"/>
  <c r="Y229" i="6"/>
  <c r="Y251" i="6"/>
  <c r="H14" i="4"/>
  <c r="J14" i="4"/>
  <c r="X14" i="4" s="1"/>
  <c r="K14" i="4"/>
  <c r="L14" i="4"/>
  <c r="W14" i="4"/>
  <c r="Y14" i="4"/>
  <c r="Z14" i="4"/>
  <c r="K10" i="6"/>
  <c r="Y10" i="6"/>
  <c r="K9" i="6"/>
  <c r="W9" i="1"/>
  <c r="AA52" i="4" s="1"/>
  <c r="W11" i="4"/>
  <c r="W75" i="4"/>
  <c r="W166" i="4"/>
  <c r="W279" i="4"/>
  <c r="W400" i="4"/>
  <c r="W5" i="4"/>
  <c r="W16" i="4"/>
  <c r="W33" i="4"/>
  <c r="W53" i="4"/>
  <c r="W76" i="4"/>
  <c r="W117" i="4"/>
  <c r="W162" i="4"/>
  <c r="W219" i="4"/>
  <c r="W288" i="4"/>
  <c r="W292" i="4"/>
  <c r="W402" i="4"/>
  <c r="W461" i="4"/>
  <c r="W520" i="4"/>
  <c r="W579" i="4"/>
  <c r="W7" i="4"/>
  <c r="W20" i="4"/>
  <c r="W40" i="4"/>
  <c r="W59" i="4"/>
  <c r="W82" i="4"/>
  <c r="W125" i="4"/>
  <c r="W176" i="4"/>
  <c r="W230" i="4"/>
  <c r="W373" i="4"/>
  <c r="W375" i="4"/>
  <c r="W413" i="4"/>
  <c r="W472" i="4"/>
  <c r="W531" i="4"/>
  <c r="W590" i="4"/>
  <c r="W8" i="4"/>
  <c r="W21" i="4"/>
  <c r="W41" i="4"/>
  <c r="W60" i="4"/>
  <c r="W83" i="4"/>
  <c r="W126" i="4"/>
  <c r="W177" i="4"/>
  <c r="W231" i="4"/>
  <c r="W311" i="4"/>
  <c r="W312" i="4"/>
  <c r="W414" i="4"/>
  <c r="W473" i="4"/>
  <c r="W532" i="4"/>
  <c r="W591" i="4"/>
  <c r="W18" i="4"/>
  <c r="W36" i="4"/>
  <c r="W55" i="4"/>
  <c r="W78" i="4"/>
  <c r="W119" i="4"/>
  <c r="W167" i="4"/>
  <c r="W223" i="4"/>
  <c r="W298" i="4"/>
  <c r="W300" i="4"/>
  <c r="W406" i="4"/>
  <c r="W465" i="4"/>
  <c r="W524" i="4"/>
  <c r="W583" i="4"/>
  <c r="W12" i="4"/>
  <c r="W31" i="4"/>
  <c r="W6" i="4"/>
  <c r="W17" i="4"/>
  <c r="W34" i="4"/>
  <c r="W54" i="4"/>
  <c r="W77" i="4"/>
  <c r="W118" i="4"/>
  <c r="W163" i="4"/>
  <c r="W220" i="4"/>
  <c r="W289" i="4"/>
  <c r="W293" i="4"/>
  <c r="W403" i="4"/>
  <c r="W462" i="4"/>
  <c r="W521" i="4"/>
  <c r="W580" i="4"/>
  <c r="W9" i="4"/>
  <c r="W22" i="4"/>
  <c r="W42" i="4"/>
  <c r="W61" i="4"/>
  <c r="W84" i="4"/>
  <c r="W127" i="4"/>
  <c r="W178" i="4"/>
  <c r="W232" i="4"/>
  <c r="W374" i="4"/>
  <c r="W376" i="4"/>
  <c r="W415" i="4"/>
  <c r="W474" i="4"/>
  <c r="W533" i="4"/>
  <c r="W592" i="4"/>
  <c r="W10" i="4"/>
  <c r="W19" i="4"/>
  <c r="W37" i="4"/>
  <c r="W56" i="4"/>
  <c r="W79" i="4"/>
  <c r="W120" i="4"/>
  <c r="W168" i="4"/>
  <c r="W224" i="4"/>
  <c r="W299" i="4"/>
  <c r="W301" i="4"/>
  <c r="W407" i="4"/>
  <c r="W466" i="4"/>
  <c r="W525" i="4"/>
  <c r="W584" i="4"/>
  <c r="W13" i="4"/>
  <c r="W32" i="4"/>
  <c r="W43" i="4"/>
  <c r="W62" i="4"/>
  <c r="W95" i="4"/>
  <c r="W160" i="4"/>
  <c r="W217" i="4"/>
  <c r="W271" i="4"/>
  <c r="AC43" i="6" l="1"/>
  <c r="H43" i="6"/>
  <c r="AB182" i="6"/>
  <c r="AA88" i="4"/>
  <c r="AA598" i="4"/>
  <c r="AA89" i="4"/>
  <c r="AA235" i="4"/>
  <c r="AA418" i="4"/>
  <c r="AA236" i="4"/>
  <c r="AA419" i="4"/>
  <c r="AA537" i="4"/>
  <c r="AA237" i="4"/>
  <c r="AA420" i="4"/>
  <c r="AA379" i="4"/>
  <c r="AA382" i="4"/>
  <c r="AA25" i="4"/>
  <c r="AA130" i="4"/>
  <c r="AA238" i="4"/>
  <c r="AA421" i="4"/>
  <c r="AA66" i="4"/>
  <c r="AA26" i="4"/>
  <c r="AA131" i="4"/>
  <c r="AA477" i="4"/>
  <c r="AA27" i="4"/>
  <c r="AA132" i="4"/>
  <c r="AA478" i="4"/>
  <c r="AA28" i="4"/>
  <c r="AA46" i="4"/>
  <c r="AA133" i="4"/>
  <c r="AA479" i="4"/>
  <c r="AA47" i="4"/>
  <c r="AA377" i="4"/>
  <c r="AA480" i="4"/>
  <c r="AA49" i="4"/>
  <c r="AA48" i="4"/>
  <c r="AA65" i="4"/>
  <c r="AA378" i="4"/>
  <c r="AA536" i="4"/>
  <c r="AA67" i="4"/>
  <c r="AA181" i="4"/>
  <c r="AA380" i="4"/>
  <c r="AA538" i="4"/>
  <c r="AA595" i="4"/>
  <c r="AA68" i="4"/>
  <c r="AA182" i="4"/>
  <c r="AA381" i="4"/>
  <c r="AA539" i="4"/>
  <c r="AA183" i="4"/>
  <c r="AA184" i="4"/>
  <c r="AA383" i="4"/>
  <c r="AA596" i="4"/>
  <c r="AA87" i="4"/>
  <c r="AA384" i="4"/>
  <c r="AA597" i="4"/>
  <c r="AB135" i="6"/>
  <c r="AA45" i="4"/>
  <c r="AA476" i="4"/>
  <c r="AA64" i="4"/>
  <c r="AA388" i="4"/>
  <c r="AA535" i="4"/>
  <c r="AA180" i="4"/>
  <c r="AA389" i="4"/>
  <c r="AA594" i="4"/>
  <c r="AA86" i="4"/>
  <c r="AA24" i="4"/>
  <c r="AA15" i="4"/>
  <c r="AA234" i="4"/>
  <c r="AA417" i="4"/>
  <c r="AA129" i="4"/>
  <c r="AB63" i="6"/>
  <c r="AA186" i="4"/>
  <c r="AA367" i="4"/>
  <c r="AA368" i="4"/>
  <c r="AA599" i="4"/>
  <c r="AA90" i="4"/>
  <c r="AA600" i="4"/>
  <c r="AA91" i="4"/>
  <c r="AA540" i="4"/>
  <c r="AA239" i="4"/>
  <c r="AA422" i="4"/>
  <c r="AA240" i="4"/>
  <c r="AA423" i="4"/>
  <c r="AA366" i="4"/>
  <c r="AA29" i="4"/>
  <c r="AA134" i="4"/>
  <c r="AA30" i="4"/>
  <c r="AA135" i="4"/>
  <c r="AA481" i="4"/>
  <c r="AA482" i="4"/>
  <c r="AA50" i="4"/>
  <c r="AA51" i="4"/>
  <c r="AA365" i="4"/>
  <c r="AA69" i="4"/>
  <c r="AA70" i="4"/>
  <c r="AA541" i="4"/>
  <c r="AA185" i="4"/>
  <c r="AB89" i="6"/>
  <c r="AA63" i="4"/>
  <c r="AA386" i="4"/>
  <c r="AA534" i="4"/>
  <c r="AA179" i="4"/>
  <c r="AA387" i="4"/>
  <c r="AA593" i="4"/>
  <c r="AA85" i="4"/>
  <c r="AA23" i="4"/>
  <c r="AA14" i="4"/>
  <c r="AA233" i="4"/>
  <c r="AA416" i="4"/>
  <c r="AA128" i="4"/>
  <c r="AA44" i="4"/>
  <c r="AA475" i="4"/>
  <c r="H32" i="6"/>
  <c r="Z19" i="6"/>
  <c r="Z11" i="6"/>
  <c r="Z18" i="6"/>
  <c r="Z16" i="6"/>
  <c r="Z17" i="6"/>
  <c r="Z31" i="6"/>
  <c r="H27" i="6"/>
  <c r="Z30" i="6"/>
  <c r="Z27" i="6"/>
  <c r="G31" i="6"/>
  <c r="G30" i="6"/>
  <c r="Z28" i="6"/>
  <c r="AC28" i="6"/>
  <c r="H19" i="6"/>
  <c r="H18" i="6"/>
  <c r="H17" i="6"/>
  <c r="AC16" i="6"/>
  <c r="AC11" i="6"/>
  <c r="G180" i="6"/>
  <c r="AC245" i="6"/>
  <c r="AB37" i="6"/>
  <c r="AB223" i="6"/>
  <c r="AB180" i="6"/>
  <c r="AB17" i="6"/>
  <c r="AB128" i="6"/>
  <c r="AB82" i="6"/>
  <c r="AB49" i="6"/>
  <c r="AB245" i="6"/>
  <c r="AB28" i="6"/>
  <c r="AB201" i="6"/>
  <c r="AB153" i="6"/>
  <c r="AB103" i="6"/>
  <c r="G245" i="6"/>
  <c r="G91" i="4"/>
  <c r="G51" i="4"/>
  <c r="G30" i="4"/>
  <c r="G423" i="4"/>
  <c r="H134" i="4"/>
  <c r="H239" i="4"/>
  <c r="G201" i="6"/>
  <c r="H223" i="6"/>
  <c r="G223" i="6"/>
  <c r="AC180" i="6"/>
  <c r="AC201" i="6"/>
  <c r="G128" i="6"/>
  <c r="AC82" i="6"/>
  <c r="AC153" i="6"/>
  <c r="H103" i="6"/>
  <c r="G103" i="6"/>
  <c r="AC128" i="6"/>
  <c r="H153" i="6"/>
  <c r="G49" i="6"/>
  <c r="G82" i="6"/>
  <c r="G63" i="6"/>
  <c r="G37" i="6"/>
  <c r="H49" i="6"/>
  <c r="AC63" i="6"/>
  <c r="G17" i="6"/>
  <c r="H28" i="6"/>
  <c r="G28" i="6"/>
  <c r="AC37" i="6"/>
  <c r="AC17" i="6"/>
  <c r="AB27" i="6"/>
  <c r="AB102" i="6"/>
  <c r="AB200" i="6"/>
  <c r="AB31" i="6"/>
  <c r="AB48" i="6"/>
  <c r="AB16" i="6"/>
  <c r="AB127" i="6"/>
  <c r="AB62" i="6"/>
  <c r="AB222" i="6"/>
  <c r="AB158" i="6"/>
  <c r="AB81" i="6"/>
  <c r="AB36" i="6"/>
  <c r="AB244" i="6"/>
  <c r="AC244" i="6"/>
  <c r="H596" i="4"/>
  <c r="H598" i="4"/>
  <c r="G421" i="4"/>
  <c r="H182" i="6"/>
  <c r="H244" i="6"/>
  <c r="AC222" i="6"/>
  <c r="G222" i="6"/>
  <c r="AB252" i="6"/>
  <c r="AB134" i="6"/>
  <c r="AB251" i="6"/>
  <c r="AB188" i="6"/>
  <c r="AB19" i="6"/>
  <c r="AB187" i="6"/>
  <c r="AB41" i="6"/>
  <c r="AB18" i="6"/>
  <c r="AB69" i="6"/>
  <c r="AB40" i="6"/>
  <c r="AB230" i="6"/>
  <c r="AB109" i="6"/>
  <c r="AB68" i="6"/>
  <c r="AB229" i="6"/>
  <c r="AB108" i="6"/>
  <c r="AB165" i="6"/>
  <c r="AB11" i="6"/>
  <c r="AB164" i="6"/>
  <c r="AB30" i="6"/>
  <c r="AB207" i="6"/>
  <c r="AB53" i="6"/>
  <c r="AB10" i="6"/>
  <c r="AB206" i="6"/>
  <c r="AB52" i="6"/>
  <c r="AB90" i="6"/>
  <c r="H200" i="6"/>
  <c r="G200" i="6"/>
  <c r="H158" i="6"/>
  <c r="G158" i="6"/>
  <c r="AC127" i="6"/>
  <c r="G182" i="6"/>
  <c r="G62" i="6"/>
  <c r="G127" i="6"/>
  <c r="H102" i="6"/>
  <c r="G102" i="6"/>
  <c r="G48" i="6"/>
  <c r="H81" i="6"/>
  <c r="G81" i="6"/>
  <c r="G36" i="6"/>
  <c r="AC48" i="6"/>
  <c r="AC27" i="6"/>
  <c r="AC62" i="6"/>
  <c r="H36" i="6"/>
  <c r="H16" i="6"/>
  <c r="G16" i="6"/>
  <c r="G27" i="6"/>
  <c r="AC109" i="6"/>
  <c r="AC90" i="6"/>
  <c r="AC53" i="6"/>
  <c r="AC165" i="6"/>
  <c r="AC69" i="6"/>
  <c r="AC31" i="6"/>
  <c r="AC19" i="6"/>
  <c r="AC41" i="6"/>
  <c r="AC188" i="6"/>
  <c r="AC207" i="6"/>
  <c r="H90" i="6"/>
  <c r="AC230" i="6"/>
  <c r="H11" i="6"/>
  <c r="G11" i="6"/>
  <c r="AC135" i="6"/>
  <c r="H135" i="6"/>
  <c r="H109" i="6"/>
  <c r="AC252" i="6"/>
  <c r="H31" i="6"/>
  <c r="H188" i="6"/>
  <c r="H41" i="6"/>
  <c r="G19" i="6"/>
  <c r="H69" i="6"/>
  <c r="H53" i="6"/>
  <c r="G252" i="6"/>
  <c r="G230" i="6"/>
  <c r="G207" i="6"/>
  <c r="G165" i="6"/>
  <c r="AC40" i="6"/>
  <c r="AC30" i="6"/>
  <c r="H30" i="6"/>
  <c r="G18" i="6"/>
  <c r="AC52" i="6"/>
  <c r="AC187" i="6"/>
  <c r="AC134" i="6"/>
  <c r="H108" i="6"/>
  <c r="AC89" i="6"/>
  <c r="H68" i="6"/>
  <c r="AC229" i="6"/>
  <c r="AC164" i="6"/>
  <c r="AC108" i="6"/>
  <c r="H89" i="6"/>
  <c r="AC68" i="6"/>
  <c r="H40" i="6"/>
  <c r="AC18" i="6"/>
  <c r="H251" i="6"/>
  <c r="G52" i="6"/>
  <c r="G251" i="6"/>
  <c r="G206" i="6"/>
  <c r="AC206" i="6"/>
  <c r="G229" i="6"/>
  <c r="G187" i="6"/>
  <c r="G164" i="6"/>
  <c r="G134" i="6"/>
  <c r="AC10" i="6"/>
  <c r="G10" i="6"/>
  <c r="G14" i="4"/>
  <c r="Z11" i="4"/>
  <c r="Z35" i="4"/>
  <c r="Z75" i="4"/>
  <c r="Z166" i="4"/>
  <c r="Z279" i="4"/>
  <c r="Z400" i="4"/>
  <c r="Z5" i="4"/>
  <c r="Z16" i="4"/>
  <c r="Z33" i="4"/>
  <c r="Z53" i="4"/>
  <c r="Z76" i="4"/>
  <c r="Z117" i="4"/>
  <c r="Z162" i="4"/>
  <c r="Z219" i="4"/>
  <c r="Z288" i="4"/>
  <c r="Z292" i="4"/>
  <c r="Z402" i="4"/>
  <c r="Z461" i="4"/>
  <c r="Z520" i="4"/>
  <c r="Z579" i="4"/>
  <c r="Z7" i="4"/>
  <c r="Z20" i="4"/>
  <c r="Z40" i="4"/>
  <c r="Z59" i="4"/>
  <c r="Z82" i="4"/>
  <c r="Z125" i="4"/>
  <c r="Z176" i="4"/>
  <c r="Z230" i="4"/>
  <c r="Z373" i="4"/>
  <c r="Z375" i="4"/>
  <c r="Z413" i="4"/>
  <c r="Z472" i="4"/>
  <c r="Z531" i="4"/>
  <c r="Z590" i="4"/>
  <c r="Z8" i="4"/>
  <c r="Z21" i="4"/>
  <c r="Z41" i="4"/>
  <c r="Z60" i="4"/>
  <c r="Z83" i="4"/>
  <c r="Z126" i="4"/>
  <c r="Z177" i="4"/>
  <c r="Z231" i="4"/>
  <c r="Z311" i="4"/>
  <c r="Z312" i="4"/>
  <c r="Z414" i="4"/>
  <c r="Z473" i="4"/>
  <c r="Z532" i="4"/>
  <c r="Z591" i="4"/>
  <c r="Z18" i="4"/>
  <c r="Z36" i="4"/>
  <c r="Z55" i="4"/>
  <c r="Z78" i="4"/>
  <c r="Z119" i="4"/>
  <c r="Z167" i="4"/>
  <c r="Z223" i="4"/>
  <c r="Z298" i="4"/>
  <c r="Z300" i="4"/>
  <c r="Z406" i="4"/>
  <c r="Z465" i="4"/>
  <c r="Z524" i="4"/>
  <c r="Z583" i="4"/>
  <c r="Z12" i="4"/>
  <c r="Z31" i="4"/>
  <c r="Z6" i="4"/>
  <c r="Z17" i="4"/>
  <c r="Z34" i="4"/>
  <c r="Z54" i="4"/>
  <c r="Z77" i="4"/>
  <c r="Z118" i="4"/>
  <c r="Z163" i="4"/>
  <c r="Z220" i="4"/>
  <c r="Z289" i="4"/>
  <c r="Z293" i="4"/>
  <c r="Z403" i="4"/>
  <c r="Z462" i="4"/>
  <c r="Z521" i="4"/>
  <c r="Z580" i="4"/>
  <c r="Z9" i="4"/>
  <c r="Z22" i="4"/>
  <c r="Z42" i="4"/>
  <c r="Z61" i="4"/>
  <c r="Z84" i="4"/>
  <c r="Z127" i="4"/>
  <c r="Z178" i="4"/>
  <c r="Z232" i="4"/>
  <c r="Z374" i="4"/>
  <c r="Z376" i="4"/>
  <c r="Z415" i="4"/>
  <c r="Z474" i="4"/>
  <c r="Z533" i="4"/>
  <c r="Z592" i="4"/>
  <c r="Z10" i="4"/>
  <c r="Z19" i="4"/>
  <c r="Z37" i="4"/>
  <c r="Z56" i="4"/>
  <c r="Z79" i="4"/>
  <c r="Z120" i="4"/>
  <c r="Z168" i="4"/>
  <c r="Z224" i="4"/>
  <c r="Z299" i="4"/>
  <c r="Z301" i="4"/>
  <c r="Z407" i="4"/>
  <c r="Z466" i="4"/>
  <c r="Z525" i="4"/>
  <c r="Z584" i="4"/>
  <c r="Z13" i="4"/>
  <c r="Z32" i="4"/>
  <c r="Z43" i="4"/>
  <c r="Z62" i="4"/>
  <c r="Z95" i="4"/>
  <c r="Z160" i="4"/>
  <c r="Z217" i="4"/>
  <c r="Z271" i="4"/>
  <c r="J6" i="4"/>
  <c r="X6" i="4" s="1"/>
  <c r="J17" i="4"/>
  <c r="X17" i="4" s="1"/>
  <c r="J34" i="4"/>
  <c r="X34" i="4" s="1"/>
  <c r="J54" i="4"/>
  <c r="X54" i="4" s="1"/>
  <c r="J77" i="4"/>
  <c r="X77" i="4" s="1"/>
  <c r="J118" i="4"/>
  <c r="X118" i="4" s="1"/>
  <c r="J163" i="4"/>
  <c r="X163" i="4" s="1"/>
  <c r="J220" i="4"/>
  <c r="X220" i="4" s="1"/>
  <c r="J289" i="4"/>
  <c r="X289" i="4" s="1"/>
  <c r="X293" i="4"/>
  <c r="J403" i="4"/>
  <c r="X403" i="4" s="1"/>
  <c r="J462" i="4"/>
  <c r="X462" i="4" s="1"/>
  <c r="J521" i="4"/>
  <c r="X521" i="4" s="1"/>
  <c r="J580" i="4"/>
  <c r="X580" i="4" s="1"/>
  <c r="J9" i="4"/>
  <c r="X9" i="4" s="1"/>
  <c r="J22" i="4"/>
  <c r="X22" i="4" s="1"/>
  <c r="J42" i="4"/>
  <c r="X42" i="4" s="1"/>
  <c r="J61" i="4"/>
  <c r="X61" i="4" s="1"/>
  <c r="J84" i="4"/>
  <c r="X84" i="4" s="1"/>
  <c r="J127" i="4"/>
  <c r="X127" i="4" s="1"/>
  <c r="J178" i="4"/>
  <c r="X178" i="4" s="1"/>
  <c r="J232" i="4"/>
  <c r="X232" i="4" s="1"/>
  <c r="J374" i="4"/>
  <c r="X374" i="4" s="1"/>
  <c r="J376" i="4"/>
  <c r="X376" i="4" s="1"/>
  <c r="J415" i="4"/>
  <c r="X415" i="4" s="1"/>
  <c r="J474" i="4"/>
  <c r="X474" i="4" s="1"/>
  <c r="J533" i="4"/>
  <c r="X533" i="4" s="1"/>
  <c r="J592" i="4"/>
  <c r="X592" i="4" s="1"/>
  <c r="J10" i="4"/>
  <c r="X10" i="4" s="1"/>
  <c r="J19" i="4"/>
  <c r="X19" i="4" s="1"/>
  <c r="J37" i="4"/>
  <c r="X37" i="4" s="1"/>
  <c r="J56" i="4"/>
  <c r="X56" i="4" s="1"/>
  <c r="J79" i="4"/>
  <c r="X79" i="4" s="1"/>
  <c r="J120" i="4"/>
  <c r="X120" i="4" s="1"/>
  <c r="J168" i="4"/>
  <c r="X168" i="4" s="1"/>
  <c r="J224" i="4"/>
  <c r="X224" i="4" s="1"/>
  <c r="J299" i="4"/>
  <c r="X299" i="4" s="1"/>
  <c r="J301" i="4"/>
  <c r="X301" i="4" s="1"/>
  <c r="J407" i="4"/>
  <c r="X407" i="4" s="1"/>
  <c r="J466" i="4"/>
  <c r="X466" i="4" s="1"/>
  <c r="J525" i="4"/>
  <c r="X525" i="4" s="1"/>
  <c r="J584" i="4"/>
  <c r="X584" i="4" s="1"/>
  <c r="J13" i="4"/>
  <c r="X13" i="4" s="1"/>
  <c r="J32" i="4"/>
  <c r="X32" i="4" s="1"/>
  <c r="J43" i="4"/>
  <c r="X43" i="4" s="1"/>
  <c r="J62" i="4"/>
  <c r="X62" i="4" s="1"/>
  <c r="J95" i="4"/>
  <c r="X95" i="4" s="1"/>
  <c r="J160" i="4"/>
  <c r="X160" i="4" s="1"/>
  <c r="J217" i="4"/>
  <c r="X217" i="4" s="1"/>
  <c r="J271" i="4"/>
  <c r="X271" i="4" s="1"/>
  <c r="K6" i="4"/>
  <c r="K17" i="4"/>
  <c r="K34" i="4"/>
  <c r="K54" i="4"/>
  <c r="K77" i="4"/>
  <c r="K118" i="4"/>
  <c r="K163" i="4"/>
  <c r="K220" i="4"/>
  <c r="K289" i="4"/>
  <c r="K293" i="4"/>
  <c r="K403" i="4"/>
  <c r="K462" i="4"/>
  <c r="K521" i="4"/>
  <c r="K580" i="4"/>
  <c r="K9" i="4"/>
  <c r="K22" i="4"/>
  <c r="K42" i="4"/>
  <c r="K61" i="4"/>
  <c r="K84" i="4"/>
  <c r="K127" i="4"/>
  <c r="K178" i="4"/>
  <c r="K232" i="4"/>
  <c r="K374" i="4"/>
  <c r="K376" i="4"/>
  <c r="K415" i="4"/>
  <c r="K474" i="4"/>
  <c r="K533" i="4"/>
  <c r="K592" i="4"/>
  <c r="K10" i="4"/>
  <c r="K19" i="4"/>
  <c r="K37" i="4"/>
  <c r="K56" i="4"/>
  <c r="K79" i="4"/>
  <c r="K120" i="4"/>
  <c r="K168" i="4"/>
  <c r="K224" i="4"/>
  <c r="K299" i="4"/>
  <c r="K301" i="4"/>
  <c r="K407" i="4"/>
  <c r="K466" i="4"/>
  <c r="K525" i="4"/>
  <c r="K584" i="4"/>
  <c r="K13" i="4"/>
  <c r="K32" i="4"/>
  <c r="K43" i="4"/>
  <c r="K62" i="4"/>
  <c r="K95" i="4"/>
  <c r="K160" i="4"/>
  <c r="K217" i="4"/>
  <c r="K271" i="4"/>
  <c r="L6" i="4"/>
  <c r="L17" i="4"/>
  <c r="L34" i="4"/>
  <c r="L54" i="4"/>
  <c r="L77" i="4"/>
  <c r="L118" i="4"/>
  <c r="L163" i="4"/>
  <c r="L220" i="4"/>
  <c r="L289" i="4"/>
  <c r="L293" i="4"/>
  <c r="L403" i="4"/>
  <c r="L462" i="4"/>
  <c r="L521" i="4"/>
  <c r="L580" i="4"/>
  <c r="L9" i="4"/>
  <c r="L22" i="4"/>
  <c r="L42" i="4"/>
  <c r="L61" i="4"/>
  <c r="L84" i="4"/>
  <c r="L127" i="4"/>
  <c r="L178" i="4"/>
  <c r="L232" i="4"/>
  <c r="L374" i="4"/>
  <c r="L376" i="4"/>
  <c r="L415" i="4"/>
  <c r="L474" i="4"/>
  <c r="L533" i="4"/>
  <c r="L592" i="4"/>
  <c r="L10" i="4"/>
  <c r="L19" i="4"/>
  <c r="L37" i="4"/>
  <c r="L56" i="4"/>
  <c r="L79" i="4"/>
  <c r="L120" i="4"/>
  <c r="L168" i="4"/>
  <c r="L224" i="4"/>
  <c r="L299" i="4"/>
  <c r="L301" i="4"/>
  <c r="L407" i="4"/>
  <c r="L466" i="4"/>
  <c r="L525" i="4"/>
  <c r="L584" i="4"/>
  <c r="L13" i="4"/>
  <c r="L32" i="4"/>
  <c r="L43" i="4"/>
  <c r="L62" i="4"/>
  <c r="L95" i="4"/>
  <c r="L160" i="4"/>
  <c r="L217" i="4"/>
  <c r="L271" i="4"/>
  <c r="Y6" i="4"/>
  <c r="Y17" i="4"/>
  <c r="Y34" i="4"/>
  <c r="Y54" i="4"/>
  <c r="Y77" i="4"/>
  <c r="Y118" i="4"/>
  <c r="Y163" i="4"/>
  <c r="Y220" i="4"/>
  <c r="Y289" i="4"/>
  <c r="Y293" i="4"/>
  <c r="Y403" i="4"/>
  <c r="Y462" i="4"/>
  <c r="Y521" i="4"/>
  <c r="Y580" i="4"/>
  <c r="Y9" i="4"/>
  <c r="Y22" i="4"/>
  <c r="Y42" i="4"/>
  <c r="Y61" i="4"/>
  <c r="Y84" i="4"/>
  <c r="Y127" i="4"/>
  <c r="Y178" i="4"/>
  <c r="Y232" i="4"/>
  <c r="Y374" i="4"/>
  <c r="Y376" i="4"/>
  <c r="Y415" i="4"/>
  <c r="Y474" i="4"/>
  <c r="Y533" i="4"/>
  <c r="Y592" i="4"/>
  <c r="Y10" i="4"/>
  <c r="Y19" i="4"/>
  <c r="Y37" i="4"/>
  <c r="Y56" i="4"/>
  <c r="Y79" i="4"/>
  <c r="Y120" i="4"/>
  <c r="Y168" i="4"/>
  <c r="Y224" i="4"/>
  <c r="Y299" i="4"/>
  <c r="Y301" i="4"/>
  <c r="Y407" i="4"/>
  <c r="Y466" i="4"/>
  <c r="Y525" i="4"/>
  <c r="Y584" i="4"/>
  <c r="Y13" i="4"/>
  <c r="Y32" i="4"/>
  <c r="Y43" i="4"/>
  <c r="Y62" i="4"/>
  <c r="Y95" i="4"/>
  <c r="Y160" i="4"/>
  <c r="Y217" i="4"/>
  <c r="Y271" i="4"/>
  <c r="H271" i="4"/>
  <c r="H160" i="4"/>
  <c r="H95" i="4"/>
  <c r="H62" i="4"/>
  <c r="G13" i="4"/>
  <c r="H584" i="4"/>
  <c r="H299" i="4"/>
  <c r="H168" i="4"/>
  <c r="H120" i="4"/>
  <c r="H56" i="4"/>
  <c r="H37" i="4"/>
  <c r="H19" i="4"/>
  <c r="H10" i="4"/>
  <c r="G592" i="4"/>
  <c r="H533" i="4"/>
  <c r="H374" i="4"/>
  <c r="H84" i="4"/>
  <c r="H61" i="4"/>
  <c r="H22" i="4"/>
  <c r="H9" i="4"/>
  <c r="H521" i="4"/>
  <c r="H462" i="4"/>
  <c r="H403" i="4"/>
  <c r="G220" i="4"/>
  <c r="H163" i="4"/>
  <c r="H17" i="4"/>
  <c r="Y5" i="4"/>
  <c r="Y16" i="4"/>
  <c r="Y33" i="4"/>
  <c r="Y53" i="4"/>
  <c r="Y76" i="4"/>
  <c r="Y117" i="4"/>
  <c r="Y162" i="4"/>
  <c r="Y219" i="4"/>
  <c r="Y288" i="4"/>
  <c r="Y292" i="4"/>
  <c r="Y402" i="4"/>
  <c r="Y461" i="4"/>
  <c r="Y520" i="4"/>
  <c r="Y579" i="4"/>
  <c r="Y7" i="4"/>
  <c r="Y20" i="4"/>
  <c r="Y40" i="4"/>
  <c r="Y59" i="4"/>
  <c r="Y82" i="4"/>
  <c r="Y125" i="4"/>
  <c r="Y176" i="4"/>
  <c r="Y230" i="4"/>
  <c r="Y373" i="4"/>
  <c r="Y375" i="4"/>
  <c r="Y413" i="4"/>
  <c r="Y472" i="4"/>
  <c r="Y531" i="4"/>
  <c r="Y590" i="4"/>
  <c r="Y8" i="4"/>
  <c r="Y21" i="4"/>
  <c r="Y41" i="4"/>
  <c r="Y60" i="4"/>
  <c r="Y83" i="4"/>
  <c r="Y126" i="4"/>
  <c r="Y177" i="4"/>
  <c r="Y231" i="4"/>
  <c r="Y311" i="4"/>
  <c r="Y312" i="4"/>
  <c r="Y414" i="4"/>
  <c r="Y473" i="4"/>
  <c r="Y532" i="4"/>
  <c r="Y591" i="4"/>
  <c r="Y18" i="4"/>
  <c r="Y36" i="4"/>
  <c r="Y55" i="4"/>
  <c r="Y78" i="4"/>
  <c r="Y119" i="4"/>
  <c r="Y167" i="4"/>
  <c r="Y223" i="4"/>
  <c r="Y298" i="4"/>
  <c r="Y300" i="4"/>
  <c r="Y406" i="4"/>
  <c r="Y465" i="4"/>
  <c r="Y524" i="4"/>
  <c r="Y583" i="4"/>
  <c r="Y11" i="4"/>
  <c r="Y35" i="4"/>
  <c r="Y75" i="4"/>
  <c r="Y166" i="4"/>
  <c r="Y279" i="4"/>
  <c r="Y400" i="4"/>
  <c r="Y12" i="4"/>
  <c r="Y31" i="4"/>
  <c r="G31" i="4"/>
  <c r="J31" i="4"/>
  <c r="X31" i="4" s="1"/>
  <c r="K31" i="4"/>
  <c r="L31" i="4"/>
  <c r="H12" i="4"/>
  <c r="J12" i="4"/>
  <c r="X12" i="4" s="1"/>
  <c r="K12" i="4"/>
  <c r="L12" i="4"/>
  <c r="G22" i="4" l="1"/>
  <c r="G17" i="4"/>
  <c r="G42" i="4"/>
  <c r="G61" i="4"/>
  <c r="H224" i="4"/>
  <c r="H178" i="4"/>
  <c r="H232" i="4"/>
  <c r="G224" i="4"/>
  <c r="G34" i="4"/>
  <c r="H34" i="4"/>
  <c r="G77" i="4"/>
  <c r="H525" i="4"/>
  <c r="H77" i="4"/>
  <c r="G118" i="4"/>
  <c r="H42" i="4"/>
  <c r="G407" i="4"/>
  <c r="H118" i="4"/>
  <c r="H407" i="4"/>
  <c r="G6" i="4"/>
  <c r="G466" i="4"/>
  <c r="H6" i="4"/>
  <c r="H220" i="4"/>
  <c r="G84" i="4"/>
  <c r="H466" i="4"/>
  <c r="G168" i="4"/>
  <c r="G127" i="4"/>
  <c r="G178" i="4"/>
  <c r="H13" i="4"/>
  <c r="G54" i="4"/>
  <c r="G299" i="4"/>
  <c r="G32" i="4"/>
  <c r="G232" i="4"/>
  <c r="H32" i="4"/>
  <c r="G580" i="4"/>
  <c r="G217" i="4"/>
  <c r="G79" i="4"/>
  <c r="G289" i="4"/>
  <c r="H580" i="4"/>
  <c r="G415" i="4"/>
  <c r="H79" i="4"/>
  <c r="H217" i="4"/>
  <c r="H289" i="4"/>
  <c r="H415" i="4"/>
  <c r="H54" i="4"/>
  <c r="G9" i="4"/>
  <c r="H127" i="4"/>
  <c r="G120" i="4"/>
  <c r="G271" i="4"/>
  <c r="G474" i="4"/>
  <c r="G43" i="4"/>
  <c r="H474" i="4"/>
  <c r="H43" i="4"/>
  <c r="G403" i="4"/>
  <c r="G533" i="4"/>
  <c r="G19" i="4"/>
  <c r="G62" i="4"/>
  <c r="G525" i="4"/>
  <c r="G95" i="4"/>
  <c r="G462" i="4"/>
  <c r="G37" i="4"/>
  <c r="G163" i="4"/>
  <c r="G374" i="4"/>
  <c r="H592" i="4"/>
  <c r="G584" i="4"/>
  <c r="G521" i="4"/>
  <c r="G10" i="4"/>
  <c r="G56" i="4"/>
  <c r="G160" i="4"/>
  <c r="G12" i="4"/>
  <c r="H31" i="4"/>
  <c r="H112" i="6"/>
  <c r="Z112" i="6"/>
  <c r="K112" i="6"/>
  <c r="Y112" i="6"/>
  <c r="H93" i="6"/>
  <c r="Z93" i="6"/>
  <c r="K93" i="6"/>
  <c r="Y93" i="6"/>
  <c r="H71" i="6"/>
  <c r="Z71" i="6"/>
  <c r="K71" i="6"/>
  <c r="Y71" i="6"/>
  <c r="AC54" i="6"/>
  <c r="Z54" i="6"/>
  <c r="K54" i="6"/>
  <c r="Y54" i="6"/>
  <c r="H26" i="6"/>
  <c r="Z26" i="6"/>
  <c r="K26" i="6"/>
  <c r="Y26" i="6"/>
  <c r="G20" i="6"/>
  <c r="Z20" i="6"/>
  <c r="K20" i="6"/>
  <c r="Y20" i="6"/>
  <c r="H9" i="6"/>
  <c r="Z9" i="6"/>
  <c r="Y9" i="6"/>
  <c r="W3" i="1"/>
  <c r="W4" i="1"/>
  <c r="W5" i="1"/>
  <c r="W6" i="1"/>
  <c r="W7" i="1"/>
  <c r="W8" i="1"/>
  <c r="Y15" i="6"/>
  <c r="Y13" i="6"/>
  <c r="Y22" i="6"/>
  <c r="Y24" i="6"/>
  <c r="Y25" i="6"/>
  <c r="Y23" i="6"/>
  <c r="Y21" i="6"/>
  <c r="Y32" i="6"/>
  <c r="Y34" i="6"/>
  <c r="Y35" i="6"/>
  <c r="Y33" i="6"/>
  <c r="Y44" i="6"/>
  <c r="Y46" i="6"/>
  <c r="Y47" i="6"/>
  <c r="Y45" i="6"/>
  <c r="Y56" i="6"/>
  <c r="Y60" i="6"/>
  <c r="Y61" i="6"/>
  <c r="Y57" i="6"/>
  <c r="Y73" i="6"/>
  <c r="Y79" i="6"/>
  <c r="Y80" i="6"/>
  <c r="Y75" i="6"/>
  <c r="Y72" i="6"/>
  <c r="Y94" i="6"/>
  <c r="Y100" i="6"/>
  <c r="Y101" i="6"/>
  <c r="Y96" i="6"/>
  <c r="Y117" i="6"/>
  <c r="Y125" i="6"/>
  <c r="Y126" i="6"/>
  <c r="Y119" i="6"/>
  <c r="Y116" i="6"/>
  <c r="Y142" i="6"/>
  <c r="Y156" i="6"/>
  <c r="Y152" i="6"/>
  <c r="Y146" i="6"/>
  <c r="Y169" i="6"/>
  <c r="Y181" i="6"/>
  <c r="Y179" i="6"/>
  <c r="Y173" i="6"/>
  <c r="Y167" i="6"/>
  <c r="Y191" i="6"/>
  <c r="Y198" i="6"/>
  <c r="Y199" i="6"/>
  <c r="Y193" i="6"/>
  <c r="Y213" i="6"/>
  <c r="Y220" i="6"/>
  <c r="Y221" i="6"/>
  <c r="Y215" i="6"/>
  <c r="Y235" i="6"/>
  <c r="Y242" i="6"/>
  <c r="Y243" i="6"/>
  <c r="Y237" i="6"/>
  <c r="Y12" i="6"/>
  <c r="Y14" i="6"/>
  <c r="Y6" i="6"/>
  <c r="Y7" i="6"/>
  <c r="Y8" i="6"/>
  <c r="Y5" i="6"/>
  <c r="AB155" i="6" l="1"/>
  <c r="AA370" i="4"/>
  <c r="AA372" i="4"/>
  <c r="AB212" i="6"/>
  <c r="AA460" i="4"/>
  <c r="AB228" i="6"/>
  <c r="AA519" i="4"/>
  <c r="AB256" i="6"/>
  <c r="AA548" i="4"/>
  <c r="AA637" i="4"/>
  <c r="AA369" i="4"/>
  <c r="AA459" i="4"/>
  <c r="AA518" i="4"/>
  <c r="AA547" i="4"/>
  <c r="AA636" i="4"/>
  <c r="AA371" i="4"/>
  <c r="AB190" i="6"/>
  <c r="AB139" i="6"/>
  <c r="AA522" i="4"/>
  <c r="AA295" i="4"/>
  <c r="AA581" i="4"/>
  <c r="AB214" i="6"/>
  <c r="AB170" i="6"/>
  <c r="AB118" i="6"/>
  <c r="AB74" i="6"/>
  <c r="AA464" i="4"/>
  <c r="AA582" i="4"/>
  <c r="AA463" i="4"/>
  <c r="AA165" i="4"/>
  <c r="AA291" i="4"/>
  <c r="AA404" i="4"/>
  <c r="AA222" i="4"/>
  <c r="AB236" i="6"/>
  <c r="AB192" i="6"/>
  <c r="AB143" i="6"/>
  <c r="AB95" i="6"/>
  <c r="AA405" i="4"/>
  <c r="AA164" i="4"/>
  <c r="AA221" i="4"/>
  <c r="AA523" i="4"/>
  <c r="AA290" i="4"/>
  <c r="AA294" i="4"/>
  <c r="AB39" i="6"/>
  <c r="AA71" i="4"/>
  <c r="AA160" i="4"/>
  <c r="AA161" i="4"/>
  <c r="AA43" i="4"/>
  <c r="AA62" i="4"/>
  <c r="AA217" i="4"/>
  <c r="AA12" i="4"/>
  <c r="AA218" i="4"/>
  <c r="AA13" i="4"/>
  <c r="AA95" i="4"/>
  <c r="AA31" i="4"/>
  <c r="AA96" i="4"/>
  <c r="AA32" i="4"/>
  <c r="AA271" i="4"/>
  <c r="AA272" i="4"/>
  <c r="AA279" i="4"/>
  <c r="AA166" i="4"/>
  <c r="AA75" i="4"/>
  <c r="AA11" i="4"/>
  <c r="AA400" i="4"/>
  <c r="AA35" i="4"/>
  <c r="AA19" i="4"/>
  <c r="AA120" i="4"/>
  <c r="AA465" i="4"/>
  <c r="AA36" i="4"/>
  <c r="AA466" i="4"/>
  <c r="AA37" i="4"/>
  <c r="AA55" i="4"/>
  <c r="AA298" i="4"/>
  <c r="AA56" i="4"/>
  <c r="AA299" i="4"/>
  <c r="AA524" i="4"/>
  <c r="AA525" i="4"/>
  <c r="AA78" i="4"/>
  <c r="AA167" i="4"/>
  <c r="AA168" i="4"/>
  <c r="AA300" i="4"/>
  <c r="AA301" i="4"/>
  <c r="AA583" i="4"/>
  <c r="AA224" i="4"/>
  <c r="AA584" i="4"/>
  <c r="AA79" i="4"/>
  <c r="AA223" i="4"/>
  <c r="AA406" i="4"/>
  <c r="AA407" i="4"/>
  <c r="AA18" i="4"/>
  <c r="AA119" i="4"/>
  <c r="AA34" i="4"/>
  <c r="AA53" i="4"/>
  <c r="AA288" i="4"/>
  <c r="AA5" i="4"/>
  <c r="AA54" i="4"/>
  <c r="AA289" i="4"/>
  <c r="AA520" i="4"/>
  <c r="AA6" i="4"/>
  <c r="AA521" i="4"/>
  <c r="AA162" i="4"/>
  <c r="AA163" i="4"/>
  <c r="AA292" i="4"/>
  <c r="AA293" i="4"/>
  <c r="AA579" i="4"/>
  <c r="AA219" i="4"/>
  <c r="AA580" i="4"/>
  <c r="AA76" i="4"/>
  <c r="AA77" i="4"/>
  <c r="AA402" i="4"/>
  <c r="AA220" i="4"/>
  <c r="AA403" i="4"/>
  <c r="AA16" i="4"/>
  <c r="AA117" i="4"/>
  <c r="AA17" i="4"/>
  <c r="AA118" i="4"/>
  <c r="AA461" i="4"/>
  <c r="AA33" i="4"/>
  <c r="AA462" i="4"/>
  <c r="AA232" i="4"/>
  <c r="AA415" i="4"/>
  <c r="AA20" i="4"/>
  <c r="AA125" i="4"/>
  <c r="AA472" i="4"/>
  <c r="AA22" i="4"/>
  <c r="AA40" i="4"/>
  <c r="AA127" i="4"/>
  <c r="AA7" i="4"/>
  <c r="AA474" i="4"/>
  <c r="AA590" i="4"/>
  <c r="AA42" i="4"/>
  <c r="AA59" i="4"/>
  <c r="AA373" i="4"/>
  <c r="AA9" i="4"/>
  <c r="AA531" i="4"/>
  <c r="AA61" i="4"/>
  <c r="AA374" i="4"/>
  <c r="AA176" i="4"/>
  <c r="AA533" i="4"/>
  <c r="AA178" i="4"/>
  <c r="AA375" i="4"/>
  <c r="AA376" i="4"/>
  <c r="AA82" i="4"/>
  <c r="AA592" i="4"/>
  <c r="AA84" i="4"/>
  <c r="AA230" i="4"/>
  <c r="AA413" i="4"/>
  <c r="AA21" i="4"/>
  <c r="AA126" i="4"/>
  <c r="AA473" i="4"/>
  <c r="AA41" i="4"/>
  <c r="AA8" i="4"/>
  <c r="AA60" i="4"/>
  <c r="AA311" i="4"/>
  <c r="AA10" i="4"/>
  <c r="AA532" i="4"/>
  <c r="AA312" i="4"/>
  <c r="AA177" i="4"/>
  <c r="AA591" i="4"/>
  <c r="AA83" i="4"/>
  <c r="AA231" i="4"/>
  <c r="AA414" i="4"/>
  <c r="AB80" i="6"/>
  <c r="AB101" i="6"/>
  <c r="AB126" i="6"/>
  <c r="AB152" i="6"/>
  <c r="AB179" i="6"/>
  <c r="AB199" i="6"/>
  <c r="AB221" i="6"/>
  <c r="AB243" i="6"/>
  <c r="AB47" i="6"/>
  <c r="AB61" i="6"/>
  <c r="AB54" i="6"/>
  <c r="AB93" i="6"/>
  <c r="AB26" i="6"/>
  <c r="AB9" i="6"/>
  <c r="AB112" i="6"/>
  <c r="AB71" i="6"/>
  <c r="AB20" i="6"/>
  <c r="AB23" i="6"/>
  <c r="AB146" i="6"/>
  <c r="AB57" i="6"/>
  <c r="AB215" i="6"/>
  <c r="AB33" i="6"/>
  <c r="AB96" i="6"/>
  <c r="AB13" i="6"/>
  <c r="AB173" i="6"/>
  <c r="AB193" i="6"/>
  <c r="AB119" i="6"/>
  <c r="AB237" i="6"/>
  <c r="AB75" i="6"/>
  <c r="AB45" i="6"/>
  <c r="AB8" i="6"/>
  <c r="AB116" i="6"/>
  <c r="AB72" i="6"/>
  <c r="AB167" i="6"/>
  <c r="AB21" i="6"/>
  <c r="AB43" i="6"/>
  <c r="AB7" i="6"/>
  <c r="AB25" i="6"/>
  <c r="AB35" i="6"/>
  <c r="AB15" i="6"/>
  <c r="AB198" i="6"/>
  <c r="AB6" i="6"/>
  <c r="AB24" i="6"/>
  <c r="AB156" i="6"/>
  <c r="AB60" i="6"/>
  <c r="AB100" i="6"/>
  <c r="AB220" i="6"/>
  <c r="AB34" i="6"/>
  <c r="AB14" i="6"/>
  <c r="AB181" i="6"/>
  <c r="AB46" i="6"/>
  <c r="AB242" i="6"/>
  <c r="AB125" i="6"/>
  <c r="AB79" i="6"/>
  <c r="AB5" i="6"/>
  <c r="AB169" i="6"/>
  <c r="AB142" i="6"/>
  <c r="AB94" i="6"/>
  <c r="AB56" i="6"/>
  <c r="AB213" i="6"/>
  <c r="AB12" i="6"/>
  <c r="AB32" i="6"/>
  <c r="AB117" i="6"/>
  <c r="AB235" i="6"/>
  <c r="AB73" i="6"/>
  <c r="AB44" i="6"/>
  <c r="AB22" i="6"/>
  <c r="AB191" i="6"/>
  <c r="AC112" i="6"/>
  <c r="AC93" i="6"/>
  <c r="G93" i="6"/>
  <c r="AC26" i="6"/>
  <c r="G71" i="6"/>
  <c r="G112" i="6"/>
  <c r="H54" i="6"/>
  <c r="AC71" i="6"/>
  <c r="G54" i="6"/>
  <c r="G9" i="6"/>
  <c r="G26" i="6"/>
  <c r="AC20" i="6"/>
  <c r="H20" i="6"/>
  <c r="AC9" i="6"/>
  <c r="K5" i="6"/>
  <c r="K12" i="6"/>
  <c r="K22" i="6"/>
  <c r="K32" i="6"/>
  <c r="K44" i="6"/>
  <c r="K56" i="6"/>
  <c r="K73" i="6"/>
  <c r="K94" i="6"/>
  <c r="K117" i="6"/>
  <c r="K142" i="6"/>
  <c r="K169" i="6"/>
  <c r="K191" i="6"/>
  <c r="K213" i="6"/>
  <c r="K235" i="6"/>
  <c r="K6" i="6"/>
  <c r="K14" i="6"/>
  <c r="K24" i="6"/>
  <c r="K34" i="6"/>
  <c r="K46" i="6"/>
  <c r="K60" i="6"/>
  <c r="K79" i="6"/>
  <c r="K100" i="6"/>
  <c r="K125" i="6"/>
  <c r="K156" i="6"/>
  <c r="K181" i="6"/>
  <c r="K198" i="6"/>
  <c r="K220" i="6"/>
  <c r="K242" i="6"/>
  <c r="K7" i="6"/>
  <c r="K15" i="6"/>
  <c r="K25" i="6"/>
  <c r="K35" i="6"/>
  <c r="K47" i="6"/>
  <c r="K61" i="6"/>
  <c r="K80" i="6"/>
  <c r="K101" i="6"/>
  <c r="K126" i="6"/>
  <c r="K152" i="6"/>
  <c r="K179" i="6"/>
  <c r="K199" i="6"/>
  <c r="K221" i="6"/>
  <c r="K243" i="6"/>
  <c r="K13" i="6"/>
  <c r="K23" i="6"/>
  <c r="K33" i="6"/>
  <c r="K45" i="6"/>
  <c r="K57" i="6"/>
  <c r="K75" i="6"/>
  <c r="K96" i="6"/>
  <c r="K119" i="6"/>
  <c r="K146" i="6"/>
  <c r="K173" i="6"/>
  <c r="K193" i="6"/>
  <c r="K215" i="6"/>
  <c r="K237" i="6"/>
  <c r="K8" i="6"/>
  <c r="K21" i="6"/>
  <c r="K43" i="6"/>
  <c r="K72" i="6"/>
  <c r="K116" i="6"/>
  <c r="K167" i="6"/>
  <c r="J5" i="6"/>
  <c r="Z12" i="6"/>
  <c r="Z22" i="6"/>
  <c r="Z32" i="6"/>
  <c r="Z44" i="6"/>
  <c r="Z56" i="6"/>
  <c r="Z73" i="6"/>
  <c r="Z94" i="6"/>
  <c r="Z117" i="6"/>
  <c r="Z142" i="6"/>
  <c r="Z169" i="6"/>
  <c r="Z191" i="6"/>
  <c r="Z213" i="6"/>
  <c r="Z235" i="6"/>
  <c r="Z6" i="6"/>
  <c r="Z14" i="6"/>
  <c r="Z24" i="6"/>
  <c r="Z34" i="6"/>
  <c r="Z46" i="6"/>
  <c r="Z60" i="6"/>
  <c r="Z79" i="6"/>
  <c r="Z100" i="6"/>
  <c r="Z125" i="6"/>
  <c r="Z156" i="6"/>
  <c r="Z181" i="6"/>
  <c r="Z198" i="6"/>
  <c r="Z220" i="6"/>
  <c r="Z242" i="6"/>
  <c r="Z7" i="6"/>
  <c r="Z15" i="6"/>
  <c r="Z25" i="6"/>
  <c r="Z35" i="6"/>
  <c r="Z47" i="6"/>
  <c r="Z61" i="6"/>
  <c r="Z80" i="6"/>
  <c r="Z101" i="6"/>
  <c r="Z126" i="6"/>
  <c r="Z152" i="6"/>
  <c r="Z179" i="6"/>
  <c r="Z199" i="6"/>
  <c r="Z221" i="6"/>
  <c r="Z243" i="6"/>
  <c r="Z13" i="6"/>
  <c r="Z23" i="6"/>
  <c r="Z33" i="6"/>
  <c r="Z45" i="6"/>
  <c r="Z57" i="6"/>
  <c r="Z75" i="6"/>
  <c r="Z96" i="6"/>
  <c r="Z119" i="6"/>
  <c r="Z146" i="6"/>
  <c r="Z173" i="6"/>
  <c r="Z193" i="6"/>
  <c r="Z215" i="6"/>
  <c r="Z237" i="6"/>
  <c r="Z8" i="6"/>
  <c r="Z21" i="6"/>
  <c r="Z43" i="6"/>
  <c r="Z72" i="6"/>
  <c r="Z116" i="6"/>
  <c r="Z167" i="6"/>
  <c r="G12" i="6"/>
  <c r="G22" i="6"/>
  <c r="G73" i="6"/>
  <c r="AC46" i="6"/>
  <c r="AC60" i="6"/>
  <c r="AC79" i="6"/>
  <c r="G100" i="6"/>
  <c r="G125" i="6"/>
  <c r="G156" i="6"/>
  <c r="AC80" i="6"/>
  <c r="H101" i="6"/>
  <c r="AC126" i="6"/>
  <c r="H96" i="6"/>
  <c r="G146" i="6"/>
  <c r="G173" i="6"/>
  <c r="G193" i="6"/>
  <c r="G215" i="6"/>
  <c r="G8" i="6"/>
  <c r="Z5" i="6" l="1"/>
  <c r="H79" i="6"/>
  <c r="H60" i="6"/>
  <c r="G79" i="6"/>
  <c r="H57" i="6"/>
  <c r="AC57" i="6"/>
  <c r="H25" i="6"/>
  <c r="AC25" i="6"/>
  <c r="AC6" i="6"/>
  <c r="G96" i="6"/>
  <c r="AC96" i="6"/>
  <c r="G14" i="6"/>
  <c r="AC14" i="6"/>
  <c r="G235" i="6"/>
  <c r="AC235" i="6"/>
  <c r="H126" i="6"/>
  <c r="G47" i="6"/>
  <c r="AC47" i="6"/>
  <c r="G35" i="6"/>
  <c r="AC35" i="6"/>
  <c r="G45" i="6"/>
  <c r="AC45" i="6"/>
  <c r="G33" i="6"/>
  <c r="AC33" i="6"/>
  <c r="G213" i="6"/>
  <c r="AC213" i="6"/>
  <c r="G75" i="6"/>
  <c r="AC75" i="6"/>
  <c r="G15" i="6"/>
  <c r="AC15" i="6"/>
  <c r="G167" i="6"/>
  <c r="AC167" i="6"/>
  <c r="G7" i="6"/>
  <c r="AC7" i="6"/>
  <c r="G116" i="6"/>
  <c r="AC116" i="6"/>
  <c r="G23" i="6"/>
  <c r="AC23" i="6"/>
  <c r="G242" i="6"/>
  <c r="AC242" i="6"/>
  <c r="G191" i="6"/>
  <c r="AC191" i="6"/>
  <c r="H80" i="6"/>
  <c r="H146" i="6"/>
  <c r="AC146" i="6"/>
  <c r="G13" i="6"/>
  <c r="AC13" i="6"/>
  <c r="G126" i="6"/>
  <c r="G72" i="6"/>
  <c r="AC72" i="6"/>
  <c r="G43" i="6"/>
  <c r="G243" i="6"/>
  <c r="AC243" i="6"/>
  <c r="G198" i="6"/>
  <c r="AC198" i="6"/>
  <c r="G142" i="6"/>
  <c r="AC142" i="6"/>
  <c r="G80" i="6"/>
  <c r="H21" i="6"/>
  <c r="AC21" i="6"/>
  <c r="H221" i="6"/>
  <c r="AC221" i="6"/>
  <c r="H181" i="6"/>
  <c r="AC181" i="6"/>
  <c r="H117" i="6"/>
  <c r="AC117" i="6"/>
  <c r="H46" i="6"/>
  <c r="G169" i="6"/>
  <c r="AC169" i="6"/>
  <c r="H8" i="6"/>
  <c r="AC8" i="6"/>
  <c r="H156" i="6"/>
  <c r="AC156" i="6"/>
  <c r="H94" i="6"/>
  <c r="AC94" i="6"/>
  <c r="G24" i="6"/>
  <c r="AC24" i="6"/>
  <c r="H237" i="6"/>
  <c r="AC237" i="6"/>
  <c r="H179" i="6"/>
  <c r="AC179" i="6"/>
  <c r="H125" i="6"/>
  <c r="AC125" i="6"/>
  <c r="H73" i="6"/>
  <c r="AC73" i="6"/>
  <c r="G220" i="6"/>
  <c r="AC220" i="6"/>
  <c r="H199" i="6"/>
  <c r="AC199" i="6"/>
  <c r="H215" i="6"/>
  <c r="AC215" i="6"/>
  <c r="H152" i="6"/>
  <c r="AC152" i="6"/>
  <c r="H100" i="6"/>
  <c r="AC100" i="6"/>
  <c r="H56" i="6"/>
  <c r="AC56" i="6"/>
  <c r="H193" i="6"/>
  <c r="AC193" i="6"/>
  <c r="G44" i="6"/>
  <c r="AC44" i="6"/>
  <c r="G60" i="6"/>
  <c r="H173" i="6"/>
  <c r="AC173" i="6"/>
  <c r="G101" i="6"/>
  <c r="AC101" i="6"/>
  <c r="G32" i="6"/>
  <c r="AC32" i="6"/>
  <c r="G46" i="6"/>
  <c r="H22" i="6"/>
  <c r="AC22" i="6"/>
  <c r="G6" i="6"/>
  <c r="G119" i="6"/>
  <c r="AC119" i="6"/>
  <c r="G61" i="6"/>
  <c r="AC61" i="6"/>
  <c r="G34" i="6"/>
  <c r="AC34" i="6"/>
  <c r="AC12" i="6"/>
  <c r="G94" i="6"/>
  <c r="G5" i="6"/>
  <c r="AC5" i="6"/>
  <c r="G237" i="6"/>
  <c r="H47" i="6"/>
  <c r="G57" i="6"/>
  <c r="H24" i="6"/>
  <c r="G199" i="6"/>
  <c r="G56" i="6"/>
  <c r="H44" i="6"/>
  <c r="G179" i="6"/>
  <c r="G152" i="6"/>
  <c r="G25" i="6"/>
  <c r="G21" i="6"/>
  <c r="G221" i="6"/>
  <c r="G181" i="6"/>
  <c r="G117" i="6"/>
  <c r="H119" i="6"/>
  <c r="H61" i="6"/>
  <c r="H34" i="6"/>
  <c r="H12" i="6"/>
  <c r="H75" i="6"/>
  <c r="H35" i="6"/>
  <c r="H14" i="6"/>
  <c r="H45" i="6"/>
  <c r="H15" i="6"/>
  <c r="H235" i="6"/>
  <c r="H167" i="6"/>
  <c r="H33" i="6"/>
  <c r="H7" i="6"/>
  <c r="H213" i="6"/>
  <c r="H116" i="6"/>
  <c r="H23" i="6"/>
  <c r="H242" i="6"/>
  <c r="H191" i="6"/>
  <c r="H72" i="6"/>
  <c r="H13" i="6"/>
  <c r="H220" i="6"/>
  <c r="H169" i="6"/>
  <c r="H243" i="6"/>
  <c r="H198" i="6"/>
  <c r="H142" i="6"/>
  <c r="G35" i="4"/>
  <c r="G11" i="4"/>
  <c r="H11" i="4"/>
  <c r="J11" i="4"/>
  <c r="X11" i="4" s="1"/>
  <c r="J35" i="4"/>
  <c r="X35" i="4" s="1"/>
  <c r="J75" i="4"/>
  <c r="X75" i="4" s="1"/>
  <c r="J166" i="4"/>
  <c r="X166" i="4" s="1"/>
  <c r="J279" i="4"/>
  <c r="X279" i="4" s="1"/>
  <c r="J400" i="4"/>
  <c r="X400" i="4" s="1"/>
  <c r="K11" i="4"/>
  <c r="K35" i="4"/>
  <c r="K75" i="4"/>
  <c r="K166" i="4"/>
  <c r="K279" i="4"/>
  <c r="K400" i="4"/>
  <c r="L11" i="4"/>
  <c r="L35" i="4"/>
  <c r="L75" i="4"/>
  <c r="L166" i="4"/>
  <c r="L279" i="4"/>
  <c r="L400" i="4"/>
  <c r="K5" i="4"/>
  <c r="K16" i="4"/>
  <c r="K33" i="4"/>
  <c r="K53" i="4"/>
  <c r="K76" i="4"/>
  <c r="K117" i="4"/>
  <c r="K162" i="4"/>
  <c r="K219" i="4"/>
  <c r="K288" i="4"/>
  <c r="K292" i="4"/>
  <c r="K402" i="4"/>
  <c r="K461" i="4"/>
  <c r="K520" i="4"/>
  <c r="K579" i="4"/>
  <c r="K7" i="4"/>
  <c r="K20" i="4"/>
  <c r="K40" i="4"/>
  <c r="K59" i="4"/>
  <c r="K82" i="4"/>
  <c r="K125" i="4"/>
  <c r="K176" i="4"/>
  <c r="K230" i="4"/>
  <c r="K373" i="4"/>
  <c r="K375" i="4"/>
  <c r="K413" i="4"/>
  <c r="K472" i="4"/>
  <c r="K531" i="4"/>
  <c r="K590" i="4"/>
  <c r="K8" i="4"/>
  <c r="K21" i="4"/>
  <c r="K41" i="4"/>
  <c r="K60" i="4"/>
  <c r="K126" i="4"/>
  <c r="K177" i="4"/>
  <c r="K231" i="4"/>
  <c r="K311" i="4"/>
  <c r="K312" i="4"/>
  <c r="K414" i="4"/>
  <c r="K473" i="4"/>
  <c r="K532" i="4"/>
  <c r="K591" i="4"/>
  <c r="K18" i="4"/>
  <c r="K36" i="4"/>
  <c r="K55" i="4"/>
  <c r="K78" i="4"/>
  <c r="K119" i="4"/>
  <c r="K167" i="4"/>
  <c r="K223" i="4"/>
  <c r="K298" i="4"/>
  <c r="K300" i="4"/>
  <c r="K406" i="4"/>
  <c r="K465" i="4"/>
  <c r="K524" i="4"/>
  <c r="K583" i="4"/>
  <c r="J5" i="4"/>
  <c r="X5" i="4" s="1"/>
  <c r="J16" i="4"/>
  <c r="X16" i="4" s="1"/>
  <c r="J33" i="4"/>
  <c r="X33" i="4" s="1"/>
  <c r="J53" i="4"/>
  <c r="X53" i="4" s="1"/>
  <c r="J76" i="4"/>
  <c r="X76" i="4" s="1"/>
  <c r="J117" i="4"/>
  <c r="X117" i="4" s="1"/>
  <c r="J162" i="4"/>
  <c r="X162" i="4" s="1"/>
  <c r="J219" i="4"/>
  <c r="X219" i="4" s="1"/>
  <c r="J288" i="4"/>
  <c r="X288" i="4" s="1"/>
  <c r="J292" i="4"/>
  <c r="X292" i="4" s="1"/>
  <c r="J402" i="4"/>
  <c r="X402" i="4" s="1"/>
  <c r="J461" i="4"/>
  <c r="X461" i="4" s="1"/>
  <c r="J520" i="4"/>
  <c r="X520" i="4" s="1"/>
  <c r="J579" i="4"/>
  <c r="X579" i="4" s="1"/>
  <c r="J7" i="4"/>
  <c r="X7" i="4" s="1"/>
  <c r="J20" i="4"/>
  <c r="X20" i="4" s="1"/>
  <c r="J40" i="4"/>
  <c r="X40" i="4" s="1"/>
  <c r="J59" i="4"/>
  <c r="X59" i="4" s="1"/>
  <c r="J82" i="4"/>
  <c r="X82" i="4" s="1"/>
  <c r="J125" i="4"/>
  <c r="X125" i="4" s="1"/>
  <c r="J176" i="4"/>
  <c r="X176" i="4" s="1"/>
  <c r="J230" i="4"/>
  <c r="X230" i="4" s="1"/>
  <c r="J373" i="4"/>
  <c r="X373" i="4" s="1"/>
  <c r="J375" i="4"/>
  <c r="X375" i="4" s="1"/>
  <c r="J413" i="4"/>
  <c r="X413" i="4" s="1"/>
  <c r="J472" i="4"/>
  <c r="X472" i="4" s="1"/>
  <c r="J531" i="4"/>
  <c r="X531" i="4" s="1"/>
  <c r="J590" i="4"/>
  <c r="X590" i="4" s="1"/>
  <c r="J8" i="4"/>
  <c r="X8" i="4" s="1"/>
  <c r="J21" i="4"/>
  <c r="X21" i="4" s="1"/>
  <c r="J41" i="4"/>
  <c r="X41" i="4" s="1"/>
  <c r="J60" i="4"/>
  <c r="X60" i="4" s="1"/>
  <c r="J83" i="4"/>
  <c r="X83" i="4" s="1"/>
  <c r="J126" i="4"/>
  <c r="X126" i="4" s="1"/>
  <c r="J177" i="4"/>
  <c r="X177" i="4" s="1"/>
  <c r="J231" i="4"/>
  <c r="X231" i="4" s="1"/>
  <c r="J311" i="4"/>
  <c r="X311" i="4" s="1"/>
  <c r="J312" i="4"/>
  <c r="X312" i="4" s="1"/>
  <c r="J414" i="4"/>
  <c r="X414" i="4" s="1"/>
  <c r="J473" i="4"/>
  <c r="X473" i="4" s="1"/>
  <c r="J532" i="4"/>
  <c r="X532" i="4" s="1"/>
  <c r="J591" i="4"/>
  <c r="X591" i="4" s="1"/>
  <c r="J18" i="4"/>
  <c r="X18" i="4" s="1"/>
  <c r="J36" i="4"/>
  <c r="X36" i="4" s="1"/>
  <c r="J55" i="4"/>
  <c r="X55" i="4" s="1"/>
  <c r="J78" i="4"/>
  <c r="X78" i="4" s="1"/>
  <c r="J119" i="4"/>
  <c r="X119" i="4" s="1"/>
  <c r="J167" i="4"/>
  <c r="X167" i="4" s="1"/>
  <c r="J223" i="4"/>
  <c r="X223" i="4" s="1"/>
  <c r="J298" i="4"/>
  <c r="X298" i="4" s="1"/>
  <c r="J300" i="4"/>
  <c r="X300" i="4" s="1"/>
  <c r="J406" i="4"/>
  <c r="X406" i="4" s="1"/>
  <c r="J465" i="4"/>
  <c r="X465" i="4" s="1"/>
  <c r="J524" i="4"/>
  <c r="X524" i="4" s="1"/>
  <c r="J583" i="4"/>
  <c r="X583" i="4" s="1"/>
  <c r="G18" i="4"/>
  <c r="G36" i="4"/>
  <c r="G55" i="4"/>
  <c r="G78" i="4"/>
  <c r="G119" i="4"/>
  <c r="G167" i="4"/>
  <c r="H223" i="4"/>
  <c r="G298" i="4"/>
  <c r="H406" i="4"/>
  <c r="H465" i="4"/>
  <c r="H524" i="4"/>
  <c r="H583" i="4"/>
  <c r="L18" i="4"/>
  <c r="L36" i="4"/>
  <c r="L55" i="4"/>
  <c r="L78" i="4"/>
  <c r="L119" i="4"/>
  <c r="L167" i="4"/>
  <c r="L223" i="4"/>
  <c r="L298" i="4"/>
  <c r="L300" i="4"/>
  <c r="L406" i="4"/>
  <c r="L465" i="4"/>
  <c r="L524" i="4"/>
  <c r="L583" i="4"/>
  <c r="G8" i="4"/>
  <c r="G21" i="4"/>
  <c r="G41" i="4"/>
  <c r="G60" i="4"/>
  <c r="H83" i="4"/>
  <c r="G126" i="4"/>
  <c r="G177" i="4"/>
  <c r="H231" i="4"/>
  <c r="G311" i="4"/>
  <c r="H414" i="4"/>
  <c r="H473" i="4"/>
  <c r="H532" i="4"/>
  <c r="H591" i="4"/>
  <c r="L8" i="4"/>
  <c r="L21" i="4"/>
  <c r="L41" i="4"/>
  <c r="L60" i="4"/>
  <c r="L83" i="4"/>
  <c r="L126" i="4"/>
  <c r="L177" i="4"/>
  <c r="L231" i="4"/>
  <c r="L311" i="4"/>
  <c r="L312" i="4"/>
  <c r="L414" i="4"/>
  <c r="L473" i="4"/>
  <c r="L532" i="4"/>
  <c r="L591" i="4"/>
  <c r="H5" i="4"/>
  <c r="H16" i="4"/>
  <c r="H33" i="4"/>
  <c r="H53" i="4"/>
  <c r="H76" i="4"/>
  <c r="H117" i="4"/>
  <c r="H162" i="4"/>
  <c r="H219" i="4"/>
  <c r="H288" i="4"/>
  <c r="H402" i="4"/>
  <c r="H461" i="4"/>
  <c r="H520" i="4"/>
  <c r="H579" i="4"/>
  <c r="H7" i="4"/>
  <c r="H20" i="4"/>
  <c r="H40" i="4"/>
  <c r="H59" i="4"/>
  <c r="H82" i="4"/>
  <c r="H125" i="4"/>
  <c r="H176" i="4"/>
  <c r="H230" i="4"/>
  <c r="H373" i="4"/>
  <c r="H413" i="4"/>
  <c r="H472" i="4"/>
  <c r="H531" i="4"/>
  <c r="H590" i="4"/>
  <c r="G5" i="4"/>
  <c r="G16" i="4"/>
  <c r="G33" i="4"/>
  <c r="G53" i="4"/>
  <c r="G76" i="4"/>
  <c r="G117" i="4"/>
  <c r="G162" i="4"/>
  <c r="G219" i="4"/>
  <c r="G288" i="4"/>
  <c r="G292" i="4"/>
  <c r="G402" i="4"/>
  <c r="G461" i="4"/>
  <c r="G520" i="4"/>
  <c r="G579" i="4"/>
  <c r="G7" i="4"/>
  <c r="G20" i="4"/>
  <c r="G40" i="4"/>
  <c r="G59" i="4"/>
  <c r="G82" i="4"/>
  <c r="G125" i="4"/>
  <c r="G176" i="4"/>
  <c r="G230" i="4"/>
  <c r="G373" i="4"/>
  <c r="G413" i="4"/>
  <c r="G472" i="4"/>
  <c r="G531" i="4"/>
  <c r="G590" i="4"/>
  <c r="L7" i="4"/>
  <c r="L20" i="4"/>
  <c r="L40" i="4"/>
  <c r="L59" i="4"/>
  <c r="L82" i="4"/>
  <c r="L125" i="4"/>
  <c r="L176" i="4"/>
  <c r="L230" i="4"/>
  <c r="L373" i="4"/>
  <c r="L375" i="4"/>
  <c r="L413" i="4"/>
  <c r="L472" i="4"/>
  <c r="L531" i="4"/>
  <c r="L590" i="4"/>
  <c r="L5" i="4"/>
  <c r="L16" i="4"/>
  <c r="L33" i="4"/>
  <c r="L53" i="4"/>
  <c r="L76" i="4"/>
  <c r="L117" i="4"/>
  <c r="L162" i="4"/>
  <c r="L219" i="4"/>
  <c r="L288" i="4"/>
  <c r="L292" i="4"/>
  <c r="L402" i="4"/>
  <c r="L461" i="4"/>
  <c r="L520" i="4"/>
  <c r="L579" i="4"/>
  <c r="H167" i="4" l="1"/>
  <c r="H298" i="4"/>
  <c r="H119" i="4"/>
  <c r="H36" i="4"/>
  <c r="H60" i="4"/>
  <c r="H18" i="4"/>
  <c r="H41" i="4"/>
  <c r="H55" i="4"/>
  <c r="H21" i="4"/>
  <c r="H78" i="4"/>
  <c r="H177" i="4"/>
  <c r="H8" i="4"/>
  <c r="H126" i="4"/>
  <c r="G583" i="4"/>
  <c r="G524" i="4"/>
  <c r="G465" i="4"/>
  <c r="G406" i="4"/>
  <c r="G223" i="4"/>
  <c r="H311" i="4"/>
  <c r="G591" i="4"/>
  <c r="G532" i="4"/>
  <c r="G473" i="4"/>
  <c r="G414" i="4"/>
  <c r="G231" i="4"/>
  <c r="G8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 Schweig</author>
  </authors>
  <commentList>
    <comment ref="F4" authorId="0" shapeId="0" xr:uid="{0D766F5F-6A81-46DF-B692-792C9B7E1AF7}">
      <text>
        <r>
          <rPr>
            <b/>
            <sz val="9"/>
            <color indexed="81"/>
            <rFont val="Tahoma"/>
            <family val="2"/>
          </rPr>
          <t>Tom Schweig:</t>
        </r>
        <r>
          <rPr>
            <sz val="9"/>
            <color indexed="81"/>
            <rFont val="Tahoma"/>
            <family val="2"/>
          </rPr>
          <t xml:space="preserve">
Monday of the week in which -10 days occurs.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Maikel Tollenaar</author>
  </authors>
  <commentList>
    <comment ref="F35" authorId="0" shapeId="0" xr:uid="{DB16021C-FA24-4437-9778-52A86F518D2A}">
      <text>
        <r>
          <rPr>
            <b/>
            <sz val="9"/>
            <color indexed="81"/>
            <rFont val="Tahoma"/>
            <family val="2"/>
          </rPr>
          <t>Maikel Tollenaar:</t>
        </r>
        <r>
          <rPr>
            <sz val="9"/>
            <color indexed="81"/>
            <rFont val="Tahoma"/>
            <family val="2"/>
          </rPr>
          <t xml:space="preserve">
Ophalen na de middag</t>
        </r>
      </text>
    </comment>
  </commentList>
</comments>
</file>

<file path=xl/sharedStrings.xml><?xml version="1.0" encoding="utf-8"?>
<sst xmlns="http://schemas.openxmlformats.org/spreadsheetml/2006/main" count="8527" uniqueCount="2015">
  <si>
    <t>Contact Name</t>
  </si>
  <si>
    <t>Company or Name</t>
  </si>
  <si>
    <t>Country</t>
  </si>
  <si>
    <t>Address 1</t>
  </si>
  <si>
    <t>Address 2</t>
  </si>
  <si>
    <t>Address 3</t>
  </si>
  <si>
    <t>City</t>
  </si>
  <si>
    <t>State/Prov/Other</t>
  </si>
  <si>
    <t>Postal Code</t>
  </si>
  <si>
    <t>Telephone</t>
  </si>
  <si>
    <t>Ext</t>
  </si>
  <si>
    <t>Residential Ind</t>
  </si>
  <si>
    <t>Consignee Email</t>
  </si>
  <si>
    <t>Berlin Water Works</t>
  </si>
  <si>
    <t xml:space="preserve">Samantha Cytner </t>
  </si>
  <si>
    <t>Germany</t>
  </si>
  <si>
    <t>+493086447021</t>
  </si>
  <si>
    <t>samantha.cytner@bwb.de</t>
  </si>
  <si>
    <t>Jasmin Javanmardi</t>
  </si>
  <si>
    <t>LMU Klinikum Muenchen</t>
  </si>
  <si>
    <t>Institut fuer Infektions- und Tropenmedizin</t>
  </si>
  <si>
    <t>Munich</t>
  </si>
  <si>
    <t>Christine Schick</t>
  </si>
  <si>
    <t xml:space="preserve">Frankfurt am Main </t>
  </si>
  <si>
    <t>Goldsteinstraße 160</t>
  </si>
  <si>
    <t xml:space="preserve">Gebäude 71 </t>
  </si>
  <si>
    <t>ID</t>
  </si>
  <si>
    <t>DE1</t>
  </si>
  <si>
    <t>DE2</t>
  </si>
  <si>
    <t>DE3</t>
  </si>
  <si>
    <t>JP1</t>
  </si>
  <si>
    <t>BE1</t>
  </si>
  <si>
    <t>Dr. Naomi SAKON</t>
  </si>
  <si>
    <t>Osaka Institute of Public Health</t>
  </si>
  <si>
    <t>1-3-3 Nakamichi</t>
  </si>
  <si>
    <t>Osaka</t>
  </si>
  <si>
    <t>537-0025</t>
  </si>
  <si>
    <t>+81 6 6972 1402</t>
  </si>
  <si>
    <t>Japan</t>
  </si>
  <si>
    <t>nsakon@iph.osaka.jp</t>
  </si>
  <si>
    <t>Higashinari-ku</t>
  </si>
  <si>
    <t>IT1</t>
  </si>
  <si>
    <t>European Commission - JRC</t>
  </si>
  <si>
    <t>Italy</t>
  </si>
  <si>
    <t>Via E. Fermi 2749, T.P. 120</t>
  </si>
  <si>
    <t>Ispra</t>
  </si>
  <si>
    <t>Bernd.GAWLIK@ec.europa.eu</t>
  </si>
  <si>
    <t>Type</t>
  </si>
  <si>
    <t>Quantity</t>
  </si>
  <si>
    <t>Notes</t>
  </si>
  <si>
    <t>YY-MM</t>
  </si>
  <si>
    <t>WEEKNUM</t>
  </si>
  <si>
    <t>ToLab</t>
  </si>
  <si>
    <t>3rd-party-sample-UPS</t>
  </si>
  <si>
    <t>Confirmed Pick-up Date</t>
  </si>
  <si>
    <t>Confirmed Sampling Date</t>
  </si>
  <si>
    <t>FromSite2</t>
  </si>
  <si>
    <t>FromSite3</t>
  </si>
  <si>
    <t>Berlin Airport</t>
  </si>
  <si>
    <t>Munich Airport</t>
  </si>
  <si>
    <t>Frankfurt Airport</t>
  </si>
  <si>
    <t>FromSiteName</t>
  </si>
  <si>
    <t>Munich WWTP</t>
  </si>
  <si>
    <t>Frankfurt WWTP</t>
  </si>
  <si>
    <t>Brussels WWTP</t>
  </si>
  <si>
    <t>FromSite-UPS</t>
  </si>
  <si>
    <t>PickUpTimeFrom</t>
  </si>
  <si>
    <t>PickUpTimeTo</t>
  </si>
  <si>
    <t>Brussels Airport</t>
  </si>
  <si>
    <t>Belgium</t>
  </si>
  <si>
    <t>Box picked by</t>
  </si>
  <si>
    <t>Box checked by</t>
  </si>
  <si>
    <t>Label created by</t>
  </si>
  <si>
    <t>Barcode sequence</t>
  </si>
  <si>
    <t>Delivery Address</t>
  </si>
  <si>
    <t>name = contentlabel_X3*_X4*</t>
  </si>
  <si>
    <t>store in folder with name of X4*, which is located in X3*</t>
  </si>
  <si>
    <t>Brussels</t>
  </si>
  <si>
    <t>Y1*</t>
  </si>
  <si>
    <t>Waybillnumber</t>
  </si>
  <si>
    <t>Y2*</t>
  </si>
  <si>
    <t>Y3*</t>
  </si>
  <si>
    <t>Pick-up date</t>
  </si>
  <si>
    <t>Pick-up city</t>
  </si>
  <si>
    <t>Y4*</t>
  </si>
  <si>
    <t>Pick-up country</t>
  </si>
  <si>
    <t>Z3*</t>
  </si>
  <si>
    <t>Z2*</t>
  </si>
  <si>
    <t>Z1*</t>
  </si>
  <si>
    <t>Z4*</t>
  </si>
  <si>
    <t>Z5*</t>
  </si>
  <si>
    <t>India</t>
  </si>
  <si>
    <t>Canada</t>
  </si>
  <si>
    <t>United States</t>
  </si>
  <si>
    <t>United Kingdom</t>
  </si>
  <si>
    <t>France</t>
  </si>
  <si>
    <t>Spain</t>
  </si>
  <si>
    <t>Portugal</t>
  </si>
  <si>
    <t>Greece</t>
  </si>
  <si>
    <t>Luxembourg</t>
  </si>
  <si>
    <t>CONFIRMEDDATE</t>
  </si>
  <si>
    <t>CITY</t>
  </si>
  <si>
    <t>DELIVERYADDRESS</t>
  </si>
  <si>
    <t>EXPECTEDDELIVERYDATE</t>
  </si>
  <si>
    <t>Osaka Expo</t>
  </si>
  <si>
    <t>X1*</t>
  </si>
  <si>
    <t>X2*</t>
  </si>
  <si>
    <t>X3*</t>
  </si>
  <si>
    <t>X4*</t>
  </si>
  <si>
    <t>X</t>
  </si>
  <si>
    <t>Y</t>
  </si>
  <si>
    <t>W</t>
  </si>
  <si>
    <t>V</t>
  </si>
  <si>
    <t>Variable</t>
  </si>
  <si>
    <t>Description</t>
  </si>
  <si>
    <t>COLUMN NAME</t>
  </si>
  <si>
    <t>Desired Column</t>
  </si>
  <si>
    <t>Current Column</t>
  </si>
  <si>
    <t>Delivery address</t>
  </si>
  <si>
    <t>Expected delivery date</t>
  </si>
  <si>
    <t>City of site</t>
  </si>
  <si>
    <t>Confirmed sampling date</t>
  </si>
  <si>
    <t>ToSite-UPSName</t>
  </si>
  <si>
    <t>ToSite-HaDEAName</t>
  </si>
  <si>
    <t>ToSite2-HaDEAName</t>
  </si>
  <si>
    <t>YES</t>
  </si>
  <si>
    <t>NO</t>
  </si>
  <si>
    <t>-</t>
  </si>
  <si>
    <t>0082_WWI_00001_T8P_01;0082_WWI_00001_T8P_02;0082_WWI_00001_T8P_03;0082_WWI_00001_T8P_04;0082_WWI_00001_T8P_05;0082_WWI_00001_T8P_06;0082_WWI_00001_T8P_07;0082_WWI_00001_T8P_08;0082_WWI_00001_H2N_01;0082_WWI_00001_H2N_02;0082_WWI_00001_H2N_03;0082_WWI_00001_H2N_04;0082_WWI_00001_H2N_05;0082_WWI_00001_H2N_06;0082_WWI_00001_H2N_07;0082_WWI_00001_H2N_08</t>
  </si>
  <si>
    <t>0082_WWI_00001_V2L_01;0082_WWI_00001_V2L_02;0082_WWI_00001_V2L_03;0082_WWI_00001_V2L_04;0082_WWI_00001_V2L_05;0082_WWI_00001_V2L_06;0082_WWI_00001_V2L_07;0082_WWI_00001_V2L_08</t>
  </si>
  <si>
    <t>Toon. Maikel</t>
  </si>
  <si>
    <t>Daan</t>
  </si>
  <si>
    <t>All</t>
  </si>
  <si>
    <t>1ZRJ7386D907017715</t>
  </si>
  <si>
    <t>Tom</t>
  </si>
  <si>
    <t>Sub GenerateWordDocuments()</t>
  </si>
  <si>
    <t xml:space="preserve">    ' Declare variables</t>
  </si>
  <si>
    <t xml:space="preserve">    Dim ws As Worksheet</t>
  </si>
  <si>
    <t xml:space="preserve">    Dim tbl As ListObject</t>
  </si>
  <si>
    <t xml:space="preserve">    Dim i As Long</t>
  </si>
  <si>
    <t xml:space="preserve">    </t>
  </si>
  <si>
    <t xml:space="preserve">    ' Word application variables</t>
  </si>
  <si>
    <t xml:space="preserve">    Dim wdApp As Object</t>
  </si>
  <si>
    <t xml:space="preserve">    Dim wdDoc As Object</t>
  </si>
  <si>
    <t xml:space="preserve">    Dim templatePath As String</t>
  </si>
  <si>
    <t xml:space="preserve">    Dim savePath As String</t>
  </si>
  <si>
    <t xml:space="preserve">    Dim fileName As String</t>
  </si>
  <si>
    <t xml:space="preserve">    ' Base paths</t>
  </si>
  <si>
    <t xml:space="preserve">    Dim basePath As String</t>
  </si>
  <si>
    <t xml:space="preserve">    basePath = "V:\ETNL007\Data\Logistics\General\HaDEA\Order Entry\"</t>
  </si>
  <si>
    <t xml:space="preserve">    templatePath = basePath &amp; "template\boxcontentlabel_template.docx"</t>
  </si>
  <si>
    <t xml:space="preserve">    ' Error handling</t>
  </si>
  <si>
    <t xml:space="preserve">    On Error GoTo ErrorHandler</t>
  </si>
  <si>
    <t xml:space="preserve">    ' Get the worksheet and table</t>
  </si>
  <si>
    <t xml:space="preserve">    Set ws = ThisWorkbook.Worksheets("outbound")</t>
  </si>
  <si>
    <t xml:space="preserve">    Set tbl = ws.ListObjects("Table47")</t>
  </si>
  <si>
    <t xml:space="preserve">    ' Check if template exists</t>
  </si>
  <si>
    <t xml:space="preserve">    If Dir(templatePath) = "" Then</t>
  </si>
  <si>
    <t xml:space="preserve">        MsgBox "Template file not found at: " &amp; templatePath, vbCritical</t>
  </si>
  <si>
    <t xml:space="preserve">        Exit Sub</t>
  </si>
  <si>
    <t xml:space="preserve">    End If</t>
  </si>
  <si>
    <t xml:space="preserve">    ' Start Word application</t>
  </si>
  <si>
    <t xml:space="preserve">    Set wdApp = CreateObject("Word.Application")</t>
  </si>
  <si>
    <t xml:space="preserve">    ' Initialize progress</t>
  </si>
  <si>
    <t xml:space="preserve">    Application.ScreenUpdating = False</t>
  </si>
  <si>
    <t xml:space="preserve">    For i = 2 To tbl.Range.Rows.Count</t>
  </si>
  <si>
    <t xml:space="preserve">        If Not tbl.Range.Rows(i).Hidden Then</t>
  </si>
  <si>
    <t xml:space="preserve">            </t>
  </si>
  <si>
    <t xml:space="preserve">            Dim cleanX3 As String, cleanX4 As String</t>
  </si>
  <si>
    <t xml:space="preserve">            cityFolder = basePath &amp; cleanX3</t>
  </si>
  <si>
    <t xml:space="preserve">            dateFolder = cityFolder &amp; "\" &amp; cleanX4</t>
  </si>
  <si>
    <t xml:space="preserve">            ' Create folders if they don't exist</t>
  </si>
  <si>
    <t xml:space="preserve">            If Dir(cityFolder, vbDirectory) = "" Then</t>
  </si>
  <si>
    <t xml:space="preserve">                MkDir cityFolder</t>
  </si>
  <si>
    <t xml:space="preserve">            End If</t>
  </si>
  <si>
    <t xml:space="preserve">            If Dir(dateFolder, vbDirectory) = "" Then</t>
  </si>
  <si>
    <t xml:space="preserve">                MkDir dateFolder</t>
  </si>
  <si>
    <t xml:space="preserve">            Set wdDoc = wdApp.Documents.Open(templatePath)</t>
  </si>
  <si>
    <t xml:space="preserve">            ' Replace placeholders in the document</t>
  </si>
  <si>
    <t xml:space="preserve">            With wdDoc.Content.Find</t>
  </si>
  <si>
    <t xml:space="preserve">                .ClearFormatting</t>
  </si>
  <si>
    <t xml:space="preserve">                .Replacement.ClearFormatting</t>
  </si>
  <si>
    <t xml:space="preserve">                </t>
  </si>
  <si>
    <t xml:space="preserve">                ' Replace X1*</t>
  </si>
  <si>
    <t xml:space="preserve">                .Text = "X1*"</t>
  </si>
  <si>
    <t xml:space="preserve">                .Replacement.Text = X1_value</t>
  </si>
  <si>
    <t xml:space="preserve">                .Execute Replace:=2 ' wdReplaceAll = 2</t>
  </si>
  <si>
    <t xml:space="preserve">                ' Replace X2*</t>
  </si>
  <si>
    <t xml:space="preserve">                .Text = "X2*"</t>
  </si>
  <si>
    <t xml:space="preserve">                .Replacement.Text = X2_value</t>
  </si>
  <si>
    <t xml:space="preserve">                .Execute Replace:=2</t>
  </si>
  <si>
    <t xml:space="preserve">                ' Replace X3*</t>
  </si>
  <si>
    <t xml:space="preserve">                .Text = "X3*"</t>
  </si>
  <si>
    <t xml:space="preserve">                .Replacement.Text = X3_value</t>
  </si>
  <si>
    <t xml:space="preserve">                ' Replace X4*</t>
  </si>
  <si>
    <t xml:space="preserve">                .Text = "X4*"</t>
  </si>
  <si>
    <t xml:space="preserve">                .Replacement.Text = X4_value</t>
  </si>
  <si>
    <t xml:space="preserve">            End With</t>
  </si>
  <si>
    <t xml:space="preserve">            fileName = "contentlabel_" &amp; cleanX3 &amp; "_" &amp; cleanX4 &amp; ".docx"</t>
  </si>
  <si>
    <t xml:space="preserve">            savePath = dateFolder &amp; "\" &amp; fileName</t>
  </si>
  <si>
    <t xml:space="preserve">            wdDoc.SaveAs2 savePath</t>
  </si>
  <si>
    <t xml:space="preserve">            wdDoc.Close</t>
  </si>
  <si>
    <t xml:space="preserve">            ' Update progress</t>
  </si>
  <si>
    <t xml:space="preserve">        End If</t>
  </si>
  <si>
    <t xml:space="preserve">    Next i</t>
  </si>
  <si>
    <t xml:space="preserve">    ' Close Word application</t>
  </si>
  <si>
    <t xml:space="preserve">    wdApp.Quit</t>
  </si>
  <si>
    <t xml:space="preserve">    Set wdApp = Nothing</t>
  </si>
  <si>
    <t xml:space="preserve">    ' Restore settings</t>
  </si>
  <si>
    <t xml:space="preserve">    Application.ScreenUpdating = True</t>
  </si>
  <si>
    <t xml:space="preserve">    Application.StatusBar = False</t>
  </si>
  <si>
    <t xml:space="preserve">    Exit Sub</t>
  </si>
  <si>
    <t>ErrorHandler:</t>
  </si>
  <si>
    <t xml:space="preserve">    ' Clean up on error</t>
  </si>
  <si>
    <t>End Sub</t>
  </si>
  <si>
    <t>Function CleanFileName(fileName As String) As String</t>
  </si>
  <si>
    <t xml:space="preserve">    ' Remove or replace invalid characters for file/folder names</t>
  </si>
  <si>
    <t xml:space="preserve">    Dim invalidChars As String</t>
  </si>
  <si>
    <t xml:space="preserve">    Dim i As Integer</t>
  </si>
  <si>
    <t xml:space="preserve">    invalidChars = "\/:*?""&lt;&gt;|"</t>
  </si>
  <si>
    <t xml:space="preserve">    CleanFileName = fileName</t>
  </si>
  <si>
    <t xml:space="preserve">    For i = 1 To Len(invalidChars)</t>
  </si>
  <si>
    <t xml:space="preserve">        CleanFileName = Replace(CleanFileName, Mid(invalidChars, i, 1), "_")</t>
  </si>
  <si>
    <t xml:space="preserve">    ' Remove leading/trailing spaces</t>
  </si>
  <si>
    <t xml:space="preserve">    CleanFileName = Trim(CleanFileName)</t>
  </si>
  <si>
    <t>End Function</t>
  </si>
  <si>
    <t>LABELGENERATED</t>
  </si>
  <si>
    <t>LU1</t>
  </si>
  <si>
    <t>+32 2 642 52 10</t>
  </si>
  <si>
    <t>Rue Juliette Wytsmanstraat 14</t>
  </si>
  <si>
    <t>Bavo Verhaegen / Julie Linussio</t>
  </si>
  <si>
    <t>Bavo.Verhaegen@sciensano.be; Julie.Linussio@sciensano.be; wastewater.logistics@sciensano.be</t>
  </si>
  <si>
    <t>NOTES</t>
  </si>
  <si>
    <t>At reception</t>
  </si>
  <si>
    <t>41 rue du Brill</t>
  </si>
  <si>
    <t xml:space="preserve">L-4422 </t>
  </si>
  <si>
    <t xml:space="preserve">leslie.ogorzaly@list.lu; cecile.walczak@list.lu </t>
  </si>
  <si>
    <t>For Environmental Microbiology Research group</t>
  </si>
  <si>
    <t xml:space="preserve">    ' Data variables</t>
  </si>
  <si>
    <t xml:space="preserve">    Dim X1_value As String  ' DELIVERYADDRESS</t>
  </si>
  <si>
    <t xml:space="preserve">    Dim X2_value As String  ' EXPECTEDDELIVERYDATE</t>
  </si>
  <si>
    <t xml:space="preserve">    Dim X3_value As String  ' CITY</t>
  </si>
  <si>
    <t xml:space="preserve">    Dim X4_value As String  ' CONFIRMEDDATE</t>
  </si>
  <si>
    <t xml:space="preserve">    Dim rowID As String     ' ID</t>
  </si>
  <si>
    <t xml:space="preserve">    Dim labelGenerated As String</t>
  </si>
  <si>
    <t xml:space="preserve">    ' Column position variables</t>
  </si>
  <si>
    <t xml:space="preserve">    Dim colID As Integer</t>
  </si>
  <si>
    <t xml:space="preserve">    Dim colDeliveryAddress As Integer</t>
  </si>
  <si>
    <t xml:space="preserve">    Dim colExpectedDeliveryDate As Integer</t>
  </si>
  <si>
    <t xml:space="preserve">    Dim colCity As Integer</t>
  </si>
  <si>
    <t xml:space="preserve">    Dim colConfirmedDate As Integer</t>
  </si>
  <si>
    <t xml:space="preserve">    Dim colLabelGenerated As Integer</t>
  </si>
  <si>
    <t xml:space="preserve">    ' Counters</t>
  </si>
  <si>
    <t xml:space="preserve">    Dim processedCount As Long</t>
  </si>
  <si>
    <t xml:space="preserve">    Dim skippedCount As Long</t>
  </si>
  <si>
    <t xml:space="preserve">    ' STEP 1: Find all required column positions ONCE</t>
  </si>
  <si>
    <t xml:space="preserve">    Debug.Print "=== FINDING COLUMN POSITIONS ==="</t>
  </si>
  <si>
    <t xml:space="preserve">    For i = 1 To tbl.Range.Columns.Count</t>
  </si>
  <si>
    <t xml:space="preserve">        Dim headerValue As String</t>
  </si>
  <si>
    <t xml:space="preserve">        headerValue = UCase(Trim(CStr(tbl.Range.Cells(1, i).Value)))</t>
  </si>
  <si>
    <t xml:space="preserve">        </t>
  </si>
  <si>
    <t xml:space="preserve">        Select Case headerValue</t>
  </si>
  <si>
    <t xml:space="preserve">            Case "ID"</t>
  </si>
  <si>
    <t xml:space="preserve">                colID = i</t>
  </si>
  <si>
    <t xml:space="preserve">                Debug.Print "Found ID column at position: " &amp; i</t>
  </si>
  <si>
    <t xml:space="preserve">            Case "DELIVERYADDRESS"</t>
  </si>
  <si>
    <t xml:space="preserve">                colDeliveryAddress = i</t>
  </si>
  <si>
    <t xml:space="preserve">                Debug.Print "Found DELIVERYADDRESS column at position: " &amp; i</t>
  </si>
  <si>
    <t xml:space="preserve">            Case "EXPECTEDDELIVERYDATE"</t>
  </si>
  <si>
    <t xml:space="preserve">                colExpectedDeliveryDate = i</t>
  </si>
  <si>
    <t xml:space="preserve">                Debug.Print "Found EXPECTEDDELIVERYDATE column at position: " &amp; i</t>
  </si>
  <si>
    <t xml:space="preserve">            Case "CITY"</t>
  </si>
  <si>
    <t xml:space="preserve">                colCity = i</t>
  </si>
  <si>
    <t xml:space="preserve">                Debug.Print "Found CITY column at position: " &amp; i</t>
  </si>
  <si>
    <t xml:space="preserve">            Case "CONFIRMEDDATE"</t>
  </si>
  <si>
    <t xml:space="preserve">                colConfirmedDate = i</t>
  </si>
  <si>
    <t xml:space="preserve">                Debug.Print "Found CONFIRMEDDATE column at position: " &amp; i</t>
  </si>
  <si>
    <t xml:space="preserve">            Case "LABELGENERATED"</t>
  </si>
  <si>
    <t xml:space="preserve">                colLabelGenerated = i</t>
  </si>
  <si>
    <t xml:space="preserve">                Debug.Print "Found LABELGENERATED column at position: " &amp; i</t>
  </si>
  <si>
    <t xml:space="preserve">        End Select</t>
  </si>
  <si>
    <t xml:space="preserve">    ' Verify all columns were found</t>
  </si>
  <si>
    <t xml:space="preserve">    If colID = 0 Or colDeliveryAddress = 0 Or colExpectedDeliveryDate = 0 Or colCity = 0 Or colConfirmedDate = 0 Or colLabelGenerated = 0 Then</t>
  </si>
  <si>
    <t xml:space="preserve">        MsgBox "CRITICAL ERROR: Missing required columns!" &amp; vbCrLf &amp; vbCrLf &amp; _</t>
  </si>
  <si>
    <t xml:space="preserve">               "Found columns:" &amp; vbCrLf &amp; _</t>
  </si>
  <si>
    <t xml:space="preserve">               "ID: " &amp; IIf(colID &gt; 0, "Position " &amp; colID, "NOT FOUND") &amp; vbCrLf &amp; _</t>
  </si>
  <si>
    <t xml:space="preserve">               "DELIVERYADDRESS: " &amp; IIf(colDeliveryAddress &gt; 0, "Position " &amp; colDeliveryAddress, "NOT FOUND") &amp; vbCrLf &amp; _</t>
  </si>
  <si>
    <t xml:space="preserve">               "EXPECTEDDELIVERYDATE: " &amp; IIf(colExpectedDeliveryDate &gt; 0, "Position " &amp; colExpectedDeliveryDate, "NOT FOUND") &amp; vbCrLf &amp; _</t>
  </si>
  <si>
    <t xml:space="preserve">               "CITY: " &amp; IIf(colCity &gt; 0, "Position " &amp; colCity, "NOT FOUND") &amp; vbCrLf &amp; _</t>
  </si>
  <si>
    <t xml:space="preserve">               "CONFIRMEDDATE: " &amp; IIf(colConfirmedDate &gt; 0, "Position " &amp; colConfirmedDate, "NOT FOUND") &amp; vbCrLf &amp; _</t>
  </si>
  <si>
    <t xml:space="preserve">               "LABELGENERATED: " &amp; IIf(colLabelGenerated &gt; 0, "Position " &amp; colLabelGenerated, "NOT FOUND"), vbCritical</t>
  </si>
  <si>
    <t xml:space="preserve">    Debug.Print "=== ALL COLUMNS FOUND SUCCESSFULLY ==="</t>
  </si>
  <si>
    <t xml:space="preserve">    wdApp.Visible = False</t>
  </si>
  <si>
    <t xml:space="preserve">    ' Initialize counters</t>
  </si>
  <si>
    <t xml:space="preserve">    processedCount = 0</t>
  </si>
  <si>
    <t xml:space="preserve">    skippedCount = 0</t>
  </si>
  <si>
    <t xml:space="preserve">    Application.StatusBar = "Starting document generation..."</t>
  </si>
  <si>
    <t xml:space="preserve">    Debug.Print "=== STARTING ROW PROCESSING ==="</t>
  </si>
  <si>
    <t xml:space="preserve">    ' STEP 2: Process each row individually</t>
  </si>
  <si>
    <t xml:space="preserve">        ' Only process visible rows (not filtered out)</t>
  </si>
  <si>
    <t xml:space="preserve">            ' STEP 2A: Get ID first for tracking</t>
  </si>
  <si>
    <t xml:space="preserve">            rowID = Trim(CStr(tbl.Range.Cells(i, colID).Value))</t>
  </si>
  <si>
    <t xml:space="preserve">            Debug.Print "--- Processing Row " &amp; i &amp; " with ID: '" &amp; rowID &amp; "' ---"</t>
  </si>
  <si>
    <t xml:space="preserve">            ' STEP 2B: Check LABELGENERATED status</t>
  </si>
  <si>
    <t xml:space="preserve">            labelGenerated = UCase(Trim(CStr(tbl.Range.Cells(i, colLabelGenerated).Value)))</t>
  </si>
  <si>
    <t xml:space="preserve">            Debug.Print "  LABELGENERATED status: '" &amp; labelGenerated &amp; "'"</t>
  </si>
  <si>
    <t xml:space="preserve">            If labelGenerated = "YES" Then</t>
  </si>
  <si>
    <t xml:space="preserve">                Debug.Print "  SKIPPING: Label already generated for ID " &amp; rowID</t>
  </si>
  <si>
    <t xml:space="preserve">                skippedCount = skippedCount + 1</t>
  </si>
  <si>
    <t xml:space="preserve">                GoTo NextRow</t>
  </si>
  <si>
    <t xml:space="preserve">            ' STEP 2C: Extract all values for this specific row</t>
  </si>
  <si>
    <t xml:space="preserve">            X1_value = Trim(CStr(tbl.Range.Cells(i, colDeliveryAddress).Value))</t>
  </si>
  <si>
    <t xml:space="preserve">            X2_value = Trim(CStr(tbl.Range.Cells(i, colExpectedDeliveryDate).Value))</t>
  </si>
  <si>
    <t xml:space="preserve">            X3_value = Trim(CStr(tbl.Range.Cells(i, colCity).Value))</t>
  </si>
  <si>
    <t xml:space="preserve">            X4_value = Trim(CStr(tbl.Range.Cells(i, colConfirmedDate).Value))</t>
  </si>
  <si>
    <t xml:space="preserve">            ' STEP 2D: Validate data before processing</t>
  </si>
  <si>
    <t xml:space="preserve">            If X1_value = "" Or X3_value = "" Or X4_value = "" Then</t>
  </si>
  <si>
    <t xml:space="preserve">                Debug.Print "  ERROR: Missing required data for ID " &amp; rowID</t>
  </si>
  <si>
    <t xml:space="preserve">                Debug.Print "    X1 (DELIVERYADDRESS): '" &amp; X1_value &amp; "'"</t>
  </si>
  <si>
    <t xml:space="preserve">                Debug.Print "    X2 (EXPECTEDDELIVERYDATE): '" &amp; X2_value &amp; "'"</t>
  </si>
  <si>
    <t xml:space="preserve">                Debug.Print "    X3 (CITY): '" &amp; X3_value &amp; "'"</t>
  </si>
  <si>
    <t xml:space="preserve">                Debug.Print "    X4 (CONFIRMEDDATE): '" &amp; X4_value &amp; "'"</t>
  </si>
  <si>
    <t xml:space="preserve">            ' Debug output for verification</t>
  </si>
  <si>
    <t xml:space="preserve">            Debug.Print "  Data extracted for ID " &amp; rowID &amp; ":"</t>
  </si>
  <si>
    <t xml:space="preserve">            Debug.Print "    X1* (DELIVERYADDRESS): '" &amp; X1_value &amp; "'"</t>
  </si>
  <si>
    <t xml:space="preserve">            Debug.Print "    X2* (EXPECTEDDELIVERYDATE): '" &amp; X2_value &amp; "'"</t>
  </si>
  <si>
    <t xml:space="preserve">            Debug.Print "    X3* (CITY): '" &amp; X3_value &amp; "' (city folder)"</t>
  </si>
  <si>
    <t xml:space="preserve">            Debug.Print "    X4* (CONFIRMEDDATE): '" &amp; X4_value &amp; "' (date folder)"</t>
  </si>
  <si>
    <t xml:space="preserve">            ' STEP 2E: Clean values for file/folder names</t>
  </si>
  <si>
    <t xml:space="preserve">            cleanX3 = CleanFileName(X3_value)</t>
  </si>
  <si>
    <t xml:space="preserve">            cleanX4 = CleanFileName(X4_value)</t>
  </si>
  <si>
    <t xml:space="preserve">            ' STEP 2F: Create folder structure</t>
  </si>
  <si>
    <t xml:space="preserve">            Dim cityFolder As String, dateFolder As String</t>
  </si>
  <si>
    <t xml:space="preserve">            Debug.Print "  Creating folders: " &amp; dateFolder</t>
  </si>
  <si>
    <t xml:space="preserve">            ' STEP 2G: Generate Word document</t>
  </si>
  <si>
    <t xml:space="preserve">            Debug.Print "  Opening template and replacing values..."</t>
  </si>
  <si>
    <t xml:space="preserve">            ' STEP 2H: Save document</t>
  </si>
  <si>
    <t xml:space="preserve">            Debug.Print "  Saving document: " &amp; savePath</t>
  </si>
  <si>
    <t xml:space="preserve">            Set wdDoc = Nothing</t>
  </si>
  <si>
    <t xml:space="preserve">            ' STEP 2I: Mark as completed</t>
  </si>
  <si>
    <t xml:space="preserve">            tbl.Range.Cells(i, colLabelGenerated).Value = "YES"</t>
  </si>
  <si>
    <t xml:space="preserve">            processedCount = processedCount + 1</t>
  </si>
  <si>
    <t xml:space="preserve">            Debug.Print "  SUCCESS: Document generated for ID " &amp; rowID</t>
  </si>
  <si>
    <t xml:space="preserve">            Application.StatusBar = "Generated " &amp; processedCount &amp; " documents. Current: ID " &amp; rowID</t>
  </si>
  <si>
    <t>NextRow:</t>
  </si>
  <si>
    <t xml:space="preserve">    Debug.Print "=== PROCESSING COMPLETE ==="</t>
  </si>
  <si>
    <t xml:space="preserve">    Debug.Print "Documents generated: " &amp; processedCount</t>
  </si>
  <si>
    <t xml:space="preserve">    Debug.Print "Rows skipped (already processed): " &amp; skippedCount</t>
  </si>
  <si>
    <t xml:space="preserve">    MsgBox "Document generation completed!" &amp; vbCrLf &amp; vbCrLf &amp; _</t>
  </si>
  <si>
    <t xml:space="preserve">           "Documents generated: " &amp; processedCount &amp; vbCrLf &amp; _</t>
  </si>
  <si>
    <t xml:space="preserve">           "Rows skipped (already processed): " &amp; skippedCount, vbInformation</t>
  </si>
  <si>
    <t xml:space="preserve">    If Not wdDoc Is Nothing Then</t>
  </si>
  <si>
    <t xml:space="preserve">        wdDoc.Close False</t>
  </si>
  <si>
    <t xml:space="preserve">        Set wdDoc = Nothing</t>
  </si>
  <si>
    <t xml:space="preserve">    If Not wdApp Is Nothing Then</t>
  </si>
  <si>
    <t xml:space="preserve">        wdApp.Quit</t>
  </si>
  <si>
    <t xml:space="preserve">        Set wdApp = Nothing</t>
  </si>
  <si>
    <t xml:space="preserve">    Debug.Print "ERROR in row " &amp; i &amp; " (ID: " &amp; rowID &amp; "): " &amp; Err.Description</t>
  </si>
  <si>
    <t xml:space="preserve">    MsgBox "ERROR occurred while processing row " &amp; i &amp; " (ID: " &amp; rowID &amp; ")" &amp; vbCrLf &amp; vbCrLf &amp; _</t>
  </si>
  <si>
    <t xml:space="preserve">           "Error: " &amp; Err.Description &amp; vbCrLf &amp; vbCrLf &amp; _</t>
  </si>
  <si>
    <t xml:space="preserve">           "Documents generated before error: " &amp; processedCount, vbCritical</t>
  </si>
  <si>
    <t>Luxembourg Airport</t>
  </si>
  <si>
    <t>Luxembourg (Beggen) WWTP</t>
  </si>
  <si>
    <t>Berlin (Schoenefeld) WWTP</t>
  </si>
  <si>
    <t>SCIENSANO (Brussels)</t>
  </si>
  <si>
    <t>NONADRGENERATED</t>
  </si>
  <si>
    <t>wen es angeht</t>
  </si>
  <si>
    <t>Wir, Eurofins Analytico BV erklären hiermit, dass das Produkt ...Wasserprobe..., das im Wesentlichen aus Wasser besteht, weder giftig, explosiv, oxidierend, infektiös, radioaktiv, ätzend, magnetisch noch umweltgefährdend und nicht brennbar ist. Der Flammpunkt im geschlossenen Tiegel liegt bei &gt;100°C.
Daher ist dieses Produkt in Übereinstimmung mit den IATA- und ICAO-Vorschriften (Anhang 18) für gefährliche Güter nicht als Gefahrgut eingestuft und stellt kein Risiko für den Lufttransport dar.</t>
  </si>
  <si>
    <t>Ort, Datum</t>
  </si>
  <si>
    <t>Ort, Datum Name, Unterschrift, Firmensiegel</t>
  </si>
  <si>
    <t>場所、日付 氏名、署名、社印 関係者</t>
  </si>
  <si>
    <t>場所、日付 氏名、署名、社印該当する場合、Eurofins Analytico BVは、本質的に水から成る製品...水サンプル...が、毒性、爆発性、酸化性、感染性、放射性、腐食性、磁性、環境への危険性がなく、不燃性であることをここに宣言する。密閉るつぼ内の引火点は100℃を超える。
したがって、IATAおよびICAOの危険物に関する規則（付属書18）に従い、本製品は危険物には分類されず、航空輸送に危険はない。</t>
  </si>
  <si>
    <t>オルト、データム</t>
  </si>
  <si>
    <t>場所、日付 氏名、署名、社印</t>
  </si>
  <si>
    <t>उनके लिए जो इससे संबद्ध हो सकते हैं</t>
  </si>
  <si>
    <t>स्थान, तिथि</t>
  </si>
  <si>
    <t>स्थान, दिनांक नाम, हस्ताक्षर, कंपनी की मुहर</t>
  </si>
  <si>
    <t>To whom it may concern</t>
  </si>
  <si>
    <t>We, Eurofins Analytico BV, hereby declare that the product ...water sample..., which consists essentially of water, is neither toxic, explosive, oxidizing, infectious, radioactive, corrosive, magnetic nor hazardous to the environment and non-flammable. The flash point in the closed crucible is &gt;100°C.
Therefore, in accordance with IATA and ICAO regulations (Annex 18) for dangerous goods, this product is not classified as dangerous goods and poses no risk for air transportation.</t>
  </si>
  <si>
    <t>Place, Date</t>
  </si>
  <si>
    <t>Place, date Name, signature, company seal</t>
  </si>
  <si>
    <t>À qui cela peut concerner</t>
  </si>
  <si>
    <t>Nous, Eurofins Analytico BV, déclarons par la présente que le produit ...échantillon d'eau..., qui consiste essentiellement en eau, n'est ni toxique, ni explosif, ni oxydant, ni infectieux, ni radioactif, ni corrosif, ni magnétique, ni dangereux pour l'environnement, et qu'il est ininflammable. Le point d'éclair dans le creuset fermé est &gt;100°C.
Par conséquent, conformément aux réglementations de l'IATA et de l'OACI (annexe 18) relatives aux marchandises dangereuses, ce produit n'est pas classé comme marchandise dangereuse et ne présente aucun risque pour le transport aérien.</t>
  </si>
  <si>
    <t>Lieu, date</t>
  </si>
  <si>
    <t>Lieu, date Nom, signature, sceau de l'entreprise</t>
  </si>
  <si>
    <t>Lugar, fecha Nombre, firma, sello de la empresa A quien corresponda</t>
  </si>
  <si>
    <t>Nosotros, Eurofins Analytico BV, declaramos por la presente que el producto ...muestra de agua..., que consiste esencialmente en agua, no es tóxico, explosivo, oxidante, infeccioso, radiactivo, corrosivo, magnético ni peligroso para el medio ambiente y no es inflamable. El punto de inflamación en el crisol cerrado es &gt;100°C.
Por lo tanto, de acuerdo con la normativa de la IATA y la OACI (Anexo 18) para mercancías peligrosas, este producto no está clasificado como mercancía peligrosa y no supone ningún riesgo para el transporte aéreo.</t>
  </si>
  <si>
    <t>Lugar, Fecha</t>
  </si>
  <si>
    <t>Lugar, fecha Nombre, firma, sello de la empresa</t>
  </si>
  <si>
    <t>A quem possa interessar</t>
  </si>
  <si>
    <t>A quem possa interessarNós, Eurofins Analytico BV, declaramos que o produto ...amostra de água..., que consiste essencialmente em água, não é tóxico, explosivo, oxidante, infecioso, radioativo, corrosivo, magnético nem perigoso para o ambiente e não é inflamável. O ponto de inflamação no cadinho fechado é &gt;100°C.
Por conseguinte, de acordo com os regulamentos da IATA e da ICAO (Anexo 18) para mercadorias perigosas, este produto não está classificado como mercadoria perigosa e não representa qualquer risco para o transporte aéreo.</t>
  </si>
  <si>
    <t>Local, data</t>
  </si>
  <si>
    <t>Local, data Nome, assinatura, selo da empresa</t>
  </si>
  <si>
    <t>Προς τους ενδιαφερόμενους</t>
  </si>
  <si>
    <t>Εμείς, η Eurofins Analytico BV, δηλώνουμε ότι το προϊόν ...δείγμα νερού..., το οποίο αποτελείται κυρίως από νερό, δεν είναι ούτε τοξικό, εκρηκτικό, οξειδωτικό, μολυσματικό, ραδιενεργό, διαβρωτικό, μαγνητικό ούτε επικίνδυνο για το περιβάλλον και μη εύφλεκτο. Το σημείο ανάφλεξης στο κλειστό χωνευτήρι είναι &gt;100°C.
Ως εκ τούτου, σύμφωνα με τους κανονισμούς της ΙΑΤΑ και του ICAO (παράρτημα 18) για τα επικίνδυνα εμπορεύματα, το προϊόν αυτό δεν ταξινομείται ως επικίνδυνο εμπόρευμα και δεν εγκυμονεί κινδύνους για την αεροπορική μεταφορά.</t>
  </si>
  <si>
    <t>Τόπος, Ημερομηνία</t>
  </si>
  <si>
    <t>Τόπος, ημερομηνία Όνομα, υπογραφή, σφραγίδα εταιρείας</t>
  </si>
  <si>
    <t>COUNTRY</t>
  </si>
  <si>
    <t>WAYBILLNUMBER</t>
  </si>
  <si>
    <t>COLLECTIONID</t>
  </si>
  <si>
    <t>WEEKNUM-KIT</t>
  </si>
  <si>
    <t>Box Content Label</t>
  </si>
  <si>
    <t>Non-ADR Document</t>
  </si>
  <si>
    <t>Sub GenerateADRDocuments()</t>
  </si>
  <si>
    <t xml:space="preserve">    Dim wsSample As Worksheet</t>
  </si>
  <si>
    <t xml:space="preserve">    Dim wsNonADR As Worksheet</t>
  </si>
  <si>
    <t xml:space="preserve">    Dim table4 As ListObject</t>
  </si>
  <si>
    <t xml:space="preserve">    Dim table3 As ListObject</t>
  </si>
  <si>
    <t xml:space="preserve">    ' Data variables for Table4 (sample sheet)</t>
  </si>
  <si>
    <t xml:space="preserve">    Dim Y1_value As String  ' WAYBILLNUMBER</t>
  </si>
  <si>
    <t xml:space="preserve">    Dim Y2_value As String  ' CONFIRMEDDATE</t>
  </si>
  <si>
    <t xml:space="preserve">    Dim Y3_value As String  ' CITY</t>
  </si>
  <si>
    <t xml:space="preserve">    Dim Y4_value As String  ' COUNTRY</t>
  </si>
  <si>
    <t xml:space="preserve">    Dim nonADRGenerated As String</t>
  </si>
  <si>
    <t xml:space="preserve">    ' Data variables for Table3 (nonADR sheet)</t>
  </si>
  <si>
    <t xml:space="preserve">    Dim Z1_value As String  ' Z1*</t>
  </si>
  <si>
    <t xml:space="preserve">    Dim Z2_value As String  ' Z2*</t>
  </si>
  <si>
    <t xml:space="preserve">    Dim Z4_value As String  ' Z4*</t>
  </si>
  <si>
    <t xml:space="preserve">    Dim Z5_value As String  ' Z5*</t>
  </si>
  <si>
    <t xml:space="preserve">    ' Column position variables for Table4</t>
  </si>
  <si>
    <t xml:space="preserve">    Dim colWaybillNumber As Integer</t>
  </si>
  <si>
    <t xml:space="preserve">    Dim colCountry As Integer</t>
  </si>
  <si>
    <t xml:space="preserve">    Dim colNonADRGenerated As Integer</t>
  </si>
  <si>
    <t xml:space="preserve">    ' Column position variables for Table3</t>
  </si>
  <si>
    <t xml:space="preserve">    Dim colT3Country As Integer</t>
  </si>
  <si>
    <t xml:space="preserve">    Dim colZ1 As Integer</t>
  </si>
  <si>
    <t xml:space="preserve">    Dim colZ2 As Integer</t>
  </si>
  <si>
    <t xml:space="preserve">    Dim colZ4 As Integer</t>
  </si>
  <si>
    <t xml:space="preserve">    Dim colZ5 As Integer</t>
  </si>
  <si>
    <t xml:space="preserve">    templatePath = "V:\ETNL007\Data\Logistics\General\HaDEA\Order Entry\template\Water_Sample_Non_ADR_Declaration - template.docx"</t>
  </si>
  <si>
    <t xml:space="preserve">    ' Get the worksheets and tables</t>
  </si>
  <si>
    <t xml:space="preserve">    Set wsSample = ThisWorkbook.Worksheets("sample")</t>
  </si>
  <si>
    <t xml:space="preserve">    Set wsNonADR = ThisWorkbook.Worksheets("nonADR")</t>
  </si>
  <si>
    <t xml:space="preserve">    Set table4 = wsSample.ListObjects("Table4")</t>
  </si>
  <si>
    <t xml:space="preserve">    Set table3 = wsNonADR.ListObjects("Table3")</t>
  </si>
  <si>
    <t xml:space="preserve">    ' STEP 1: Find all required column positions in Table4 ONCE</t>
  </si>
  <si>
    <t xml:space="preserve">    Debug.Print "=== FINDING TABLE4 COLUMN POSITIONS ==="</t>
  </si>
  <si>
    <t xml:space="preserve">    For i = 1 To table4.Range.Columns.Count</t>
  </si>
  <si>
    <t xml:space="preserve">        headerValue = UCase(Trim(CStr(table4.Range.Cells(1, i).Value)))</t>
  </si>
  <si>
    <t xml:space="preserve">            Case "WAYBILLNUMBER"</t>
  </si>
  <si>
    <t xml:space="preserve">                colWaybillNumber = i</t>
  </si>
  <si>
    <t xml:space="preserve">                Debug.Print "Found WAYBILLNUMBER column at position: " &amp; i</t>
  </si>
  <si>
    <t xml:space="preserve">            Case "COUNTRY"</t>
  </si>
  <si>
    <t xml:space="preserve">                colCountry = i</t>
  </si>
  <si>
    <t xml:space="preserve">                Debug.Print "Found COUNTRY column at position: " &amp; i</t>
  </si>
  <si>
    <t xml:space="preserve">            Case "NONADRGENERATED"</t>
  </si>
  <si>
    <t xml:space="preserve">                colNonADRGenerated = i</t>
  </si>
  <si>
    <t xml:space="preserve">                Debug.Print "Found NONADRGENERATED column at position: " &amp; i</t>
  </si>
  <si>
    <t xml:space="preserve">    ' Verify all Table4 columns were found</t>
  </si>
  <si>
    <t xml:space="preserve">    If colID = 0 Or colWaybillNumber = 0 Or colConfirmedDate = 0 Or colCity = 0 Or colCountry = 0 Or colNonADRGenerated = 0 Then</t>
  </si>
  <si>
    <t xml:space="preserve">        MsgBox "CRITICAL ERROR: Missing required columns in Table4!" &amp; vbCrLf &amp; vbCrLf &amp; _</t>
  </si>
  <si>
    <t xml:space="preserve">               "WAYBILLNUMBER: " &amp; IIf(colWaybillNumber &gt; 0, "Position " &amp; colWaybillNumber, "NOT FOUND") &amp; vbCrLf &amp; _</t>
  </si>
  <si>
    <t xml:space="preserve">               "COUNTRY: " &amp; IIf(colCountry &gt; 0, "Position " &amp; colCountry, "NOT FOUND") &amp; vbCrLf &amp; _</t>
  </si>
  <si>
    <t xml:space="preserve">               "NONADRGENERATED: " &amp; IIf(colNonADRGenerated &gt; 0, "Position " &amp; colNonADRGenerated, "NOT FOUND"), vbCritical</t>
  </si>
  <si>
    <t xml:space="preserve">    ' STEP 2: Find all required column positions in Table3 ONCE</t>
  </si>
  <si>
    <t xml:space="preserve">    Debug.Print "=== FINDING TABLE3 COLUMN POSITIONS ==="</t>
  </si>
  <si>
    <t xml:space="preserve">    For i = 1 To table3.Range.Columns.Count</t>
  </si>
  <si>
    <t xml:space="preserve">        headerValue = UCase(Trim(CStr(table3.Range.Cells(1, i).Value)))</t>
  </si>
  <si>
    <t xml:space="preserve">                colT3Country = i</t>
  </si>
  <si>
    <t xml:space="preserve">                Debug.Print "Found COUNTRY column in Table3 at position: " &amp; i</t>
  </si>
  <si>
    <t xml:space="preserve">            Case "Z1*"</t>
  </si>
  <si>
    <t xml:space="preserve">                colZ1 = i</t>
  </si>
  <si>
    <t xml:space="preserve">                Debug.Print "Found Z1* column at position: " &amp; i</t>
  </si>
  <si>
    <t xml:space="preserve">            Case "Z2*"</t>
  </si>
  <si>
    <t xml:space="preserve">                colZ2 = i</t>
  </si>
  <si>
    <t xml:space="preserve">                Debug.Print "Found Z2* column at position: " &amp; i</t>
  </si>
  <si>
    <t xml:space="preserve">            Case "Z4*"</t>
  </si>
  <si>
    <t xml:space="preserve">                colZ4 = i</t>
  </si>
  <si>
    <t xml:space="preserve">                Debug.Print "Found Z4* column at position: " &amp; i</t>
  </si>
  <si>
    <t xml:space="preserve">            Case "Z5*"</t>
  </si>
  <si>
    <t xml:space="preserve">                colZ5 = i</t>
  </si>
  <si>
    <t xml:space="preserve">                Debug.Print "Found Z5* column at position: " &amp; i</t>
  </si>
  <si>
    <t xml:space="preserve">    ' Verify all Table3 columns were found</t>
  </si>
  <si>
    <t xml:space="preserve">    If colT3Country = 0 Or colZ1 = 0 Or colZ2 = 0 Or colZ4 = 0 Or colZ5 = 0 Then</t>
  </si>
  <si>
    <t xml:space="preserve">        MsgBox "CRITICAL ERROR: Missing required columns in Table3!" &amp; vbCrLf &amp; vbCrLf &amp; _</t>
  </si>
  <si>
    <t xml:space="preserve">               "COUNTRY: " &amp; IIf(colT3Country &gt; 0, "Position " &amp; colT3Country, "NOT FOUND") &amp; vbCrLf &amp; _</t>
  </si>
  <si>
    <t xml:space="preserve">               "Z1*: " &amp; IIf(colZ1 &gt; 0, "Position " &amp; colZ1, "NOT FOUND") &amp; vbCrLf &amp; _</t>
  </si>
  <si>
    <t xml:space="preserve">               "Z2*: " &amp; IIf(colZ2 &gt; 0, "Position " &amp; colZ2, "NOT FOUND") &amp; vbCrLf &amp; _</t>
  </si>
  <si>
    <t xml:space="preserve">               "Z4*: " &amp; IIf(colZ4 &gt; 0, "Position " &amp; colZ4, "NOT FOUND") &amp; vbCrLf &amp; _</t>
  </si>
  <si>
    <t xml:space="preserve">               "Z5*: " &amp; IIf(colZ5 &gt; 0, "Position " &amp; colZ5, "NOT FOUND"), vbCritical</t>
  </si>
  <si>
    <t xml:space="preserve">    Application.StatusBar = "Starting ADR document generation..."</t>
  </si>
  <si>
    <t xml:space="preserve">    ' STEP 3: Process each row in Table4 individually</t>
  </si>
  <si>
    <t xml:space="preserve">    For i = 2 To table4.Range.Rows.Count</t>
  </si>
  <si>
    <t xml:space="preserve">        ' STEP 3A: Get ID first for tracking</t>
  </si>
  <si>
    <t xml:space="preserve">        rowID = Trim(CStr(table4.Range.Cells(i, colID).Value))</t>
  </si>
  <si>
    <t xml:space="preserve">        ' Check if row is visible (not filtered out)</t>
  </si>
  <si>
    <t xml:space="preserve">        Dim isRowVisible As Boolean</t>
  </si>
  <si>
    <t xml:space="preserve">        isRowVisible = Not table4.Range.Rows(i).Hidden</t>
  </si>
  <si>
    <t xml:space="preserve">        Debug.Print "--- Row " &amp; i &amp; " with ID: '" &amp; rowID &amp; "' - Visible: " &amp; isRowVisible &amp; " ---"</t>
  </si>
  <si>
    <t xml:space="preserve">        If isRowVisible Then</t>
  </si>
  <si>
    <t xml:space="preserve">            ' STEP 3B: Check NONADRGENERATED status</t>
  </si>
  <si>
    <t xml:space="preserve">            nonADRGenerated = UCase(Trim(CStr(table4.Range.Cells(i, colNonADRGenerated).Value)))</t>
  </si>
  <si>
    <t xml:space="preserve">            Debug.Print "  NONADRGENERATED status: '" &amp; nonADRGenerated &amp; "'"</t>
  </si>
  <si>
    <t xml:space="preserve">            If nonADRGenerated = "YES" Then</t>
  </si>
  <si>
    <t xml:space="preserve">                Debug.Print "  SKIPPING: ADR document already generated for ID " &amp; rowID</t>
  </si>
  <si>
    <t xml:space="preserve">            ElseIf nonADRGenerated &lt;&gt; "NO" Then</t>
  </si>
  <si>
    <t xml:space="preserve">                Debug.Print "  SKIPPING: NONADRGENERATED status is '" &amp; nonADRGenerated &amp; "' (not 'NO') for ID " &amp; rowID</t>
  </si>
  <si>
    <t xml:space="preserve">            Debug.Print "  PROCESSING: NONADRGENERATED is 'NO' for ID " &amp; rowID</t>
  </si>
  <si>
    <t xml:space="preserve">            ' STEP 3C: Extract all Y values for this specific row from Table4</t>
  </si>
  <si>
    <t xml:space="preserve">            Y1_value = Trim(CStr(table4.Range.Cells(i, colWaybillNumber).Value))</t>
  </si>
  <si>
    <t xml:space="preserve">            Y2_value = Trim(CStr(table4.Range.Cells(i, colConfirmedDate).Value))</t>
  </si>
  <si>
    <t xml:space="preserve">            Y3_value = Trim(CStr(table4.Range.Cells(i, colCity).Value))</t>
  </si>
  <si>
    <t xml:space="preserve">            Y4_value = Trim(CStr(table4.Range.Cells(i, colCountry).Value))</t>
  </si>
  <si>
    <t xml:space="preserve">            ' STEP 3D: Validate data before processing</t>
  </si>
  <si>
    <t xml:space="preserve">            If Y1_value = "" Or Y2_value = "" Or Y3_value = "" Or Y4_value = "" Then</t>
  </si>
  <si>
    <t xml:space="preserve">                Debug.Print "    Y1 (WAYBILLNUMBER): '" &amp; Y1_value &amp; "'"</t>
  </si>
  <si>
    <t xml:space="preserve">                Debug.Print "    Y2 (CONFIRMEDDATE): '" &amp; Y2_value &amp; "'"</t>
  </si>
  <si>
    <t xml:space="preserve">                Debug.Print "    Y3 (CITY): '" &amp; Y3_value &amp; "'"</t>
  </si>
  <si>
    <t xml:space="preserve">                Debug.Print "    Y4 (COUNTRY): '" &amp; Y4_value &amp; "'"</t>
  </si>
  <si>
    <t xml:space="preserve">            Debug.Print "  Y values extracted for ID " &amp; rowID &amp; ":"</t>
  </si>
  <si>
    <t xml:space="preserve">            Debug.Print "    Y1* (WAYBILLNUMBER): '" &amp; Y1_value &amp; "'"</t>
  </si>
  <si>
    <t xml:space="preserve">            Debug.Print "    Y2* (CONFIRMEDDATE): '" &amp; Y2_value &amp; "'"</t>
  </si>
  <si>
    <t xml:space="preserve">            Debug.Print "    Y3* (CITY): '" &amp; Y3_value &amp; "'"</t>
  </si>
  <si>
    <t xml:space="preserve">            Debug.Print "    Y4* (COUNTRY): '" &amp; Y4_value &amp; "'"</t>
  </si>
  <si>
    <t xml:space="preserve">            ' STEP 3E: Find matching country in Table3 and get Z values</t>
  </si>
  <si>
    <t xml:space="preserve">            Dim foundCountryRow As Long</t>
  </si>
  <si>
    <t xml:space="preserve">            foundCountryRow = 0</t>
  </si>
  <si>
    <t xml:space="preserve">            For j = 2 To table3.Range.Rows.Count</t>
  </si>
  <si>
    <t xml:space="preserve">                If LCase(Trim(CStr(table3.Range.Cells(j, colT3Country).Value))) = LCase(Trim(Y4_value)) Then</t>
  </si>
  <si>
    <t xml:space="preserve">                    foundCountryRow = j</t>
  </si>
  <si>
    <t xml:space="preserve">                    Exit For</t>
  </si>
  <si>
    <t xml:space="preserve">                End If</t>
  </si>
  <si>
    <t xml:space="preserve">            Next j</t>
  </si>
  <si>
    <t xml:space="preserve">            If foundCountryRow = 0 Then</t>
  </si>
  <si>
    <t xml:space="preserve">                Debug.Print "  ERROR: Country '" &amp; Y4_value &amp; "' not found in Table3 for ID " &amp; rowID</t>
  </si>
  <si>
    <t xml:space="preserve">            ' Extract Z values from Table3</t>
  </si>
  <si>
    <t xml:space="preserve">            Z1_value = Trim(CStr(table3.Range.Cells(foundCountryRow, colZ1).Value))</t>
  </si>
  <si>
    <t xml:space="preserve">            Z2_value = Trim(CStr(table3.Range.Cells(foundCountryRow, colZ2).Value))</t>
  </si>
  <si>
    <t xml:space="preserve">            Z4_value = Trim(CStr(table3.Range.Cells(foundCountryRow, colZ4).Value))</t>
  </si>
  <si>
    <t xml:space="preserve">            Z5_value = Trim(CStr(table3.Range.Cells(foundCountryRow, colZ5).Value))</t>
  </si>
  <si>
    <t xml:space="preserve">            Debug.Print "  Z values extracted from Table3 for country " &amp; Y4_value &amp; ":"</t>
  </si>
  <si>
    <t xml:space="preserve">            Debug.Print "    Z1*: '" &amp; Z1_value &amp; "'"</t>
  </si>
  <si>
    <t xml:space="preserve">            Debug.Print "    Z2*: '" &amp; Z2_value &amp; "'"</t>
  </si>
  <si>
    <t xml:space="preserve">            Debug.Print "    Z4*: '" &amp; Z4_value &amp; "'"</t>
  </si>
  <si>
    <t xml:space="preserve">            Debug.Print "    Z5*: '" &amp; Z5_value &amp; "'"</t>
  </si>
  <si>
    <t xml:space="preserve">            ' STEP 3F: Clean values for file/folder names</t>
  </si>
  <si>
    <t xml:space="preserve">            Dim cleanY3 As String, cleanY2 As String, cleanY4 As String</t>
  </si>
  <si>
    <t xml:space="preserve">            cleanY3 = CleanFileName(Y3_value)</t>
  </si>
  <si>
    <t xml:space="preserve">            cleanY4 = CleanFileName(Y4_value)</t>
  </si>
  <si>
    <t xml:space="preserve">            ' Format date for folder name</t>
  </si>
  <si>
    <t xml:space="preserve">            If IsDate(Y2_value) Then</t>
  </si>
  <si>
    <t xml:space="preserve">                cleanY2 = Format(CDate(Y2_value), "yyyy-mm-dd")</t>
  </si>
  <si>
    <t xml:space="preserve">            Else</t>
  </si>
  <si>
    <t xml:space="preserve">                cleanY2 = CleanFileName(Y2_value)</t>
  </si>
  <si>
    <t xml:space="preserve">            ' STEP 3G: Create folder structure</t>
  </si>
  <si>
    <t xml:space="preserve">            cityFolder = basePath &amp; cleanY3</t>
  </si>
  <si>
    <t xml:space="preserve">            dateFolder = cityFolder &amp; "\" &amp; cleanY2</t>
  </si>
  <si>
    <t xml:space="preserve">            CreateFolderPath dateFolder</t>
  </si>
  <si>
    <t xml:space="preserve">            ' STEP 3H: Generate Word document</t>
  </si>
  <si>
    <t xml:space="preserve">            ' Replace placeholders in the document using SafeReplaceText for long content</t>
  </si>
  <si>
    <t xml:space="preserve">            Debug.Print "  Replacing Y placeholders..."</t>
  </si>
  <si>
    <t xml:space="preserve">            SafeReplaceText wdDoc, "Y2*", Y2_value</t>
  </si>
  <si>
    <t xml:space="preserve">            SafeReplaceText wdDoc, "Y3*", Y3_value</t>
  </si>
  <si>
    <t xml:space="preserve">            SafeReplaceText wdDoc, "Y4*", Y4_value</t>
  </si>
  <si>
    <t xml:space="preserve">            Debug.Print "  Replacing Z placeholders..."</t>
  </si>
  <si>
    <t xml:space="preserve">            SafeReplaceText wdDoc, "Z1*", Z1_value</t>
  </si>
  <si>
    <t xml:space="preserve">            SafeReplaceText wdDoc, "Z2*", Z2_value</t>
  </si>
  <si>
    <t xml:space="preserve">            SafeReplaceText wdDoc, "Z4*", Z4_value</t>
  </si>
  <si>
    <t xml:space="preserve">            SafeReplaceText wdDoc, "Z5*", Z5_value</t>
  </si>
  <si>
    <t xml:space="preserve">            ' Replace Y1* first, then replace the specific "Awb / albara: Y1*" pattern</t>
  </si>
  <si>
    <t xml:space="preserve">            Debug.Print "  Replacing Y1* placeholders..."</t>
  </si>
  <si>
    <t xml:space="preserve">            SafeReplaceText wdDoc, "Y1*", Y1_value</t>
  </si>
  <si>
    <t xml:space="preserve">            ' Now fix the "Awb / albara:" format by replacing the duplicated waybill</t>
  </si>
  <si>
    <t xml:space="preserve">            Debug.Print "  Fixing Awb / albara format..."</t>
  </si>
  <si>
    <t xml:space="preserve">                ' Look for "Awb / albara: [waybill] [waybill]" pattern and fix it</t>
  </si>
  <si>
    <t xml:space="preserve">                .Text = "Awb / albara: " &amp; Y1_value &amp; " " &amp; Y1_value</t>
  </si>
  <si>
    <t xml:space="preserve">                .Replacement.Text = "Awb / albara: " &amp; Y1_value</t>
  </si>
  <si>
    <t xml:space="preserve">            ' STEP 3I: Save document as PDF</t>
  </si>
  <si>
    <t xml:space="preserve">                fileName = "Water_Sample_Non_ADR_Declaration_" &amp; Y1_value &amp; "_" &amp; cleanY3 &amp; "_" &amp; cleanY4 &amp; "_" &amp; Format(CDate(Y2_value), "dd-mm-yyyy") &amp; ".pdf"</t>
  </si>
  <si>
    <t xml:space="preserve">                fileName = "Water_Sample_Non_ADR_Declaration_" &amp; Y1_value &amp; "_" &amp; cleanY3 &amp; "_" &amp; cleanY4 &amp; "_" &amp; cleanY2 &amp; ".pdf"</t>
  </si>
  <si>
    <t xml:space="preserve">            Dim savePath As String</t>
  </si>
  <si>
    <t xml:space="preserve">            Debug.Print "  Saving PDF: " &amp; savePath</t>
  </si>
  <si>
    <t xml:space="preserve">            ' Export as PDF</t>
  </si>
  <si>
    <t xml:space="preserve">            wdDoc.ExportAsFixedFormat _</t>
  </si>
  <si>
    <t xml:space="preserve">                OutputFileName:=savePath, _</t>
  </si>
  <si>
    <t xml:space="preserve">                ExportFormat:=17</t>
  </si>
  <si>
    <t xml:space="preserve">            wdDoc.Close False</t>
  </si>
  <si>
    <t xml:space="preserve">            ' STEP 3J: Mark as completed</t>
  </si>
  <si>
    <t xml:space="preserve">            table4.Range.Cells(i, colNonADRGenerated).Value = "YES"</t>
  </si>
  <si>
    <t xml:space="preserve">            Debug.Print "  SUCCESS: ADR document generated for ID " &amp; rowID</t>
  </si>
  <si>
    <t xml:space="preserve">            Application.StatusBar = "Generated " &amp; processedCount &amp; " ADR documents. Current: ID " &amp; rowID</t>
  </si>
  <si>
    <t xml:space="preserve">        Else</t>
  </si>
  <si>
    <t xml:space="preserve">            Debug.Print "  SKIPPED: Row " &amp; i &amp; " is hidden (filtered out)"</t>
  </si>
  <si>
    <t xml:space="preserve">    Debug.Print "ADR documents generated: " &amp; processedCount</t>
  </si>
  <si>
    <t xml:space="preserve">    MsgBox "ADR document generation completed!" &amp; vbCrLf &amp; vbCrLf &amp; _</t>
  </si>
  <si>
    <t>Sub CreateFolderPath(folderPath As String)</t>
  </si>
  <si>
    <t xml:space="preserve">    ' Creates the complete folder path if it doesn't exist</t>
  </si>
  <si>
    <t xml:space="preserve">    Dim pathParts() As String</t>
  </si>
  <si>
    <t xml:space="preserve">    Dim currentPath As String</t>
  </si>
  <si>
    <t xml:space="preserve">    ' Remove trailing backslash if present</t>
  </si>
  <si>
    <t xml:space="preserve">    If Right(folderPath, 1) = "\" Then</t>
  </si>
  <si>
    <t xml:space="preserve">        folderPath = Left(folderPath, Len(folderPath) - 1)</t>
  </si>
  <si>
    <t xml:space="preserve">    ' Split the path into parts</t>
  </si>
  <si>
    <t xml:space="preserve">    pathParts = Split(folderPath, "\")</t>
  </si>
  <si>
    <t xml:space="preserve">    ' Build path incrementally and create folders as needed</t>
  </si>
  <si>
    <t xml:space="preserve">    For i = 0 To UBound(pathParts)</t>
  </si>
  <si>
    <t xml:space="preserve">        If i = 0 Then</t>
  </si>
  <si>
    <t xml:space="preserve">            currentPath = pathParts(i)</t>
  </si>
  <si>
    <t xml:space="preserve">            currentPath = currentPath &amp; "\" &amp; pathParts(i)</t>
  </si>
  <si>
    <t xml:space="preserve">        ' Create folder if it doesn't exist</t>
  </si>
  <si>
    <t xml:space="preserve">        If Dir(currentPath, vbDirectory) = "" Then</t>
  </si>
  <si>
    <t xml:space="preserve">            MkDir currentPath</t>
  </si>
  <si>
    <t>Sub SafeReplaceText(wordDoc As Object, findText As String, replaceText As Variant)</t>
  </si>
  <si>
    <t xml:space="preserve">    Dim findReplace As Object</t>
  </si>
  <si>
    <t xml:space="preserve">    Dim textToReplace As String</t>
  </si>
  <si>
    <t xml:space="preserve">    ' Convert to string and handle empty values</t>
  </si>
  <si>
    <t xml:space="preserve">    If IsEmpty(replaceText) Or IsNull(replaceText) Then</t>
  </si>
  <si>
    <t xml:space="preserve">        textToReplace = ""</t>
  </si>
  <si>
    <t xml:space="preserve">    Else</t>
  </si>
  <si>
    <t xml:space="preserve">        textToReplace = CStr(replaceText)</t>
  </si>
  <si>
    <t xml:space="preserve">    ' Check if replacement text is too long (Word has a limit of about 255 characters for Find &amp; Replace)</t>
  </si>
  <si>
    <t xml:space="preserve">    If Len(textToReplace) &gt; 250 Then</t>
  </si>
  <si>
    <t xml:space="preserve">        ' Use alternative method for long text</t>
  </si>
  <si>
    <t xml:space="preserve">        ReplaceLongText wordDoc, findText, textToReplace</t>
  </si>
  <si>
    <t xml:space="preserve">        ' Use standard Find &amp; Replace for shorter text</t>
  </si>
  <si>
    <t xml:space="preserve">        Set findReplace = wordDoc.Content.Find</t>
  </si>
  <si>
    <t xml:space="preserve">        With findReplace</t>
  </si>
  <si>
    <t xml:space="preserve">            .Text = findText</t>
  </si>
  <si>
    <t xml:space="preserve">            .Replacement.Text = textToReplace</t>
  </si>
  <si>
    <t xml:space="preserve">            .Execute Replace:=2 ' wdReplaceAll</t>
  </si>
  <si>
    <t xml:space="preserve">        End With</t>
  </si>
  <si>
    <t>Sub ReplaceLongText(wordDoc As Object, findText As String, replaceText As String)</t>
  </si>
  <si>
    <t xml:space="preserve">    Dim docRange As Object</t>
  </si>
  <si>
    <t xml:space="preserve">    Set docRange = wordDoc.Content</t>
  </si>
  <si>
    <t xml:space="preserve">    With docRange.Find</t>
  </si>
  <si>
    <t xml:space="preserve">        .Text = findText</t>
  </si>
  <si>
    <t xml:space="preserve">        .Forward = True</t>
  </si>
  <si>
    <t xml:space="preserve">        .Wrap = 1</t>
  </si>
  <si>
    <t xml:space="preserve">        Do While .Execute</t>
  </si>
  <si>
    <t xml:space="preserve">            docRange.Text = replaceText</t>
  </si>
  <si>
    <t xml:space="preserve">            docRange.Collapse 0</t>
  </si>
  <si>
    <t xml:space="preserve">            docRange.End = wordDoc.Content.End</t>
  </si>
  <si>
    <t xml:space="preserve">        Loop</t>
  </si>
  <si>
    <t xml:space="preserve">    End With</t>
  </si>
  <si>
    <t>Strasse am Klarwerk 4</t>
  </si>
  <si>
    <t>Klarwerk Wassmannsdorf</t>
  </si>
  <si>
    <t>Schoenefeld</t>
  </si>
  <si>
    <t>LIST</t>
  </si>
  <si>
    <t>+3522758885069</t>
  </si>
  <si>
    <t>Toon</t>
  </si>
  <si>
    <t>Simon</t>
  </si>
  <si>
    <t>+390332783683</t>
  </si>
  <si>
    <t>Directorate D Sustainable Resources</t>
  </si>
  <si>
    <t>1ZRJ73868637003873</t>
  </si>
  <si>
    <t xml:space="preserve">1ZRJ73868608605090 </t>
  </si>
  <si>
    <t>Via dell'Equitazione 10</t>
  </si>
  <si>
    <t>+393477955740</t>
  </si>
  <si>
    <t>giuseppe.micciche@acespa.it; Alessandra.Mastrantonio@acespa.it</t>
  </si>
  <si>
    <t>Rome WWTP</t>
  </si>
  <si>
    <t>00144</t>
  </si>
  <si>
    <t>1ZRJ7386D911776281; 1ZRJ7386D907849871</t>
  </si>
  <si>
    <t>2995CHFL8C5</t>
  </si>
  <si>
    <t>1ZRJ73868609184105</t>
  </si>
  <si>
    <t>1ZRJ73868609872139</t>
  </si>
  <si>
    <t>1ZRJ73868608044946</t>
  </si>
  <si>
    <t>1ZRJ73868613065815</t>
  </si>
  <si>
    <t>1ZRJ73868627600184</t>
  </si>
  <si>
    <t>1ZRJ73868615808205</t>
  </si>
  <si>
    <t>1ZRJ73868631646994</t>
  </si>
  <si>
    <t xml:space="preserve">29V54GAF9R6 </t>
  </si>
  <si>
    <t xml:space="preserve">2955459GH6H </t>
  </si>
  <si>
    <t>Extern opgehaald</t>
  </si>
  <si>
    <t>Waybill niet gebruikt. Samples zijn samengevoegd met doos van waybill eindigend op 4946</t>
  </si>
  <si>
    <t>Leslie Ogorzaly - Cecile Walczak</t>
  </si>
  <si>
    <t>29FJ6DG6GPB</t>
  </si>
  <si>
    <t>Micciche Giuseppe / Mastrantonio Alessandra</t>
  </si>
  <si>
    <t>Chiedere di Micciche Giuseppe o Mastrantonio Alessandra</t>
  </si>
  <si>
    <t>2995CG48NN4</t>
  </si>
  <si>
    <t>Barcode Sequence</t>
  </si>
  <si>
    <t>0082_WWI_00001_S5G_01;0082_WWI_00001_S5G_02;0082_WWI_00001_S5G_03;0082_WWI_00001_S5G_04;0082_WWI_00001_S5G_05;0082_WWI_00001_S5G_06;0082_WWI_00001_S5G_07;0082_WWI_00001_S5G_08</t>
  </si>
  <si>
    <t>0082_WWI_00001_C7K_01;0082_WWI_00001_C7K_02;0082_WWI_00001_C7K_03;0082_WWI_00001_C7K_04;0082_WWI_00001_C7K_05;0082_WWI_00001_C7K_06;0082_WWI_00001_C7K_07;0082_WWI_00001_C7K_08</t>
  </si>
  <si>
    <t>0082_WWI_00001_F3W_01;0082_WWI_00001_F3W_02;0082_WWI_00001_F3W_03;0082_WWI_00001_F3W_04;0082_WWI_00001_F3W_05;0082_WWI_00001_F3W_06;0082_WWI_00001_F3W_07;0082_WWI_00001_F3W_08</t>
  </si>
  <si>
    <t>0082_WWI_00001_Y9B_01;0082_WWI_00001_Y9B_02;0082_WWI_00001_Y9B_03;0082_WWI_00001_Y9B_04;0082_WWI_00001_Y9B_05;0082_WWI_00001_Y9B_06;0082_WWI_00001_Y9B_07;0082_WWI_00001_Y9B_08</t>
  </si>
  <si>
    <t>J3T</t>
  </si>
  <si>
    <t>F9H</t>
  </si>
  <si>
    <t>T6M</t>
  </si>
  <si>
    <t>Leopoldstrasse 5</t>
  </si>
  <si>
    <t>Stadtentwässerung Frankfurt am Main</t>
  </si>
  <si>
    <t>IT2</t>
  </si>
  <si>
    <t>ANTONIO VITALETTI</t>
  </si>
  <si>
    <t>Rome Sud (Depuratore)</t>
  </si>
  <si>
    <t>VIA FRATELLI WRIGHT (DEPURATORE BIOLOGICO)</t>
  </si>
  <si>
    <t>FIUMICINO</t>
  </si>
  <si>
    <t>Rome</t>
  </si>
  <si>
    <t>ANTONIO.VITALETTI@ADR.IT</t>
  </si>
  <si>
    <t>+39 3401559229</t>
  </si>
  <si>
    <t>00054</t>
  </si>
  <si>
    <t>Noi, Eurofins Analytico BV (DENOMINAZIONE SOCIALE DELL’AZIENDA), con la presente dichiariamo che il prodotto Campione d’Acqua, costituito essenzialmente da acqua, non è tossico, esplosivo, ossidante, infettivo, radioattivo, corrosivo, magnetico né pericoloso per l’ambiente, e non è infiammabile. Il punto di infiammabilità in vaso chiuso è &gt;100°C.
Pertanto, in conformità con le normative IATA e ICAO (Allegato 18) relative alle merci pericolose, il presente prodotto non è classificato come merce pericolosa e non rappresenta alcun rischio per il trasporto aereo.</t>
  </si>
  <si>
    <t>A CHI DI COMPETENZA</t>
  </si>
  <si>
    <t>Luogo, Data</t>
  </si>
  <si>
    <t>Nome, Firma, Timbro Aziendale</t>
  </si>
  <si>
    <t>1ZRJ73869126507910</t>
  </si>
  <si>
    <t>Maarten</t>
  </si>
  <si>
    <t>Maikel</t>
  </si>
  <si>
    <t>1ZRJ73868628409925</t>
  </si>
  <si>
    <t>1ZRJ73868626794334</t>
  </si>
  <si>
    <t>1ZRJ73868612512388</t>
  </si>
  <si>
    <t>1ZRJ73868600445198</t>
  </si>
  <si>
    <t>1ZRJ73868605376405</t>
  </si>
  <si>
    <t>1ZRJ73868627401961</t>
  </si>
  <si>
    <t>1ZRJ73868623875976</t>
  </si>
  <si>
    <t>0082_WWI_00002_H2N_08
0082_WWI_00002_H2N_07
0082_WWI_00002_H2N_06
0082_WWI_00002_H2N_05
0082_WWI_00002_H2N_04
0082_WWI_00002_H2N_03
0082_WWI_00002_H2N_02
0082_WWI_00002_H2N_01</t>
  </si>
  <si>
    <t>0082_WWI_00002_T8P_08
0082_WWI_00002_T8P_07
0082_WWI_00002_T8P_06
0082_WWI_00002_T8P_05
0082_WWI_00002_T8P_04
0082_WWI_00002_T8P_03
0082_WWI_00002_T8P_02
0082_WWI_00002_T8P_01</t>
  </si>
  <si>
    <t>0082_WWI_00002_C7K_08
0082_WWI_00002_C7K_07
0082_WWI_00002_C7K_06
0082_WWI_00002_C7K_05
0082_WWI_00002_C7K_04
0082_WWI_00002_C7K_03
0082_WWI_00002_C7K_02
0082_WWI_00002_C7K_01</t>
  </si>
  <si>
    <t>0082_WWI_00002_S5G_08
0082_WWI_00002_S5G_07
0082_WWI_00002_S5G_06
0082_WWI_00002_S5G_05
0082_WWI_00002_S5G_04
0082_WWI_00002_S5G_03
0082_WWI_00002_S5G_02
0082_WWI_00002_S5G_01</t>
  </si>
  <si>
    <t>0082_WWI_00002_F3W_08
0082_WWI_00002_F3W_07
0082_WWI_00002_F3W_06
0082_WWI_00002_F3W_05
0082_WWI_00002_F3W_04
0082_WWI_00002_F3W_03
0082_WWI_00002_F3W_02
0082_WWI_00002_F3W_01</t>
  </si>
  <si>
    <t>0082_WWI_00001_7X2_01
0082_WWI_00001_7X2_02
0082_WWI_00001_7X2_03
0082_WWI_00001_7X2_04
0082_WWI_00001_7X2_05
0082_WWI_00001_7X2_06
0082_WWI_00001_7X2_07
0082_WWI_00001_7X2_08</t>
  </si>
  <si>
    <t>0082_WWI_00001_K8J_01
0082_WWI_00001_K8J_02
0082_WWI_00001_K8J_03
0082_WWI_00001_K8J_04
0082_WWI_00001_K8J_05
0082_WWI_00001_K8J_06
0082_WWI_00001_K8J_07
0082_WWI_00001_K8J_08</t>
  </si>
  <si>
    <t>0082_WWI_00001_Y7B_01;0082_WWI_00001_Y7B_02;0082_WWI_00001_Y7B_03;0082_WWI_00001_Y7B_04;0082_WWI_00001_Y7B_05;0082_WWI_00001_Y7B_06;0082_WWI_00001_Y7B_07;0082_WWI_00001_Y7B_08;</t>
  </si>
  <si>
    <t>CZ1</t>
  </si>
  <si>
    <t>Ladislava Mateju</t>
  </si>
  <si>
    <t>Czech Republic</t>
  </si>
  <si>
    <t>100 00</t>
  </si>
  <si>
    <t>Praha 10</t>
  </si>
  <si>
    <t>Praha</t>
  </si>
  <si>
    <t>Šrobárova 49/48</t>
  </si>
  <si>
    <t>Státní zdravotní ústav</t>
  </si>
  <si>
    <t xml:space="preserve"> +420 732 150 321 </t>
  </si>
  <si>
    <t>ladislava.mateju@szu.gov.cz</t>
  </si>
  <si>
    <t>Prague WWTP FLOW 1</t>
  </si>
  <si>
    <t>Prague WWTP FLOW 2</t>
  </si>
  <si>
    <t>FromSite4</t>
  </si>
  <si>
    <t>FromSite5</t>
  </si>
  <si>
    <t>Prague Airport</t>
  </si>
  <si>
    <t>Prague Hospital</t>
  </si>
  <si>
    <t>CZ2</t>
  </si>
  <si>
    <t>Marta Kořínková, Anna Kotrbová Kozak</t>
  </si>
  <si>
    <t>Delivery address kits Czech Republic</t>
  </si>
  <si>
    <t>Pick-up address samples Czech Republic</t>
  </si>
  <si>
    <t>INTERNAL NOTES</t>
  </si>
  <si>
    <t xml:space="preserve">marta.korinkova@szu.gov.cz; anna.kotrbova@szu.gov.cz </t>
  </si>
  <si>
    <t>Prague National Institute</t>
  </si>
  <si>
    <t>1ZRJ73868635402025</t>
  </si>
  <si>
    <t>1ZRJ73868631890434</t>
  </si>
  <si>
    <t>1ZRJ73868625597246</t>
  </si>
  <si>
    <t>1ZRJ73868628938452</t>
  </si>
  <si>
    <t>Komu to náleží</t>
  </si>
  <si>
    <t>„My, společnost Eurofins Analytico BV, tímto prohlašujeme, že produkt ...vzorek vody..., který se v podstatě skládá z vody, není toxický, výbušný, oxidační, infekční, radioaktivní, korozivní, magnetický ani nebezpečný pro životní prostředí a je nehořlavý. Bod vzplanutí v uzavřeném kelímku je &gt;100°C. Proto v souladu s předpisy IATA a ICAO (Příloha 18) pro nebezpečné zboží není tento produkt klasifikován jako nebezpečné zboží a nepředstavuje žádné riziko pro leteckou dopravu."</t>
  </si>
  <si>
    <t>Místo, datum</t>
  </si>
  <si>
    <t>Jméno, podpis, firemní razítko</t>
  </si>
  <si>
    <t>29TJA6AK52R</t>
  </si>
  <si>
    <t>1ZRJ73868615872305 failed (created by Simon), reason; stuck at customs, used import control instead of normal outbound. New T&amp;T is DHL.</t>
  </si>
  <si>
    <t>1ZRJ7386D937952309</t>
  </si>
  <si>
    <t>29SJA89BEGM</t>
  </si>
  <si>
    <t>0082_WWI_00001_V6L_08
0082_WWI_00001_V6L_07
0082_WWI_00001_V6L_06
0082_WWI_00001_V6L_05
0082_WWI_00001_V6L_04
0082_WWI_00001_V6L_03
0082_WWI_00001_V6L_02
0082_WWI_00001_V6L_01</t>
  </si>
  <si>
    <t>0082_WWI_00001_J5T_08
0082_WWI_00001_J5T_07
0082_WWI_00001_J5T_06
0082_WWI_00001_J5T_05
0082_WWI_00001_J5T_04
0082_WWI_00001_J5T_03
0082_WWI_00001_J5T_02
0082_WWI_00001_J5T_01</t>
  </si>
  <si>
    <t>0082_WWI_00001_D3R_08
0082_WWI_00001_D3R_07
0082_WWI_00001_D3R_06
0082_WWI_00001_D3R_05
0082_WWI_00001_D3R_04
0082_WWI_00001_D3R_03
0082_WWI_00001_D3R_02
0082_WWI_00001_D3R_01</t>
  </si>
  <si>
    <t>0082_WWI_00002_D3R_08
0082_WWI_00002_D3R_07
0082_WWI_00002_D3R_06
0082_WWI_00002_D3R_05
0082_WWI_00002_D3R_04
0082_WWI_00002_D3R_03
0082_WWI_00002_D3R_02
0082_WWI_00002_D3R_01</t>
  </si>
  <si>
    <t>29FJAD95759</t>
  </si>
  <si>
    <t>29K5G6AOG65</t>
  </si>
  <si>
    <t>CY1</t>
  </si>
  <si>
    <t>Charalambos Papanicolaou</t>
  </si>
  <si>
    <t>Cyprus</t>
  </si>
  <si>
    <t>cpapanicolaou@eoal.org.cy</t>
  </si>
  <si>
    <t>00357 24 501264</t>
  </si>
  <si>
    <t>Larnaca WWTP</t>
  </si>
  <si>
    <t>Larnaca Airport</t>
  </si>
  <si>
    <t>1ZRJ73868600125293</t>
  </si>
  <si>
    <t>1ZRJ73868600320509</t>
  </si>
  <si>
    <t>29J5HN0F2EN</t>
  </si>
  <si>
    <t>Larnaca</t>
  </si>
  <si>
    <t>1ZRJ73868605450119</t>
  </si>
  <si>
    <t>1ZRJ73868613530124</t>
  </si>
  <si>
    <t>Προς όποιον αφορά,</t>
  </si>
  <si>
    <t>«Εμείς, η Eurofins Analytico BV, δηλώνουμε ότι το προϊόν ...δείγμα νερού..., το οποίο αποτελείται ουσιαστικά από νερό, δεν είναι τοξικό, εκρηκτικό, οξειδωτικό, μολυσματικό, ραδιενεργό, διαβρωτικό, μαγνητικό ούτε επικίνδυνο για το περιβάλλον και δεν είναι εύφλεκτο. Το σημείο ανάφλεξης σε κλειστό δοχείο είναι &gt;100°C.
Ως εκ τούτου, σύμφωνα με τους κανονισμούς IATA και ICAO (Παράρτημα 18) για επικίνδυνα αγαθά, αυτό το προϊόν δεν ταξινομείται ως επικίνδυνο αγαθό και δεν αποτελεί κίνδυνο για αεροπορική μεταφορά.»</t>
  </si>
  <si>
    <t>Τόπος, ημερομηνία
Όνομα, υπογραφή, σφραγίδα εταιρείας</t>
  </si>
  <si>
    <t>0082_WWI_00001_Q9F_08
0082_WWI_00001_Q9F_07
0082_WWI_00001_Q9F_06
0082_WWI_00001_Q9F_05
0082_WWI_00001_Q9F_04
0082_WWI_00001_Q9F_03
0082_WWI_00001_Q9F_02
0082_WWI_00001_Q9F_01 &amp; 0082_WWI_00001_Z4M_08
0082_WWI_00001_Z4M_07
0082_WWI_00001_Z4M_06
0082_WWI_00001_Z4M_05
0082_WWI_00001_Z4M_04
0082_WWI_00001_Z4M_03
0082_WWI_00001_Z4M_02
0082_WWI_00001_Z4M_01</t>
  </si>
  <si>
    <t>0082_WWI_00002_J3T_08
0082_WWI_00002_J3T_07
0082_WWI_00002_J3T_06
0082_WWI_00002_J3T_05
0082_WWI_00002_J3T_04
0082_WWI_00002_J3T_03
0082_WWI_00002_J3T_02
0082_WWI_00002_J3T_01 &amp; 0082_WWI_00002_F9H_08
0082_WWI_00002_F9H_07
0082_WWI_00002_F9H_06
0082_WWI_00002_F9H_05
0082_WWI_00002_F9H_04
0082_WWI_00002_F9H_03
0082_WWI_00002_F9H_02
0082_WWI_00002_F9H_01</t>
  </si>
  <si>
    <t xml:space="preserve"> </t>
  </si>
  <si>
    <t>Return label gemaakt door issues UPS portal, 2965G7FLG8G failed.</t>
  </si>
  <si>
    <t>29WJC6B6SLN</t>
  </si>
  <si>
    <t>Depuratore Biologico (Fuimicino Airport)</t>
  </si>
  <si>
    <t>1ZRJ7386D912816539</t>
  </si>
  <si>
    <t>1ZRJ73868622967299</t>
  </si>
  <si>
    <t>1ZRJ7386D915405343</t>
  </si>
  <si>
    <t>1ZRJ73868635120508</t>
  </si>
  <si>
    <t>RomeAirport</t>
  </si>
  <si>
    <t>29K5I8D1FE7</t>
  </si>
  <si>
    <t>2945I6AFIOJ</t>
  </si>
  <si>
    <t>Larnaka Water Board Office</t>
  </si>
  <si>
    <t>Adamantiou Korai street 12</t>
  </si>
  <si>
    <t>Larnaca District Local Government Organization offices</t>
  </si>
  <si>
    <t>Address changed, first shipment to old address.</t>
  </si>
  <si>
    <t>IT1-L</t>
  </si>
  <si>
    <t>No.</t>
  </si>
  <si>
    <t>From</t>
  </si>
  <si>
    <t>To</t>
  </si>
  <si>
    <t>Type of Shipment</t>
  </si>
  <si>
    <t>Type of Failure</t>
  </si>
  <si>
    <t>Reason</t>
  </si>
  <si>
    <t>Caused By</t>
  </si>
  <si>
    <t>0082_WWI_00002_Y7B_01</t>
  </si>
  <si>
    <t>0082_WWI_00002_T6M_01</t>
  </si>
  <si>
    <t>Barneveld</t>
  </si>
  <si>
    <t>Prague</t>
  </si>
  <si>
    <t>Outbound</t>
  </si>
  <si>
    <t>Delivery attempted</t>
  </si>
  <si>
    <t>Business was closed</t>
  </si>
  <si>
    <t>Super Site</t>
  </si>
  <si>
    <t>Luxemburg</t>
  </si>
  <si>
    <t>Sample</t>
  </si>
  <si>
    <t>Samples not collected</t>
  </si>
  <si>
    <t>Unknown</t>
  </si>
  <si>
    <t>UPS</t>
  </si>
  <si>
    <t>Incorrect waybill</t>
  </si>
  <si>
    <t>Samples not delivered</t>
  </si>
  <si>
    <t>Eurofins</t>
  </si>
  <si>
    <t>1ZRJ73868614153914</t>
  </si>
  <si>
    <t xml:space="preserve">Contact gatekeeper of treatment plant to inform that you need to collect samples. She reminded to pick up the parcel at the laboratory, asking for Samantha Cytner. </t>
  </si>
  <si>
    <t>Preferred Collection Location</t>
  </si>
  <si>
    <t>Reception</t>
  </si>
  <si>
    <t xml:space="preserve">
29FJGBJO7R2; 29TJB711LF5 (cancelled)</t>
  </si>
  <si>
    <t>1ZRJ73868614153914 (failed, created by Simon: reason: used NL instead of IT as country) --&gt; uiteindelijk toch gestuurd; 1ZRJ73868634170064 staat ook nog in Italie voor retour.</t>
  </si>
  <si>
    <t>Remco</t>
  </si>
  <si>
    <t>1ZRJ73868626340172</t>
  </si>
  <si>
    <t>1ZRJ73868627984583</t>
  </si>
  <si>
    <t>1ZRJ73868624287396</t>
  </si>
  <si>
    <t>1ZRJ73868633264607</t>
  </si>
  <si>
    <t>1ZRJ73868627602637</t>
  </si>
  <si>
    <t>1ZRJ7386D924044118</t>
  </si>
  <si>
    <t>1ZRJ7386D907005497</t>
  </si>
  <si>
    <t>1ZRJ73868634634125</t>
  </si>
  <si>
    <t>1ZRJ73868619146173</t>
  </si>
  <si>
    <t>1ZRJ73868612704582</t>
  </si>
  <si>
    <t>2925NJRL8DA</t>
  </si>
  <si>
    <t>1ZRJ73868614858270</t>
  </si>
  <si>
    <t>1ZRJ73868604160685</t>
  </si>
  <si>
    <t>1ZRJ73868629226657</t>
  </si>
  <si>
    <t>1ZRJ73868603645396</t>
  </si>
  <si>
    <t>1ZRJ73868616704600</t>
  </si>
  <si>
    <t>1ZRJ73868607658213</t>
  </si>
  <si>
    <t>1ZRJ73868608922229</t>
  </si>
  <si>
    <t>1ZRJ73868608954329</t>
  </si>
  <si>
    <t>Toon/Simon</t>
  </si>
  <si>
    <t>0082_WWI_00002_V2L_01</t>
  </si>
  <si>
    <t>0082_WWI_00003_H2N_01</t>
  </si>
  <si>
    <t>0082_WWI_00002_Z4M_01</t>
  </si>
  <si>
    <t>0082_WWI_00002_Q9F_01</t>
  </si>
  <si>
    <t>0082_WWI_00002_J5T_01</t>
  </si>
  <si>
    <t>0082_WWI_00002_V6L_01</t>
  </si>
  <si>
    <t>0082_WWI_00003_D3R_01</t>
  </si>
  <si>
    <t>0082_WWI_00004_D3R_01</t>
  </si>
  <si>
    <t>Berlin</t>
  </si>
  <si>
    <t>Parcel not ready</t>
  </si>
  <si>
    <t>+420 267 082 456; +420 776 199 895;  +420 777 139 700</t>
  </si>
  <si>
    <t>1ZRJ7386DK06778024;1ZRJ7386DK04720437;1ZRJ7386DK05805246;1ZRJ7386DK01168451</t>
  </si>
  <si>
    <t>1ZRJ7386D334988074;1ZRJ7386D332128489</t>
  </si>
  <si>
    <t>1ZRJ7386D300074070;1ZRJ7386D307488487</t>
  </si>
  <si>
    <t>1ZRJ7386D914832553;1ZRJ7386D907674167</t>
  </si>
  <si>
    <t>1ZRJ7386D919152636;1ZRJ7386D916845447</t>
  </si>
  <si>
    <t>1ZRJ7386D910528701;1ZRJ7386D908906315</t>
  </si>
  <si>
    <t>1ZRJ7386DK26826532;1ZRJ7386DK25197349;1ZRJ7386DK32562556;1ZRJ7386DK27578166</t>
  </si>
  <si>
    <t>1ZRJ7386D917936650;1ZRJ7386D917402262</t>
  </si>
  <si>
    <t>1ZRJ7386D919728738</t>
  </si>
  <si>
    <t>29FJI0A1L19 (failed); 2965M5KE85O (failed); 29K5MNJ1B39 (failed); 29XJAJA64J9 (failed)</t>
  </si>
  <si>
    <t>Notified Simona</t>
  </si>
  <si>
    <t>y</t>
  </si>
  <si>
    <r>
      <t>1ZRJ7386D936772210;</t>
    </r>
    <r>
      <rPr>
        <sz val="11"/>
        <color rgb="FFFF0000"/>
        <rFont val="Aptos Narrow"/>
        <family val="2"/>
        <scheme val="minor"/>
      </rPr>
      <t>1ZRJ7386D922106224</t>
    </r>
  </si>
  <si>
    <r>
      <t>1ZRJ7386D906480752;</t>
    </r>
    <r>
      <rPr>
        <sz val="11"/>
        <color rgb="FFFF0000"/>
        <rFont val="Aptos Narrow"/>
        <family val="2"/>
        <scheme val="minor"/>
      </rPr>
      <t>1ZRJ7386D914170367</t>
    </r>
  </si>
  <si>
    <t>DE4</t>
  </si>
  <si>
    <t>Dr. Sarah Eßer, Tobias Häselhoff</t>
  </si>
  <si>
    <t>sarah.esser@duesseldorf.de, tobias.haeselhoff@duesseldorf.de</t>
  </si>
  <si>
    <t>+49 211 89 97470, +49 211 89 97471</t>
  </si>
  <si>
    <t>Stadtentwaesserungsbetrieb Duesseldorf</t>
  </si>
  <si>
    <t>Chemisch-Biologische Laboratorien</t>
  </si>
  <si>
    <t>Auf dem Draap 15</t>
  </si>
  <si>
    <t>Dusseldorf</t>
  </si>
  <si>
    <t>Dusseldorf WWTP 2101</t>
  </si>
  <si>
    <t>Dusseldorf WWTP 601</t>
  </si>
  <si>
    <t>1ZRJ73868606205598</t>
  </si>
  <si>
    <t>1ZRJ73868617792808</t>
  </si>
  <si>
    <t>0082_WWI_00002_7X2_01</t>
  </si>
  <si>
    <t>0082_WWI_00002_K8J_01</t>
  </si>
  <si>
    <t>0082_WWI_00003_F9H_01</t>
  </si>
  <si>
    <t>0082_WWI_00003_C7K_01</t>
  </si>
  <si>
    <t>0082_WWI_00003_S5G_01</t>
  </si>
  <si>
    <t>0082_WWI_00004_T6M_01</t>
  </si>
  <si>
    <t>Prague - National Institute of Public Health</t>
  </si>
  <si>
    <t>(sample pick-up)</t>
  </si>
  <si>
    <t>(kits)</t>
  </si>
  <si>
    <t>0082_WWI_00003_Y7B_01</t>
  </si>
  <si>
    <t>0082_WWI_00001_N1Q_01</t>
  </si>
  <si>
    <t>0082_WWI_00001_K7S_01</t>
  </si>
  <si>
    <t>Toon / Maikel</t>
  </si>
  <si>
    <t>Tom &amp; Jason</t>
  </si>
  <si>
    <t>1ZRJ73868621047490</t>
  </si>
  <si>
    <t>1ZRJ73868632448705</t>
  </si>
  <si>
    <t>Office</t>
  </si>
  <si>
    <t>Chiedere di ANTONIO VITALETTI, Depuratore Biologico</t>
  </si>
  <si>
    <t>294JNF3M29G</t>
  </si>
  <si>
    <t>Ask for Charalambos Papanicolaou</t>
  </si>
  <si>
    <t>29260JIS2RF</t>
  </si>
  <si>
    <t>Jason</t>
  </si>
  <si>
    <t>1ZRJ7386DK22717541</t>
  </si>
  <si>
    <t>1ZRJ7386D906938526</t>
  </si>
  <si>
    <t>1ZRJ7386D907600932</t>
  </si>
  <si>
    <t>Collection booked by</t>
  </si>
  <si>
    <t>1ZRJ73868612205746</t>
  </si>
  <si>
    <t>1ZRJ73868603888955</t>
  </si>
  <si>
    <t>1ZRJ73868612826567</t>
  </si>
  <si>
    <t>1ZRJ73868601834579</t>
  </si>
  <si>
    <t>1ZRJ73868615968980</t>
  </si>
  <si>
    <t>1ZRJ73868616125790</t>
  </si>
  <si>
    <t>1ZRJ73868616641008</t>
  </si>
  <si>
    <t>1ZRJ73868606890615</t>
  </si>
  <si>
    <t>1ZRJ73868616890623</t>
  </si>
  <si>
    <t>1ZRJ73868606897038</t>
  </si>
  <si>
    <t>Simona Tavazzi/Bernd M. Gawlik</t>
  </si>
  <si>
    <t>1ZRJ73868634930751</t>
  </si>
  <si>
    <t>1ZRJ73868638314366</t>
  </si>
  <si>
    <t>1ZRJ73868633764371</t>
  </si>
  <si>
    <t>1ZRJ73868601005849</t>
  </si>
  <si>
    <t>1ZRJ73868637216787</t>
  </si>
  <si>
    <t>29K62901HPH</t>
  </si>
  <si>
    <t>29ZJPEEFJDK</t>
  </si>
  <si>
    <t>29SJP1N6ID4</t>
  </si>
  <si>
    <t>29K625ES0GB</t>
  </si>
  <si>
    <t>29K62KJ7ARR</t>
  </si>
  <si>
    <t>294626L92SO</t>
  </si>
  <si>
    <t>29262IG969R</t>
  </si>
  <si>
    <t>On arrival, please call 2623 at the first-floor reception</t>
  </si>
  <si>
    <t>Tom &amp; Remco</t>
  </si>
  <si>
    <t xml:space="preserve">+49 176 8030 2300 / +49 162 2759 907. </t>
  </si>
  <si>
    <t>jasmin.javanmardi@med.uni-muenchen.de; jessica.neusser@lgl.bayern.de</t>
  </si>
  <si>
    <t>1ZRJ73868628672800</t>
  </si>
  <si>
    <t>0082_WWI_00002_T8P_08;0082_WWI_00002_T8P_07;0082_WWI_00002_T8P_06;0082_WWI_00002_T8P_05;0082_WWI_00002_T8P_04;0082_WWI_00002_T8P_03;0082_WWI_00002_T8P_02;0082_WWI_00002_T8P_01</t>
  </si>
  <si>
    <t>Paket im Labor abholen (3e etage), Samantha anrufen +493086447021</t>
  </si>
  <si>
    <t>298JPHONKIB; 298K21432J0</t>
  </si>
  <si>
    <t>1st collection failed on 01/07. 2nd collection scheduled for 02/07 09-12 new ID 298K21432J0</t>
  </si>
  <si>
    <t>0082_WWI_00003_Q9F_01</t>
  </si>
  <si>
    <t>0082_WWI_00003_Z4M_01</t>
  </si>
  <si>
    <t>0082_WWI_00003_V6L_01</t>
  </si>
  <si>
    <t>0082_WWI_00005_D3R_01</t>
  </si>
  <si>
    <t>0082_WWI_00003_J5T_01</t>
  </si>
  <si>
    <t>0082_WWI_00006_D3R_01</t>
  </si>
  <si>
    <t>0082_WWI_00004_Y7B_01</t>
  </si>
  <si>
    <t>0082_WWI_00004_F3W_01</t>
  </si>
  <si>
    <t>0082_WWI_00004_F9H_01</t>
  </si>
  <si>
    <t>0082_WWI_00004_T8P_01</t>
  </si>
  <si>
    <t>0082_WWI_00004_H2N_01</t>
  </si>
  <si>
    <t>0082_WWI_00002_K7S_01</t>
  </si>
  <si>
    <t>0082_WWI_00002_N1Q_01</t>
  </si>
  <si>
    <t>0082_WWI_00003_7X2_01</t>
  </si>
  <si>
    <t>0082_WWI_00003_K8J_01</t>
  </si>
  <si>
    <t>0082_WWI_00004_S5G_01</t>
  </si>
  <si>
    <t>0082_WWI_00004_C7K_01</t>
  </si>
  <si>
    <t>Toon/Maikel</t>
  </si>
  <si>
    <t>Toon/Remco</t>
  </si>
  <si>
    <t>New scheduled 10:20 AM - 1PM 04/07 Coll ID: 29WK5L0BBFG</t>
  </si>
  <si>
    <t>Tom; Jason</t>
  </si>
  <si>
    <t xml:space="preserve">Access through Georgenstrasse, through the gate, enter the building through the Ambulance, up the stairs to Floor 1, first door to the left </t>
  </si>
  <si>
    <t>1ZRJ73868606125540 niet gebruikt. 1ZRJ73868634170064 is gebruikt, deze is van sampling date 11/06/2025.</t>
  </si>
  <si>
    <t>Tom + Remco</t>
  </si>
  <si>
    <t>1ZRJ73868630674830</t>
  </si>
  <si>
    <t>0082_WWI_00004_J3T_01</t>
  </si>
  <si>
    <t>Toon/Maikel/Simon</t>
  </si>
  <si>
    <t>29Q6G8MNDCJ</t>
  </si>
  <si>
    <t>2946G2SSF7C</t>
  </si>
  <si>
    <t>29RKALEBLCH</t>
  </si>
  <si>
    <t>297KA8QI69P</t>
  </si>
  <si>
    <t>29Z6GB2JQOA</t>
  </si>
  <si>
    <t>29Q6G6M3RSI</t>
  </si>
  <si>
    <t>29Q6G8GPA57</t>
  </si>
  <si>
    <t>29V6G5RRFO0</t>
  </si>
  <si>
    <t>29Z6GABPRDH</t>
  </si>
  <si>
    <t>2946G4ENK7O</t>
  </si>
  <si>
    <t>LT1</t>
  </si>
  <si>
    <t>Tadas Kriksciunas</t>
  </si>
  <si>
    <t>Lithuania</t>
  </si>
  <si>
    <t>Vilnius</t>
  </si>
  <si>
    <t>tadas.kriksciunas@nvspl.lt</t>
  </si>
  <si>
    <t>Vilnius WWTP</t>
  </si>
  <si>
    <t>Vilnius Bus Terminal</t>
  </si>
  <si>
    <t>Vilnius Train Station</t>
  </si>
  <si>
    <t>through the main entrance and on the table further, can be seen from the entrance</t>
  </si>
  <si>
    <t xml:space="preserve">Vilnius National Public Health Laboratory </t>
  </si>
  <si>
    <t>ADDITIONAL NOTE</t>
  </si>
  <si>
    <t>+37060875506</t>
  </si>
  <si>
    <t>1ZRJ7386D932637641;1ZRJ7386D925674856;1ZRJ7386D927642467</t>
  </si>
  <si>
    <t>1ZRJ7386DK29247591;1ZRJ7386D904753050</t>
  </si>
  <si>
    <t>1ZRJ7386DK14496902;1ZRJ7386DK12522510</t>
  </si>
  <si>
    <t>1ZRJ7386D909792884;1ZRJ7386D917245692</t>
  </si>
  <si>
    <t>1ZRJ7386D919245643;1ZRJ7386D916464859;1ZRJ7386D913978461;1ZRJ7386D900202474</t>
  </si>
  <si>
    <t>1ZRJ7386D909626429;1ZRJ7386D910544836</t>
  </si>
  <si>
    <t>1ZRJ7386D920140315;1ZRJ7386D933818328</t>
  </si>
  <si>
    <t>1ZRJ7386D933932276;1ZRJ7386D937680684</t>
  </si>
  <si>
    <t>1ZRJ7386D903210370;1ZRJ7386D917856782</t>
  </si>
  <si>
    <t>1ZRJ7386D905337963;1ZRJ7386D901641971</t>
  </si>
  <si>
    <t>1ZRJ7386D312045141;1ZRJ7386D300944353</t>
  </si>
  <si>
    <r>
      <t>1ZRJ7386D937936283;</t>
    </r>
    <r>
      <rPr>
        <sz val="11"/>
        <color rgb="FFFF0000"/>
        <rFont val="Aptos Narrow"/>
        <family val="2"/>
        <scheme val="minor"/>
      </rPr>
      <t>1ZRJ7386D922647097</t>
    </r>
  </si>
  <si>
    <t>1ZRJ7386D912665925;1ZRJ7386D918864333</t>
  </si>
  <si>
    <t>1ZRJ7386G126928207;1ZRJ7386G129699816</t>
  </si>
  <si>
    <t>1ZRJ7386G135538237;1ZRJ7386G124717046</t>
  </si>
  <si>
    <t>1ZRJ73868621836477</t>
  </si>
  <si>
    <t>1ZRJ73868622592881</t>
  </si>
  <si>
    <t>1ZRJ73868624887694</t>
  </si>
  <si>
    <t>Kam tai gali būti aktualu</t>
  </si>
  <si>
    <t>Vieta, data</t>
  </si>
  <si>
    <t>Vieta, data Vardas, pavardė, parašas, įmonės antspaudas</t>
  </si>
  <si>
    <t>Mes, „Eurofins Analytico BV“, pareiškiame, kad produktas ...vandens mėginys..., kurį iš esmės sudaro vanduo, nėra toksiškas, sprogus, oksiduojantis, užkrečiamas, radioaktyvus, ėsdinantis, magnetinis, pavojingas aplinkai ir nedegus. Užsiliepsnojimo temperatūra uždarame tiglyje yra &gt;100 °C. 
Todėl pagal IATA ir ICAO taisykles (18 priedas), taikomas pavojingiems kroviniams, šis produktas neklasifikuojamas kaip pavojingas krovinys ir nekelia pavojaus gabenant oro transportu.</t>
  </si>
  <si>
    <t>0082_WWI_00001_J6Q_01</t>
  </si>
  <si>
    <t>0082_WWI_00001_Q4L_01</t>
  </si>
  <si>
    <t>0082_WWI_00001_Z1V_01</t>
  </si>
  <si>
    <t>1ZRJ7386D906714660</t>
  </si>
  <si>
    <t>1ZRJ73868637936900</t>
  </si>
  <si>
    <t>+49 151 61932553</t>
  </si>
  <si>
    <t>christine.schick@stadt-frankfurt.de</t>
  </si>
  <si>
    <t>0082_WWI_00003_V2L_01</t>
  </si>
  <si>
    <t>PT1-L</t>
  </si>
  <si>
    <t>Ricardo Santos / Silvia Monteiro</t>
  </si>
  <si>
    <t>Av. Rovisco Pais 1</t>
  </si>
  <si>
    <t>Instituto Superior Tecnico</t>
  </si>
  <si>
    <t>Lisbon</t>
  </si>
  <si>
    <t>1049-001</t>
  </si>
  <si>
    <t>+351218417110 / +351218417954</t>
  </si>
  <si>
    <t>ricardosantos@tecnico.ulisboa.pt / silvia.monteiro@tecnico.ulisboa.pt</t>
  </si>
  <si>
    <t>Zolyno 36 gatve</t>
  </si>
  <si>
    <t>29FKJIQ9A8D</t>
  </si>
  <si>
    <t>29J6PD4QC5A</t>
  </si>
  <si>
    <t>shippingadres</t>
  </si>
  <si>
    <t>deliveryadres</t>
  </si>
  <si>
    <t xml:space="preserve">item no. </t>
  </si>
  <si>
    <t>item description</t>
  </si>
  <si>
    <t>AREA</t>
  </si>
  <si>
    <t>EU</t>
  </si>
  <si>
    <t>BOXCONTENTGENERATED</t>
  </si>
  <si>
    <t>scenario</t>
  </si>
  <si>
    <t>from</t>
  </si>
  <si>
    <t>to</t>
  </si>
  <si>
    <t>Non-EU Europe</t>
  </si>
  <si>
    <t>Non-Europe</t>
  </si>
  <si>
    <t>Pick-up service of hypothetic package as defined in the Tech. Specs. and delivery to lots
2 and 3 contractors according to Scenario 1</t>
  </si>
  <si>
    <t>Pick-up service of hypothetic package as defined in the Tech. Specs. and delivery to lots
2 and 3 contractors according to Scenario 2</t>
  </si>
  <si>
    <t>Pick-up service of hypothetic package as defined in the Tech. Specs. and delivery to lots
2 and 3 contractors according to Scenario 3</t>
  </si>
  <si>
    <t>Pick-up service of hypothetic package as defined in the Tech. Specs. and delivery to lots
2 and 3 contractors according to Scenario 4</t>
  </si>
  <si>
    <t>Pick-up service of hypothetic package as defined in the Tech. Specs. and delivery to lots
2 and 3 contractors according to Scenario 6</t>
  </si>
  <si>
    <t>Pick-up service of hypothetic package as defined in the Tech. Specs. and delivery to lots
2 and 3 contractors according to Scenario 7</t>
  </si>
  <si>
    <t>Pick-up service of hypothetic package as defined in the Tech. Specs. and delivery to lots
2 and 3 contractors according to Scenario 8</t>
  </si>
  <si>
    <t>Pick-up service of hypothetic package as defined in the Tech. Specs. and delivery to lots
2 and 3 contractors according to Scenario 5</t>
  </si>
  <si>
    <t>Item No</t>
  </si>
  <si>
    <t>Pick-up service of hypothetic package as defined in the Tech. Specs. and delivery to lots
2 and 3 contractors according to Scenario 9</t>
  </si>
  <si>
    <t>combi</t>
  </si>
  <si>
    <t>1ZRJ7386D904106679;1ZRJ7386D912385086</t>
  </si>
  <si>
    <t>Remco &amp; Jason</t>
  </si>
  <si>
    <t>1ZRJ7386D922796515;1ZRJ7386D933962529</t>
  </si>
  <si>
    <t>1ZRJ7386D924970939;1ZRJ7386D937997744</t>
  </si>
  <si>
    <t>1ZRJ7386D918845890</t>
  </si>
  <si>
    <t>1ZRJ7386D937458951;1ZRJ7386D927610563;1ZRJ7386D934148578</t>
  </si>
  <si>
    <t>1ZRJ7386D929808981;1ZRJ7386D923967794</t>
  </si>
  <si>
    <t>1ZRJ7386D900225100;1ZRJ7386D904298712</t>
  </si>
  <si>
    <t>1ZRJ7386D915482724;1ZRJ7386D904433137;1ZRJ7386D901645940</t>
  </si>
  <si>
    <t>1ZRJ7386D936241007</t>
  </si>
  <si>
    <t>1ZRJ7386D915057158</t>
  </si>
  <si>
    <t>1ZRJ73868611642767</t>
  </si>
  <si>
    <t>1ZRJ73868603018779</t>
  </si>
  <si>
    <t>1ZRJ73868615041186</t>
  </si>
  <si>
    <t>1ZRJ73868601405998</t>
  </si>
  <si>
    <t>1ZRJ73868634084612</t>
  </si>
  <si>
    <t>1ZRJ73868634394626</t>
  </si>
  <si>
    <t>1ZRJ73868629107035</t>
  </si>
  <si>
    <t>1ZRJ73868634797843</t>
  </si>
  <si>
    <t>1ZRJ73868626283056</t>
  </si>
  <si>
    <t>1ZRJ73868634218665</t>
  </si>
  <si>
    <t>1ZRJ73868601249201</t>
  </si>
  <si>
    <t>1ZRJ73868600746818</t>
  </si>
  <si>
    <t>1ZRJ73868618714828</t>
  </si>
  <si>
    <t>1ZRJ73868616209235</t>
  </si>
  <si>
    <t>1ZRJ73868610126040</t>
  </si>
  <si>
    <t>1ZRJ73868610801257</t>
  </si>
  <si>
    <t>1ZRJ73868603610860</t>
  </si>
  <si>
    <t>1ZRJ73868614570875</t>
  </si>
  <si>
    <t>1ZRJ73868626700676</t>
  </si>
  <si>
    <t>29Z70HAR8LD</t>
  </si>
  <si>
    <t>0082_WWI_00002_Q4L</t>
  </si>
  <si>
    <t>0082_WWI_00002_J6Q</t>
  </si>
  <si>
    <t>0082_WWI_00005_Y7B</t>
  </si>
  <si>
    <t>0082_WWI_00004_Q9F</t>
  </si>
  <si>
    <t>Toon/Remco/Jason</t>
  </si>
  <si>
    <t>0082_WWI_00008_D3R</t>
  </si>
  <si>
    <t>0082_WWI_00007_D3R</t>
  </si>
  <si>
    <t>0082_WWI_00004_J5T</t>
  </si>
  <si>
    <t>0082_WWI_00004_Z4M</t>
  </si>
  <si>
    <t>0082_WWI_00002_Z1V</t>
  </si>
  <si>
    <t>0082_WWI_00002_C7K</t>
  </si>
  <si>
    <t>PT1</t>
  </si>
  <si>
    <t>Andreia Pimenta</t>
  </si>
  <si>
    <t>Funchal</t>
  </si>
  <si>
    <t>Madeira</t>
  </si>
  <si>
    <t>+351 966756000 / +351 967535229</t>
  </si>
  <si>
    <t>andreia.pimenta@madeira.gov.pt</t>
  </si>
  <si>
    <t>Funchal WWTP</t>
  </si>
  <si>
    <t>PLANT 1-1: Madeira Airport
PLANT 2-1: Madeira Airport
PLANT 3-1: Porto Santo Airport
PLANT 4-1: Porto Santo Airport
PLANT 5-1: Funchal Port
PLANT 6-1: Funchal WWTP
PLANT 7-1: Hotel WWTP
PLANT 8-1: Funchal Hospital
PLANT 9-1: Funchal Health Centre
PLANT 10-1: Monte Wastewater
PLANT 1-2: Madeira Airport
PLANT 2-2: Madeira Airport
PLANT 3-2: Porto Santo Airport
PLANT 4-2: Porto Santo Airport
PLANT 5-2: Funchal Port
PLANT 6-2: Funchal WWTP
PLANT 7-2: Hotel WWTP
PLANT 8-2: Funchal Hospital
PLANT 9-2: Funchal Health Centre
PLANT 10-2: Monte Wastewater</t>
  </si>
  <si>
    <t>Madeira, 10 locations</t>
  </si>
  <si>
    <t>1ZRJ7386D934865089;1ZRJ7386D922487895</t>
  </si>
  <si>
    <t>1ZRJ7386D939585104;1ZRJ7386D920012712;1ZRJ7386D921848096;1ZRJ7386D922497286;1ZRJ7386D923066721;1ZRJ7386D923466763;1ZRJ7386D923969201;1ZRJ7386D926718048;1ZRJ7386D928147152;1ZRJ7386D930899238;1ZRJ7386D931354869;1ZRJ7386D933761184;1ZRJ7386D935492775;1ZRJ7386D935978821;1ZRJ7386D936447992;1ZRJ7386D936524872;1ZRJ7386D936580810;1ZRJ7386D939037947;1ZRJ7386D939051252;1ZRJ7386D939083138</t>
  </si>
  <si>
    <t>1ZRJ73868619937283</t>
  </si>
  <si>
    <t>1ZRJ73868619806094</t>
  </si>
  <si>
    <t>29P769PA3KE</t>
  </si>
  <si>
    <t>Remco/Jason</t>
  </si>
  <si>
    <t>29RL0KH3C9L</t>
  </si>
  <si>
    <t>29FL0J7AS9I</t>
  </si>
  <si>
    <t>29OL03M5I1I</t>
  </si>
  <si>
    <t>29CL0G2HRPO</t>
  </si>
  <si>
    <t>misto vyzvednuti budova c. 11. Budova vpravo</t>
  </si>
  <si>
    <t>29CL00H4BR7</t>
  </si>
  <si>
    <t>29WL070EE99</t>
  </si>
  <si>
    <t>29K76DJ1SFR</t>
  </si>
  <si>
    <t>29T76HQ67OF</t>
  </si>
  <si>
    <t>29A76CA96QN</t>
  </si>
  <si>
    <t>29A76AAA4J2</t>
  </si>
  <si>
    <t>1ZRJ7386G115193825;1ZRJ7386G119248232</t>
  </si>
  <si>
    <t>AfgeleverdinLuxemburgviaeigennetwerk</t>
  </si>
  <si>
    <t>0082_WWI_00005_J3T</t>
  </si>
  <si>
    <t>SE1</t>
  </si>
  <si>
    <t>SLU Institutionen för vatten och miljö</t>
  </si>
  <si>
    <t>Sweden</t>
  </si>
  <si>
    <t>Gerda Nilssons väg 5</t>
  </si>
  <si>
    <t>Uppsala</t>
  </si>
  <si>
    <t>756 51</t>
  </si>
  <si>
    <t>javier.vargas@slu.se; sarah.coker@slu.se</t>
  </si>
  <si>
    <t>Javier Vargas / Sarah Coker</t>
  </si>
  <si>
    <t>Uppsala WWTP</t>
  </si>
  <si>
    <t>RO1</t>
  </si>
  <si>
    <t>RO2</t>
  </si>
  <si>
    <t>Dr. Lucia Herbel</t>
  </si>
  <si>
    <t>Spitalul Clinic De Boli Infectioase Cluj Napoca (SCBI)</t>
  </si>
  <si>
    <t>Romania</t>
  </si>
  <si>
    <t>Cluj-Napoca</t>
  </si>
  <si>
    <t>Strada Iuliu Moldovan 23</t>
  </si>
  <si>
    <t>herbellucia@yahoo.com</t>
  </si>
  <si>
    <t>+40745318468</t>
  </si>
  <si>
    <t>Ing. Nelu Manescu</t>
  </si>
  <si>
    <t>Spitalul Clinic Municipal Cluj-Napoca (MNC)</t>
  </si>
  <si>
    <t>nelumanescu@yahoo.com</t>
  </si>
  <si>
    <t>Strada Tăbăcarilor 11</t>
  </si>
  <si>
    <t>+40751240167</t>
  </si>
  <si>
    <t>Enter via MVM building. Call Javier Vargas when unclear.</t>
  </si>
  <si>
    <t>+46 76-079 10 49; +46 73-035 38 80; +46 72-211 40 66</t>
  </si>
  <si>
    <t>1ZRJ7386D925393301;1ZRJ7386D939788912</t>
  </si>
  <si>
    <t>1ZRJ7386D915713304;1ZRJ7386D912234917</t>
  </si>
  <si>
    <t>1ZRJ7386DK29130920</t>
  </si>
  <si>
    <t>1ZRJ7386D902586922;1ZRJ7386D918225336</t>
  </si>
  <si>
    <t>1ZRJ7386DK20555336</t>
  </si>
  <si>
    <t>1ZRJ7386DK02446149</t>
  </si>
  <si>
    <t>1ZRJ7386DK33838140;1ZRJ7386DK34995353;1ZRJ7386DK33882968;1ZRJ7386DK25796979</t>
  </si>
  <si>
    <t>1ZRJ7386D907985358;1ZRJ7386D918618966</t>
  </si>
  <si>
    <t>1ZRJ7386D914762978;1ZRJ7386D903073386</t>
  </si>
  <si>
    <t>1ZRJ7386DK37073389;1ZRJ7386DK34688195;1ZRJ7386DK39857403</t>
  </si>
  <si>
    <t>1ZRJ7386DK25637015</t>
  </si>
  <si>
    <t>1ZRJ7386DK10046191</t>
  </si>
  <si>
    <t>1ZRJ7386DK38523024</t>
  </si>
  <si>
    <t>Cluj-SCBI</t>
  </si>
  <si>
    <t>Cluj-MNC</t>
  </si>
  <si>
    <t>Laboratorio de Analises de Agua</t>
  </si>
  <si>
    <t>1ZRJ76798600006018</t>
  </si>
  <si>
    <t>1ZRJ76798602416027</t>
  </si>
  <si>
    <t>1ZRJ76798608830032</t>
  </si>
  <si>
    <t>1ZRJ76798600848047</t>
  </si>
  <si>
    <t>1ZRJ76798620026816</t>
  </si>
  <si>
    <t>1ZRJ76798627775423</t>
  </si>
  <si>
    <t>1ZRJ76798628049831</t>
  </si>
  <si>
    <t>1ZRJ76798636774041</t>
  </si>
  <si>
    <t>1ZRJ76798634592054</t>
  </si>
  <si>
    <t>1ZRJ76798628467862</t>
  </si>
  <si>
    <t>1ZRJ76798621285473</t>
  </si>
  <si>
    <t>1ZRJ76798600070056</t>
  </si>
  <si>
    <t>1ZRJ76798608096069</t>
  </si>
  <si>
    <t>1ZRJ76798606526071</t>
  </si>
  <si>
    <t>1ZRJ76798616960083</t>
  </si>
  <si>
    <t>1ZRJ76798600998091</t>
  </si>
  <si>
    <t>1ZRJ76798600240103</t>
  </si>
  <si>
    <t>1ZRJ76798616286115</t>
  </si>
  <si>
    <t>1ZRJ76798629448881</t>
  </si>
  <si>
    <t>1ZRJ76798628482096</t>
  </si>
  <si>
    <t>1ZRJ76798626629100</t>
  </si>
  <si>
    <t>1ZRJ76798626453915</t>
  </si>
  <si>
    <t>1ZRJ76798634440520</t>
  </si>
  <si>
    <t>Către cine este interesat</t>
  </si>
  <si>
    <t>„Noi, Eurofins Analytico BV, declarăm prin prezenta că produsul ...proba de apă..., care constă în esență din apă, nu este toxic, exploziv, oxidant, infecțios, radioactiv, coroziv, magnetic și nici periculos pentru mediu și nu este inflamabil. Punctul de aprindere în creuzet închis este &gt;100°C.
Prin urmare, în conformitate cu reglementările IATA și ICAO (Anexa 18) privind mărfurile periculoase, acest produs nu este clasificat ca marfă periculoasă și nu prezintă niciun risc pentru transportul aerian.”</t>
  </si>
  <si>
    <t>Loc, Data</t>
  </si>
  <si>
    <t>Loc, data, Nume, semnătură, ștampilă companie</t>
  </si>
  <si>
    <t>Till berörd part</t>
  </si>
  <si>
    <t>"Vi, Eurofins Analytico BV, intygar härmed att produkten ...vattenprov..., som i huvudsak består av vatten, varken är toxisk, explosiv, oxiderande, smittsam, radioaktiv, frätande, magnetisk eller miljöfarlig, och är ej brandfarlig. Flampunkten i sluten degel är &gt;100°C.
Därför klassificeras denna produkt, i enlighet med IATA:s och ICAO:s bestämmelser (Bilaga 18) om farligt gods, inte som farligt gods och utgör ingen risk vid flygtransport."</t>
  </si>
  <si>
    <t>Plats, Datum</t>
  </si>
  <si>
    <t>Plats, datum
Namn, underskrift, företagets stämpel</t>
  </si>
  <si>
    <t>DE5</t>
  </si>
  <si>
    <t>U. Sikora / D. Bruszies / V. Linnemann / G. Marx</t>
  </si>
  <si>
    <t>Umweltanalytisches Laboratorium des ISA</t>
  </si>
  <si>
    <t>Krefelder Str. 299</t>
  </si>
  <si>
    <t>Aachen</t>
  </si>
  <si>
    <t>+49 241 80-91524 / +49 241 80-91523</t>
  </si>
  <si>
    <t>labor@isa.rwth-aachen.de</t>
  </si>
  <si>
    <t>Aachen WWTP</t>
  </si>
  <si>
    <t>Aachen Hospital</t>
  </si>
  <si>
    <t>29OL03M5I1I;29VL84H6PCR</t>
  </si>
  <si>
    <t>295L9IS0DN3</t>
  </si>
  <si>
    <t>Toon/Jason</t>
  </si>
  <si>
    <t>Waybill 1</t>
  </si>
  <si>
    <t>Waybill 2</t>
  </si>
  <si>
    <t>Waybill 3</t>
  </si>
  <si>
    <t>Waybill 4</t>
  </si>
  <si>
    <t>Waybill 5</t>
  </si>
  <si>
    <t>Waybill 6</t>
  </si>
  <si>
    <t>Waybill 7</t>
  </si>
  <si>
    <t>Waybill 8</t>
  </si>
  <si>
    <t>Waybill 9</t>
  </si>
  <si>
    <t>Waybill 10</t>
  </si>
  <si>
    <t>Waybill 11</t>
  </si>
  <si>
    <t>Waybill 12</t>
  </si>
  <si>
    <t>Waybill 13</t>
  </si>
  <si>
    <t>Waybill 14</t>
  </si>
  <si>
    <t>Waybill 15</t>
  </si>
  <si>
    <t>Waybill 16</t>
  </si>
  <si>
    <t>Waybill 17</t>
  </si>
  <si>
    <t>Waybill 18</t>
  </si>
  <si>
    <t>Waybill 19</t>
  </si>
  <si>
    <t>Waybill 20</t>
  </si>
  <si>
    <t>0082_WWI_00001_W3K_01</t>
  </si>
  <si>
    <t>0082_WWI_00001_S3N_01</t>
  </si>
  <si>
    <t>0082_WWI_00001_N9G_01</t>
  </si>
  <si>
    <t>0082_WWI_00001_D5P_01</t>
  </si>
  <si>
    <t>0082_WWI_00001_V3C_01</t>
  </si>
  <si>
    <t>0082_WWI_00002_N9G_01</t>
  </si>
  <si>
    <t>Pick-up cancelled</t>
  </si>
  <si>
    <t>0082_WWI_00001_C2M_01</t>
  </si>
  <si>
    <t>0082_WWI_00002_W3K_01</t>
  </si>
  <si>
    <t>0082_WWI_00001_Y1W_01</t>
  </si>
  <si>
    <t>0082_WWI_00001_N7B_01</t>
  </si>
  <si>
    <t>0082_WWI_00001_L9Q_01</t>
  </si>
  <si>
    <t>0082_WWI_00002_C2M_01</t>
  </si>
  <si>
    <t>0082_WWI_00002_N7B_01</t>
  </si>
  <si>
    <t>0082_WWI_00001_X1J_01</t>
  </si>
  <si>
    <t>0082_WWI_00002_L9Q_01</t>
  </si>
  <si>
    <t>0082_WWI_00002_Y1W_01</t>
  </si>
  <si>
    <t>0082_WWI_00002_S3N_01</t>
  </si>
  <si>
    <t>0082_WWI_00002_X1J_01</t>
  </si>
  <si>
    <t>0082_WWI_00002_V3C_01</t>
  </si>
  <si>
    <t>0082_WWI_00002_D5P_01</t>
  </si>
  <si>
    <t>1ZRJ73868606125540</t>
  </si>
  <si>
    <t>1ZRJ73868634170064</t>
  </si>
  <si>
    <t>1ZRJ73868634170064 is gebruikt i.p.v. 1ZRJ73868606125540 , deze was van sampling date 11/06/2025.</t>
  </si>
  <si>
    <t>0082_WWI_00004_N1Q_01</t>
  </si>
  <si>
    <t>0082_WWI_00004_K7S_01</t>
  </si>
  <si>
    <t>0082_WWI_00009_D3R_01</t>
  </si>
  <si>
    <t>0082_WWI_00004_V6L_01</t>
  </si>
  <si>
    <t>0082_WWI_00010_D3R_01</t>
  </si>
  <si>
    <t>0082_WWI_00005_J5T_01</t>
  </si>
  <si>
    <t>0082_WWI_00001_L3F_01</t>
  </si>
  <si>
    <t>0082_WWI_00001_J8V_01</t>
  </si>
  <si>
    <t>0082_WWI-00001_R6D_01</t>
  </si>
  <si>
    <t>0082_WWI_00006_T6M_01</t>
  </si>
  <si>
    <t>0082_WWI_00006_Y7B_01</t>
  </si>
  <si>
    <t>0082_WWI_00003_Z1V_01</t>
  </si>
  <si>
    <t>0082_WWI_00005_Q9F_01</t>
  </si>
  <si>
    <t>0082_WWI_00005_Z4M_01</t>
  </si>
  <si>
    <t>0082_WWI_00005_K8J_01</t>
  </si>
  <si>
    <t>0082_WWI_00005_7X2_01</t>
  </si>
  <si>
    <t>0082_WWI_00006_F3W_01</t>
  </si>
  <si>
    <t>0082_WWI_00006_S5G_01</t>
  </si>
  <si>
    <t>0082_WWI_00006_C7K_01</t>
  </si>
  <si>
    <t>0082_WWI_00003_J6Q_01</t>
  </si>
  <si>
    <t>0082_WWI_00003_Q4L_01</t>
  </si>
  <si>
    <t>0082_WWI_00006_H2N_01</t>
  </si>
  <si>
    <t>0082_WWI_00006_T8P_01</t>
  </si>
  <si>
    <t xml:space="preserve">Collection day later! </t>
  </si>
  <si>
    <t>Waybill moet gecanceld worden, waybill alleen voor film purposes (TK)</t>
  </si>
  <si>
    <t>Maarten/Jelle</t>
  </si>
  <si>
    <t>Toon/Daan</t>
  </si>
  <si>
    <t>1ZRJ7386D924051431</t>
  </si>
  <si>
    <t>Nr.</t>
  </si>
  <si>
    <t>Naam</t>
  </si>
  <si>
    <t>outbound-kit 1</t>
  </si>
  <si>
    <t>outbound-kit 2</t>
  </si>
  <si>
    <t>boxcontent-template</t>
  </si>
  <si>
    <t>BOXCONTENTTEMPLATE</t>
  </si>
  <si>
    <t>doc</t>
  </si>
  <si>
    <t>boxcontentlabel_template_outbound1.docx</t>
  </si>
  <si>
    <t>boxcontentlabel_template_outbound2.docx</t>
  </si>
  <si>
    <t>V:\ETNL007\Data\Logistics\General\HaDEA\Order Entry\template\boxcontentlabel_template_outbound1.docx</t>
  </si>
  <si>
    <t>template\boxcontentlabel_template_outbound2.docx</t>
  </si>
  <si>
    <t>1ZRJ73868619617404</t>
  </si>
  <si>
    <t>0082_WWI_00001_BX3_01</t>
  </si>
  <si>
    <t>ES1-L</t>
  </si>
  <si>
    <t>Labaqua</t>
  </si>
  <si>
    <t>1ZRJ7386D914763011;1ZRJ7386D903099028;1ZRJ7386D906481439;1ZRJ7386D914606244;1ZRJ7386D902609451;1ZRJ7386D912667067;1ZRJ7386D919595079;1ZRJ7386D900449486;1ZRJ7386D908126293;1ZRJ7386D908961505;1ZRJ7386D904331112;1ZRJ7386D916251123;1ZRJ7386D916977537;1ZRJ7386D902606347;1ZRJ7386D910673554;1ZRJ7386D901755161;1ZRJ7386D905067175;1ZRJ7386D908065582;1ZRJ7386D910046393;1ZRJ7386D919745602</t>
  </si>
  <si>
    <t>29N7K8G9B55</t>
  </si>
  <si>
    <t>25-09</t>
  </si>
  <si>
    <t>25-10</t>
  </si>
  <si>
    <t>25-11</t>
  </si>
  <si>
    <t>25-12</t>
  </si>
  <si>
    <t>IT3</t>
  </si>
  <si>
    <t>Antonio Frega, Matteo Venturi, Oriano Bastelli</t>
  </si>
  <si>
    <t>Gruppo Hera Bologna</t>
  </si>
  <si>
    <t>VIA SHAKESPEARE 29</t>
  </si>
  <si>
    <t>Bologna</t>
  </si>
  <si>
    <t>+39 347 87 02 579</t>
  </si>
  <si>
    <t>antonio.frega@gruppohera.it</t>
  </si>
  <si>
    <t>Bologna WWTP</t>
  </si>
  <si>
    <t xml:space="preserve">03114 </t>
  </si>
  <si>
    <t>C. del Dracma 16-18</t>
  </si>
  <si>
    <t>Alicante</t>
  </si>
  <si>
    <t>elena-maria.gil@labaqua.com / jose-luis.malvar@labaqua.com</t>
  </si>
  <si>
    <t>Labaqua SAU - Sede Alicante</t>
  </si>
  <si>
    <t>29G7O0A5SOD</t>
  </si>
  <si>
    <t>2947ONHM349</t>
  </si>
  <si>
    <t>29LLI54Q0QN</t>
  </si>
  <si>
    <t>2947RLS4IH3</t>
  </si>
  <si>
    <t>2997RLRPCRP</t>
  </si>
  <si>
    <t>2997RK9ISD4</t>
  </si>
  <si>
    <t>29FLLEFO1LN</t>
  </si>
  <si>
    <t>29FLLAI8HA5</t>
  </si>
  <si>
    <t>29HLLESK65B</t>
  </si>
  <si>
    <t>29SLLBE9AP3</t>
  </si>
  <si>
    <t>29HLL517NCO</t>
  </si>
  <si>
    <t>29XLLE082MI</t>
  </si>
  <si>
    <t>29H7RFRK2GS</t>
  </si>
  <si>
    <t>parcel 1</t>
  </si>
  <si>
    <t>parcel 2</t>
  </si>
  <si>
    <t>parcel 3</t>
  </si>
  <si>
    <t>parcel 4</t>
  </si>
  <si>
    <t>parcel 5</t>
  </si>
  <si>
    <t>parcel 6</t>
  </si>
  <si>
    <t>parcel 7</t>
  </si>
  <si>
    <t>parcel 8</t>
  </si>
  <si>
    <t>parcel 9</t>
  </si>
  <si>
    <t>parcel 10</t>
  </si>
  <si>
    <t>parcel 11</t>
  </si>
  <si>
    <t>parcel 12</t>
  </si>
  <si>
    <t>parcel 13</t>
  </si>
  <si>
    <t>parcel 15</t>
  </si>
  <si>
    <t>parcel 14</t>
  </si>
  <si>
    <t>parcel 16</t>
  </si>
  <si>
    <t>parcel 17</t>
  </si>
  <si>
    <t>parcel 18</t>
  </si>
  <si>
    <t>parcel 19</t>
  </si>
  <si>
    <t>parcel 20</t>
  </si>
  <si>
    <t>0082_WWI_00003_V3C_01</t>
  </si>
  <si>
    <t>0082_WWI_00004_W3K_01</t>
  </si>
  <si>
    <t>0082_WWI_00003_W3K_01</t>
  </si>
  <si>
    <t>0082_WWI_00004_X1J_01</t>
  </si>
  <si>
    <t>0082_WWI_00003_X1J_01</t>
  </si>
  <si>
    <t>0082_WWI_00003_N7B_01</t>
  </si>
  <si>
    <t>0082_WWI_00004_N9H_01</t>
  </si>
  <si>
    <t>0082_WWI_00003_N9G_01</t>
  </si>
  <si>
    <t>0082_WWI_00004_S3N_01</t>
  </si>
  <si>
    <t>0082_WWI_00003_S3N_01</t>
  </si>
  <si>
    <t>0082_WWI_00004_C2M_01</t>
  </si>
  <si>
    <t>0082_WWI_00003_C2M_01</t>
  </si>
  <si>
    <t>0082_WWI_00004_D5P_01</t>
  </si>
  <si>
    <t>0082_WWI_00003_D5P_01</t>
  </si>
  <si>
    <t>0082_WWI_00004_L9Q_01</t>
  </si>
  <si>
    <t>0082_WWI_00003_L9Q_01</t>
  </si>
  <si>
    <t>0082_WWI_00004_V3C_01</t>
  </si>
  <si>
    <t>0082_WWI_00004_N7B_01</t>
  </si>
  <si>
    <t>0082_WWI_00003_Y1W_01</t>
  </si>
  <si>
    <t>0082_WWI_00004_Y1W_01</t>
  </si>
  <si>
    <t>1ZRJ7386D911121755; 1ZRJ7386D909051362</t>
  </si>
  <si>
    <t>1ZRJ7386D930125117; 1ZRJ7386D920155121</t>
  </si>
  <si>
    <t>1ZRJ7386D909406596; 1ZRJ7386D909633804</t>
  </si>
  <si>
    <t>1ZRJ7386DK37387531</t>
  </si>
  <si>
    <t>1ZRJ7386DK30398345; 1ZRJ7386DK26003555; 1ZRJ7386DK26859168; 1ZRJ7386DK33061176</t>
  </si>
  <si>
    <t>1ZRJ7386D927745589; 1ZRJ7386D926688394</t>
  </si>
  <si>
    <t>1ZRJ7386D931905602; 1ZRJ7386D929253213</t>
  </si>
  <si>
    <t>1ZRJ7386DK15275416; 1ZRJ7386DK11547424; 1ZRJ7386DK01905832</t>
  </si>
  <si>
    <t>1ZRJ7386DK01646649</t>
  </si>
  <si>
    <t>1ZRJ7386DK15505855</t>
  </si>
  <si>
    <t>1ZRJ7386DK19259463</t>
  </si>
  <si>
    <t>1ZRJ7386D905323478</t>
  </si>
  <si>
    <t>1ZRJ7386DK30027227</t>
  </si>
  <si>
    <t>1ZRJ7386D936563633; 1ZRJ7386D931838444; 1ZRJ7386D935841683; 1ZRJ7386D924139329; 1ZRJ7386D930395362; 1ZRJ7386D928113803; 1ZRJ7386D933067658; 1ZRJ7386D937848495; 1ZRJ7386D937579731; 1ZRJ7386D925285375; 1ZRJ7386D935429414; 1ZRJ7386D929307263; 1ZRJ7386D921489706; 1ZRJ7386D936718547; 1ZRJ7386D933777784; 1ZRJ7386D938491421; 1ZRJ7386D923053271; 1ZRJ7386D939021310; 1ZRJ7386D929171758; 1ZRJ7386D920448592</t>
  </si>
  <si>
    <t>1ZRJ7386D936435834; 1ZRJ7386D921038649; 1ZRJ7386D930315859; 1ZRJ7386D926123467</t>
  </si>
  <si>
    <t>1ZRJ7386D935757471</t>
  </si>
  <si>
    <t>29VLN30OPEE</t>
  </si>
  <si>
    <t>First collection attempt failed</t>
  </si>
  <si>
    <t>1ZRJ76798638592930</t>
  </si>
  <si>
    <t>1ZRJ76798634035147</t>
  </si>
  <si>
    <t>1ZRJ76798610736121</t>
  </si>
  <si>
    <t>1ZRJ76798605190131</t>
  </si>
  <si>
    <t>1ZRJ76798601248149</t>
  </si>
  <si>
    <t>1ZRJ76798600510151</t>
  </si>
  <si>
    <t>1ZRJ76798636611154</t>
  </si>
  <si>
    <t>1ZRJ76798624484967</t>
  </si>
  <si>
    <t>1ZRJ76798604576164</t>
  </si>
  <si>
    <t>1ZRJ76798615046171</t>
  </si>
  <si>
    <t>1ZRJ76798613520189</t>
  </si>
  <si>
    <t>1ZRJ76798601598191</t>
  </si>
  <si>
    <t>1ZRJ76798600880207</t>
  </si>
  <si>
    <t>1ZRJ76798612966218</t>
  </si>
  <si>
    <t>1ZRJ76798619456220</t>
  </si>
  <si>
    <t>1ZRJ76798601950237</t>
  </si>
  <si>
    <t>1ZRJ76798627740577</t>
  </si>
  <si>
    <t>1ZRJ76798602048247</t>
  </si>
  <si>
    <t>1ZRJ76798601350251</t>
  </si>
  <si>
    <t>1ZRJ76798601456263</t>
  </si>
  <si>
    <t>1ZRJ73868637553887</t>
  </si>
  <si>
    <t>1ZRJ76798603966271</t>
  </si>
  <si>
    <t>1ZRJ76798610480282</t>
  </si>
  <si>
    <t>1ZRJ76798602598297</t>
  </si>
  <si>
    <t>1ZRJ76798601920304</t>
  </si>
  <si>
    <t>1ZRJ76798625981981</t>
  </si>
  <si>
    <t>1ZRJ76798633933197</t>
  </si>
  <si>
    <t>1ZRJ76798635038204</t>
  </si>
  <si>
    <t>1ZRJ76798623061013</t>
  </si>
  <si>
    <t>1ZRJ76798610046313</t>
  </si>
  <si>
    <t>0082_WWI_00006_F9H_01</t>
  </si>
  <si>
    <t>0082_WWI_00006_J3T_01</t>
  </si>
  <si>
    <t>0082_WWI_00004_V2L_01</t>
  </si>
  <si>
    <t>0082_WWI_00007_H2N_01</t>
  </si>
  <si>
    <t>0082_WWI_00007_T8P_01</t>
  </si>
  <si>
    <t>1ZRJ76798631685629</t>
  </si>
  <si>
    <t>0082_WWI_00007_T8P_09</t>
  </si>
  <si>
    <t>0082_WWI_00007_H2N_09</t>
  </si>
  <si>
    <t>0082_WWI_00006_K8J_01</t>
  </si>
  <si>
    <t>0082_WWI_00006_7X2_01</t>
  </si>
  <si>
    <t>0082_WWI_00001_B8Q_01</t>
  </si>
  <si>
    <t>0082_WWI_00007_S5G_01</t>
  </si>
  <si>
    <t>0082_WWI_00007_C7K_01</t>
  </si>
  <si>
    <t>0082_WWI_00005_V6L_01</t>
  </si>
  <si>
    <t>0082_WWI_00012_D3R_01</t>
  </si>
  <si>
    <t>0082_WWI_00011_D3R_01</t>
  </si>
  <si>
    <t>0082_WWI_00006_J5T_01</t>
  </si>
  <si>
    <t>0082_WWI_00007_F3W_01</t>
  </si>
  <si>
    <t>0082_WWI_00001_G6V_01</t>
  </si>
  <si>
    <t>0082_WWI_00002_BX3_01</t>
  </si>
  <si>
    <t>0082_WWI_00002_J8V_01</t>
  </si>
  <si>
    <t>0082_WWI_00002_R6D_01</t>
  </si>
  <si>
    <t>0082_WWI_00004_Z1V_01</t>
  </si>
  <si>
    <t>0082_WWI_00004_Q4L_01</t>
  </si>
  <si>
    <t>00082_WWI_00004_J6Q_01</t>
  </si>
  <si>
    <t>0082_WWI_00005_N1Q_01</t>
  </si>
  <si>
    <t>0082_WWI_00005_K7S_01</t>
  </si>
  <si>
    <t>0082_WWI_00006_Q9F_01</t>
  </si>
  <si>
    <t>0082_WWI_00006_Z4M_01</t>
  </si>
  <si>
    <t>0082_WWI_00002_L3F_01</t>
  </si>
  <si>
    <t>Toon / Remco</t>
  </si>
  <si>
    <t>29SLS7F9IHK</t>
  </si>
  <si>
    <t>29GLSJ4JLHP</t>
  </si>
  <si>
    <t>1ZRJ76798608576326</t>
  </si>
  <si>
    <t>1ZRJ76798619110334</t>
  </si>
  <si>
    <t>1ZRJ7386D930488691; 1ZRJ7386D927777901</t>
  </si>
  <si>
    <t>PRG250828006315</t>
  </si>
  <si>
    <t>0082_WWI_00007_T6M_01</t>
  </si>
  <si>
    <t>0082_WWI_00007_Y7B_01</t>
  </si>
  <si>
    <t>0082_WWI_00007_J3T_01</t>
  </si>
  <si>
    <t>0082_WWI_00007_F9H_01</t>
  </si>
  <si>
    <t>0082_WWI_00005_S3N_09</t>
  </si>
  <si>
    <t>0082_WWI_00006_L9Q_09</t>
  </si>
  <si>
    <t>0082_WWI_00005_L9Q_09</t>
  </si>
  <si>
    <t>0082_WWI_00006_S3N_09</t>
  </si>
  <si>
    <t>0082_WWI_00005_S3N_01</t>
  </si>
  <si>
    <t>0082_WWI_00006_S3N_01</t>
  </si>
  <si>
    <t>0082_WWI_00005_L9Q_01</t>
  </si>
  <si>
    <t>0082_WWI_00006_L9Q_01</t>
  </si>
  <si>
    <t>0082_WWI_00005_C2M_01</t>
  </si>
  <si>
    <t>0082_WWI_00005_Y1W_01</t>
  </si>
  <si>
    <t>0082_WWI_00006_W3K_01</t>
  </si>
  <si>
    <t>0082_WWI_00006_Y1W_01</t>
  </si>
  <si>
    <t>0082_WWI_00005_N9G_01</t>
  </si>
  <si>
    <t>0082_WWI_00006_X1J_01</t>
  </si>
  <si>
    <t>0082_WWI_00005_W3K_01</t>
  </si>
  <si>
    <t>0082_WWI_00006_D5P_01</t>
  </si>
  <si>
    <t>0082_WWI_00005_X1J_01</t>
  </si>
  <si>
    <t>0082_WWI_00006_N9G_01</t>
  </si>
  <si>
    <t>0082_WWI_00006_V3C_01</t>
  </si>
  <si>
    <t>0082_WWI_00005_V3C_01</t>
  </si>
  <si>
    <t>0082_WWI_00005_N7B_01</t>
  </si>
  <si>
    <t>0082_WWI_00006_C2M_01</t>
  </si>
  <si>
    <t>0082_WWI_00006_N7B_01</t>
  </si>
  <si>
    <t>0082_WWI_00005_D5P_01</t>
  </si>
  <si>
    <t>1ZRJ7386D930968298;1ZRJ7386D923361509</t>
  </si>
  <si>
    <t>1ZRJ7386DK08587316;1ZRJ7386DK04475328</t>
  </si>
  <si>
    <t>1ZRJ7386DK08689733;1ZRJ7386DK10126541</t>
  </si>
  <si>
    <t>29RM299J2SJ</t>
  </si>
  <si>
    <t>1ZRJ76798603248341</t>
  </si>
  <si>
    <t>1ZRJ76798602590357</t>
  </si>
  <si>
    <t>Elena M G Luque / Jose L M Guzman</t>
  </si>
  <si>
    <t>1ZRJ76798632116036</t>
  </si>
  <si>
    <t>1ZRJ76798638676242</t>
  </si>
  <si>
    <t>1ZRJ76798618736367</t>
  </si>
  <si>
    <t>1ZRJ76798622410254</t>
  </si>
  <si>
    <t>1ZRJ76798632682068</t>
  </si>
  <si>
    <t>1ZRJ76798627495084</t>
  </si>
  <si>
    <t>1ZRJ76798628764291</t>
  </si>
  <si>
    <t>1ZRJ76798629227306</t>
  </si>
  <si>
    <t>1ZRJ76798633848119</t>
  </si>
  <si>
    <t>1ZRJ76798623510724</t>
  </si>
  <si>
    <t>1ZRJ76798613286371</t>
  </si>
  <si>
    <t>1ZRJ76798632619136</t>
  </si>
  <si>
    <t>1ZRJ76798634697343</t>
  </si>
  <si>
    <t>1ZRJ76798635989357</t>
  </si>
  <si>
    <t>1ZRJ76798637059161</t>
  </si>
  <si>
    <t>1ZRJ76798622390777</t>
  </si>
  <si>
    <t>1ZRJ76798637988185</t>
  </si>
  <si>
    <t>1ZRJ76798636975397</t>
  </si>
  <si>
    <t>1ZRJ76798633196403</t>
  </si>
  <si>
    <t>1ZRJ76798622815219</t>
  </si>
  <si>
    <t>1ZRJ76798633915822</t>
  </si>
  <si>
    <t>1ZRJ7386DK34477510;1ZRJ7386DK29083526</t>
  </si>
  <si>
    <t>1ZRJ7386DK29131938;1ZRJ7386DK20798744</t>
  </si>
  <si>
    <t>1ZRJ7386D932499952;1ZRJ7386D932491567</t>
  </si>
  <si>
    <t>1ZRJ7386DK12353882;1ZRJ7386DK18846697</t>
  </si>
  <si>
    <t>1ZRJ7386DK00737909</t>
  </si>
  <si>
    <t>1ZRJ7386D930469578;1ZRJ7386D923169987</t>
  </si>
  <si>
    <t>1ZRJ7386DK23968797</t>
  </si>
  <si>
    <t>1ZRJ73860431998848;1ZRJ73860431724053</t>
  </si>
  <si>
    <t>1ZRJ7386DK25499666;1ZRJ7386DK25421677</t>
  </si>
  <si>
    <t>1ZRJ7386DK26626089;1ZRJ7386DK36888895;1ZRJ7386DK30226100</t>
  </si>
  <si>
    <t>1ZRJ76798624102235</t>
  </si>
  <si>
    <t>1ZRJ76798626098443</t>
  </si>
  <si>
    <t>1ZRJ76798621348459</t>
  </si>
  <si>
    <t>1ZRJ76798607840381</t>
  </si>
  <si>
    <t>1ZRJ76798603998399</t>
  </si>
  <si>
    <t>Collections</t>
  </si>
  <si>
    <t/>
  </si>
  <si>
    <t xml:space="preserve"> Outbound</t>
  </si>
  <si>
    <t>1ZRJ7386DK24493717</t>
  </si>
  <si>
    <t>1ZRJ7386DK22987723</t>
  </si>
  <si>
    <t>1ZRJ7386DK20044138</t>
  </si>
  <si>
    <t>1ZRJ7386DK30638942</t>
  </si>
  <si>
    <t>1ZRJ7386DK23988159</t>
  </si>
  <si>
    <t>Ask for U. Sikora/D. Bruszies/V. Linnemann, water samples</t>
  </si>
  <si>
    <t>29O8933ANHH</t>
  </si>
  <si>
    <t>Chiedere di Antonio Frega/Matteo Venturi, campioni d'acqua.</t>
  </si>
  <si>
    <t>29N89047N65</t>
  </si>
  <si>
    <t>Ask for Dr. Lucia Herbel, water samples</t>
  </si>
  <si>
    <t>294M32NHI1A</t>
  </si>
  <si>
    <t>Ask for Ing. Nelu Manescu, water samples</t>
  </si>
  <si>
    <t>29VM36ORN69</t>
  </si>
  <si>
    <t>Ask for Dr. Sarah Esser / Tobias Haselhoff, water samples</t>
  </si>
  <si>
    <t>29J89A3JRFP</t>
  </si>
  <si>
    <t>Ask for Christine Schick, water samples</t>
  </si>
  <si>
    <t>294M3271QI9</t>
  </si>
  <si>
    <t>296M39I7LFJ</t>
  </si>
  <si>
    <t>Via Georgenstrasse, through gate, enter via ambulance, f1</t>
  </si>
  <si>
    <t>29J89DG6F4M</t>
  </si>
  <si>
    <t>29N8929HLNJ</t>
  </si>
  <si>
    <t>29C890GGGQC</t>
  </si>
  <si>
    <t>29G894HAACN</t>
  </si>
  <si>
    <t>29C891573EP</t>
  </si>
  <si>
    <t>via main entrance, boxes on table, can see via entrance</t>
  </si>
  <si>
    <t>29K8988NFG6</t>
  </si>
  <si>
    <t>29B8995JPCL</t>
  </si>
  <si>
    <t>29O892QCKL4</t>
  </si>
  <si>
    <t>1ZRJ7386D921698409</t>
  </si>
  <si>
    <t>1ZRJ7386D929318019</t>
  </si>
  <si>
    <t>1ZRJ76798621616267</t>
  </si>
  <si>
    <t>1ZRJ76798603360406</t>
  </si>
  <si>
    <t>#</t>
  </si>
  <si>
    <t>IDs</t>
  </si>
  <si>
    <t>N</t>
  </si>
  <si>
    <t>outbound-kit1 URGENT</t>
  </si>
  <si>
    <t>Toon/Remco/Tom</t>
  </si>
  <si>
    <t>R. do Matadouro 4</t>
  </si>
  <si>
    <t>9050-100</t>
  </si>
  <si>
    <t>Pergunte por Andrea Pimenta, para recolher amostras de água. +351 966756000 / +351 967535229</t>
  </si>
  <si>
    <t>LET OP: collection voor 47 dozen</t>
  </si>
  <si>
    <t>0082_WWI_00007_K8J_01</t>
  </si>
  <si>
    <t>0082_WWI_00007_7X2_01</t>
  </si>
  <si>
    <t>29C8906NHA7 (failed), 29C8D3DP36A</t>
  </si>
  <si>
    <t>0082_WWI_00003_BX3_01</t>
  </si>
  <si>
    <t>0082_WWI_00002_G6V_01</t>
  </si>
  <si>
    <t>0082_WWI_00008_T8P_09</t>
  </si>
  <si>
    <t>0082_WWI_00008_H2N_09</t>
  </si>
  <si>
    <t>0082_WWI_00002_B8Q_01</t>
  </si>
  <si>
    <t>0082_WWI_00008_T8P_01</t>
  </si>
  <si>
    <t>0082_WWI_00008_H2N_01</t>
  </si>
  <si>
    <t>0082_WWI_00007_Z4M_01</t>
  </si>
  <si>
    <t>0082_WWI_00007_Q9F_01</t>
  </si>
  <si>
    <t>0082_WWI_00008_C7K_01</t>
  </si>
  <si>
    <t>0082_WWI_00008_S5G_01</t>
  </si>
  <si>
    <t>0082_WWI_00003_J8V_06</t>
  </si>
  <si>
    <t>0082_WWI_00007_J57_01</t>
  </si>
  <si>
    <t>0082_WWI_00003_R6D_06</t>
  </si>
  <si>
    <t>0082_WWI_00014_D3R_01</t>
  </si>
  <si>
    <t>0082_WWI_00013_D3R_01</t>
  </si>
  <si>
    <t>0082_WWI_00005_Z1V_01</t>
  </si>
  <si>
    <t>0082_WWI_00006_V6L_01</t>
  </si>
  <si>
    <t>0082_WWI_00006_N1Q_01</t>
  </si>
  <si>
    <t>0082_WWI_00006_K7S_01</t>
  </si>
  <si>
    <t>0082_WWI_00005_J6Q_01</t>
  </si>
  <si>
    <t>0082_WWI_00005_Q4L_01</t>
  </si>
  <si>
    <t>0082_WWI_00008_F3W_01</t>
  </si>
  <si>
    <t>0082_WWI_00003_L3F_01</t>
  </si>
  <si>
    <t>0082_WWI_00005_F9H_01</t>
  </si>
  <si>
    <t>0082_WWI_00008_T6M_01</t>
  </si>
  <si>
    <t>0082_WWI_00008_Y7B_01</t>
  </si>
  <si>
    <t>298M3820JKG (failed); 29JMAMIAHRB</t>
  </si>
  <si>
    <t>GR1</t>
  </si>
  <si>
    <t>GR2</t>
  </si>
  <si>
    <t>Dr. Akis Gerokostantis</t>
  </si>
  <si>
    <t>Department of Chemistry University of Athens</t>
  </si>
  <si>
    <t>Zografou</t>
  </si>
  <si>
    <t>Athens</t>
  </si>
  <si>
    <t>+30 698 18 49 920</t>
  </si>
  <si>
    <t>akisgerok@chem.uoa.gr</t>
  </si>
  <si>
    <t>Àthens WWTP</t>
  </si>
  <si>
    <t>Katerina Tsilipounidaki / Artemis Ntoula</t>
  </si>
  <si>
    <t>Athens Airport</t>
  </si>
  <si>
    <t>Laboratory of clinical Microbiology and Medical Pathogenesis</t>
  </si>
  <si>
    <t>+30698 6251 138 / +30 698 2960 688</t>
  </si>
  <si>
    <t>tsilipoukat@gmail.com, artemisntoula@gmail.com</t>
  </si>
  <si>
    <t>Heraklion WWTP</t>
  </si>
  <si>
    <t>Heraklion Airport</t>
  </si>
  <si>
    <t>1ZRJ7386DK13003516;1ZRJ7386DK15259523</t>
  </si>
  <si>
    <t>1ZRJ7386DK25644025;1ZRJ7386DK20212438</t>
  </si>
  <si>
    <t>1ZRJ7386D931199242</t>
  </si>
  <si>
    <t>1ZRJ7386D901361934;1ZRJ7386D913006742</t>
  </si>
  <si>
    <t>1ZRJ7386DK17329953;1ZRJ7386DK08507563</t>
  </si>
  <si>
    <t>1ZRJ7386DK13355575</t>
  </si>
  <si>
    <t>1ZRJ7386D900929985;1ZRJ7386D916126796</t>
  </si>
  <si>
    <t>1ZRJ73866822969295</t>
  </si>
  <si>
    <t>1ZRJ7386DK35602506;1ZRJ7386DK20206114;1ZRJ7386DK29676127;1ZRJ7386DK31948534</t>
  </si>
  <si>
    <t>1ZRJ7386D939599340;1ZRJ7386D923444554</t>
  </si>
  <si>
    <t>1ZRJ7386DK30140167;1ZRJ7386DK23782175</t>
  </si>
  <si>
    <t>1ZRJ7386DK31506583;1ZRJ7386DK33089398;1ZRJ7386DK34546605</t>
  </si>
  <si>
    <t>1ZRJ7386DK25734213</t>
  </si>
  <si>
    <t>1ZRJ7386DK17282002</t>
  </si>
  <si>
    <t>1ZRJ7386DK17771617</t>
  </si>
  <si>
    <t>1ZRJ76798607526417</t>
  </si>
  <si>
    <t>1ZRJ76798618096424</t>
  </si>
  <si>
    <t>1ZRJ76798616670431</t>
  </si>
  <si>
    <t>1ZRJ76798604848441</t>
  </si>
  <si>
    <t>1ZRJ7386DK11611621</t>
  </si>
  <si>
    <t>1ZRJ7386DK03058030</t>
  </si>
  <si>
    <t>1ZRJ7386D906127045;1ZRJ7386D907442256;1ZRJ7386D910491867;1ZRJ7386D905291879;1ZRJ7386D912098280;1ZRJ7386D915007096;1ZRJ7386D919554309;1ZRJ7386D914315915;1ZRJ7386D916507928;1ZRJ7386D901586335;1ZRJ7386D916847141;1ZRJ7386D919026353;1ZRJ7386D915899963;1ZRJ7386D911883978;1ZRJ7386D917634388;1ZRJ7386D903647195;1ZRJ7386D917858404;1ZRJ7386D907244014;1ZRJ7386D903420027;1ZRJ7386D912242435</t>
  </si>
  <si>
    <t>1ZRJ7386D921948228;1ZRJ7386D929524635;1ZRJ7386D935439449;1ZRJ7386D920908657</t>
  </si>
  <si>
    <t>1ZRJ7386D938988261;1ZRJ7386D936174278;1ZRJ7386D938002682;1ZRJ7386D938649494;1ZRJ7386D934530707;1ZRJ7386D921902311;1ZRJ7386D938460320;1ZRJ7386D928940731;1ZRJ7386D934719540;1ZRJ7386D927412750;1ZRJ7386D926476363;1ZRJ7386D920806374;1ZRJ7386D934338783;1ZRJ7386D935649598;1ZRJ7386D931554803;1ZRJ7386D924710415;1ZRJ7386D935212424;1ZRJ7386D926196835;1ZRJ7386D933439649;1ZRJ7386D938956858</t>
  </si>
  <si>
    <t>1ZRJ7386D928604461;1ZRJ7386D933678471;1ZRJ7386D936514883;1ZRJ7386D920089695</t>
  </si>
  <si>
    <t>Centro Cultural e de Investigação do Funchal</t>
  </si>
  <si>
    <t>1ZRJ7386DK07407244;1ZRJ7386DK08050458</t>
  </si>
  <si>
    <t>Giofirakia</t>
  </si>
  <si>
    <t>715 00</t>
  </si>
  <si>
    <t>Andrea Kalokerinou 13</t>
  </si>
  <si>
    <t>Pteryga 3D</t>
  </si>
  <si>
    <t>29N8J422HMG</t>
  </si>
  <si>
    <t>29K8J6J0L8M</t>
  </si>
  <si>
    <t>2928JK95FBC</t>
  </si>
  <si>
    <t>294MD7F9L4P</t>
  </si>
  <si>
    <t>29JMDMSRJ85</t>
  </si>
  <si>
    <t>294MD3EO50S</t>
  </si>
  <si>
    <t>1ZRJ7386D921618905; 1ZRJ7386D930158510</t>
  </si>
  <si>
    <t xml:space="preserve"> 157 71</t>
  </si>
  <si>
    <t>4ος όροφος, εργαστήριο αριθμός 8</t>
  </si>
  <si>
    <t>1ZRJ76798616416466</t>
  </si>
  <si>
    <t>1ZRJ76798603006478</t>
  </si>
  <si>
    <t>0082_WWI_00001_X3T_01</t>
  </si>
  <si>
    <t>0082_WWI_00001_A7F_01</t>
  </si>
  <si>
    <t>0082_WWI_00008_S3N_09</t>
  </si>
  <si>
    <t>0082_WWI_00007_S3N_09</t>
  </si>
  <si>
    <t>0082_WWI_00007_L9Q_09</t>
  </si>
  <si>
    <t>0082_WWI_00008_L9Q_09</t>
  </si>
  <si>
    <t>0082_WWI_00007_S3N_01</t>
  </si>
  <si>
    <t>0082_WWI_00008_S3N_01</t>
  </si>
  <si>
    <t>0082_WWI_00007_L9Q_01</t>
  </si>
  <si>
    <t>0082_WWI_00007_X1J_01</t>
  </si>
  <si>
    <t>0082_WWI_00008_X1J_01</t>
  </si>
  <si>
    <t>0082_WWI_00008_Y1W_01</t>
  </si>
  <si>
    <t>0082_WWI_00007_Y1W_01</t>
  </si>
  <si>
    <t>0082_WWI_00007_C2M_01</t>
  </si>
  <si>
    <t>0082_WWI_00008_C2M_01</t>
  </si>
  <si>
    <t>0082_WWI_00008_N7B_01</t>
  </si>
  <si>
    <t>0082_WWI_00007_N7B_01</t>
  </si>
  <si>
    <t>0082_WWI_00007_D5P_01</t>
  </si>
  <si>
    <t>0082_WWI_00008_D5P_01</t>
  </si>
  <si>
    <t>0082_WWI_00008_W3K_01</t>
  </si>
  <si>
    <t>0082_WWI_00007_W3K_01</t>
  </si>
  <si>
    <t>0082_WWI_00007_N9G_01</t>
  </si>
  <si>
    <t>0082_WWI_00008_N9G_01</t>
  </si>
  <si>
    <t>0082_WWI_00007_V3C_01</t>
  </si>
  <si>
    <t>0082_WWI_00008_V3C_01</t>
  </si>
  <si>
    <t>1ZRJ76798605600483</t>
  </si>
  <si>
    <t>1ZRJ76798605798495</t>
  </si>
  <si>
    <t>1ZRJ76798605200503</t>
  </si>
  <si>
    <t>1ZRJ76798605406514</t>
  </si>
  <si>
    <t>1ZRJ76798608016529</t>
  </si>
  <si>
    <t>1ZRJ76798614630531</t>
  </si>
  <si>
    <t>1ZRJ76798638585877</t>
  </si>
  <si>
    <t>1ZRJ76798621461282</t>
  </si>
  <si>
    <t>1ZRJ76798622566499</t>
  </si>
  <si>
    <t>1ZRJ76798606848545</t>
  </si>
  <si>
    <t>1ZRJ76798606270552</t>
  </si>
  <si>
    <t>1ZRJ76798630945500</t>
  </si>
  <si>
    <t>1ZRJ76798633962316</t>
  </si>
  <si>
    <t>1ZRJ76798614496562</t>
  </si>
  <si>
    <t>1ZRJ76798613126570</t>
  </si>
  <si>
    <t>1ZRJ76798603760582</t>
  </si>
  <si>
    <t>1ZRJ76798607998597</t>
  </si>
  <si>
    <t>1ZRJ76798607440607</t>
  </si>
  <si>
    <t>1ZRJ76798603686618</t>
  </si>
  <si>
    <t>1ZRJ76798618336629</t>
  </si>
  <si>
    <t>1ZRJ76798612990638</t>
  </si>
  <si>
    <t>1ZRJ76798609248643</t>
  </si>
  <si>
    <t>1ZRJ76798626900922</t>
  </si>
  <si>
    <t>1ZRJ76798630565331</t>
  </si>
  <si>
    <t>1ZRJ76798636879545</t>
  </si>
  <si>
    <t>1ZRJ76798622487557</t>
  </si>
  <si>
    <t>1ZRJ76798608710653</t>
  </si>
  <si>
    <t>1ZRJ76798612976663</t>
  </si>
  <si>
    <t>1ZRJ76798603646670</t>
  </si>
  <si>
    <t>1ZRJ76798602320684</t>
  </si>
  <si>
    <t>1ZRJ76798610598692</t>
  </si>
  <si>
    <t>1ZRJ76798630353364</t>
  </si>
  <si>
    <t>1ZRJ7386DK28204521;1ZRJ7386DK37292937</t>
  </si>
  <si>
    <t>29ZMG5BBNPP</t>
  </si>
  <si>
    <t>29Q8ME7L66N</t>
  </si>
  <si>
    <t>2988MKJISRS</t>
  </si>
  <si>
    <t>29F8M1577OQ</t>
  </si>
  <si>
    <t>29C8MJM680L</t>
  </si>
  <si>
    <t>299MGAS8HIK</t>
  </si>
  <si>
    <t>29Z8M98F163</t>
  </si>
  <si>
    <t>29XMG3JAC6P</t>
  </si>
  <si>
    <t>29Z8M5AKBRI</t>
  </si>
  <si>
    <t>0082_WWI_00009_H2N_01</t>
  </si>
  <si>
    <t>0082_WWI_00009_S5G_01</t>
  </si>
  <si>
    <t>0082_WWI_00009_T8P_01</t>
  </si>
  <si>
    <t>0082_WWI_00003_B8Q_01</t>
  </si>
  <si>
    <t>1ZRJ76798604230456</t>
  </si>
  <si>
    <t>0082_WWI_00005_V2L_01</t>
  </si>
  <si>
    <t>1ZRJ7386DK27630072;1ZRJ7386DK39020459</t>
  </si>
  <si>
    <t>1ZRJ7386DK38850484;1ZRJ7386DK23932066</t>
  </si>
  <si>
    <t>0082_WWI_00002_X3T_01</t>
  </si>
  <si>
    <t>0082_WWI_00008_K8J_01</t>
  </si>
  <si>
    <t>0082_WWI_00009_C7K_01</t>
  </si>
  <si>
    <t>00882_WWI_00015_D3R_01</t>
  </si>
  <si>
    <t>0082_WWI_00009_F3W_01</t>
  </si>
  <si>
    <t>0082_WWI_00004_J8V_07</t>
  </si>
  <si>
    <t>0082_WWI_00009_T6M_01</t>
  </si>
  <si>
    <t>0082_WWI_00009_Y7B_01</t>
  </si>
  <si>
    <t>0082_WWI_00004_L3F_01</t>
  </si>
  <si>
    <t>0082_WWI_00004_R6D_07</t>
  </si>
  <si>
    <t>0082_WWI_00006_Z1V_06</t>
  </si>
  <si>
    <t>0082_WWI_00004_BX3_08</t>
  </si>
  <si>
    <t>0082_WWI_00002_A7F_01</t>
  </si>
  <si>
    <t>0082_WWI_00002_M1C_01</t>
  </si>
  <si>
    <t>0082_WWI_00002_P2D_01</t>
  </si>
  <si>
    <t>0082_WWI_00006_J6Q_01</t>
  </si>
  <si>
    <t>0082_WWI_00003_G6V_01</t>
  </si>
  <si>
    <t>LV1</t>
  </si>
  <si>
    <t>Latvia</t>
  </si>
  <si>
    <t>Zemgales priekšpilsēta</t>
  </si>
  <si>
    <t>Rīga</t>
  </si>
  <si>
    <t>LV-1002</t>
  </si>
  <si>
    <t>+37126666722</t>
  </si>
  <si>
    <t>ernests.lapins@stradini.lv</t>
  </si>
  <si>
    <t>Riga WWTP</t>
  </si>
  <si>
    <t>White building inside the hospital grounds, the closest one to the railway crossing, where Atpūtas iela and Liepājas iela meet</t>
  </si>
  <si>
    <t>Ēka K-40, ja nav skaidrs, zvaniet kontaktpersonai</t>
  </si>
  <si>
    <t>Shipping Date (SD-14)</t>
  </si>
  <si>
    <t>1ZRJ76798639360974</t>
  </si>
  <si>
    <t>1ZRJ76798621914382</t>
  </si>
  <si>
    <t>1ZRJ76798612048746</t>
  </si>
  <si>
    <t>1ZRJ76798611550758</t>
  </si>
  <si>
    <t>1ZRJ76798601280783</t>
  </si>
  <si>
    <t>1ZRJ76798601446818</t>
  </si>
  <si>
    <t>1ZRJ76798600176826</t>
  </si>
  <si>
    <t>1ZRJ76798610910834</t>
  </si>
  <si>
    <t>1ZRJ76798615248846</t>
  </si>
  <si>
    <t>1ZRJ76798629537598</t>
  </si>
  <si>
    <t>1ZRJ76798626474607</t>
  </si>
  <si>
    <t>1ZRJ76798631289414</t>
  </si>
  <si>
    <t>1ZRJ76798626466027</t>
  </si>
  <si>
    <t>1ZRJ76798636008431</t>
  </si>
  <si>
    <t>1ZRJ76798614790850</t>
  </si>
  <si>
    <t>1ZRJ76798611136867</t>
  </si>
  <si>
    <t>1ZRJ76798631040646</t>
  </si>
  <si>
    <t>1ZRJ76798623406650</t>
  </si>
  <si>
    <t>1ZRJ76798627270469</t>
  </si>
  <si>
    <t>1ZRJ76798605886872</t>
  </si>
  <si>
    <t>1ZRJ76798628716075</t>
  </si>
  <si>
    <t>1ZRJ76798600640887</t>
  </si>
  <si>
    <t>1ZRJ76798616998892</t>
  </si>
  <si>
    <t>1ZRJ76798616560907</t>
  </si>
  <si>
    <t>1ZRJ76798600926917</t>
  </si>
  <si>
    <t>1ZRJ76798611696922</t>
  </si>
  <si>
    <t>1ZRJ76798610470935</t>
  </si>
  <si>
    <t>1ZRJ76798618848942</t>
  </si>
  <si>
    <t>1ZRJ76798618430955</t>
  </si>
  <si>
    <t>1ZRJ76798610816964</t>
  </si>
  <si>
    <t>1ZRJ7386DK00348062;1ZRJ7386DK03116075</t>
  </si>
  <si>
    <t>1ZRJ7386DK17410480;1ZRJ7386DK00127292</t>
  </si>
  <si>
    <t>1ZRJ7386D909410705;1ZRJ7386D912268319;1ZRJ7386D903996326;1ZRJ7386D901650738</t>
  </si>
  <si>
    <t>1ZRJ7386DK27599741;1ZRJ7386DK31540956</t>
  </si>
  <si>
    <t>1ZRJ7386DK21372568</t>
  </si>
  <si>
    <t>1ZRJ7386DK18127544</t>
  </si>
  <si>
    <t>1ZRJ7386D927969794;1ZRJ7386D920723007</t>
  </si>
  <si>
    <t>1ZRJ7386D919762754;1ZRJ7386D907932360</t>
  </si>
  <si>
    <t>1ZRJ7386DK34246617;1ZRJ7386DK33436628;1ZRJ7386DK38229030;1ZRJ7386DK33199840</t>
  </si>
  <si>
    <t>1ZRJ7386DK21165050</t>
  </si>
  <si>
    <t>1ZRJ7386D920780660;1ZRJ7386D928142675</t>
  </si>
  <si>
    <t>1ZRJ7386DK22387087</t>
  </si>
  <si>
    <t>1ZRJ7386DK04652378</t>
  </si>
  <si>
    <t>1ZRJ7386DK02178788</t>
  </si>
  <si>
    <t>1ZRJ7386DK16607592;1ZRJ7386DK05474809</t>
  </si>
  <si>
    <t>1ZRJ7386DK09356411</t>
  </si>
  <si>
    <t>1ZRJ7386DK17468428;1ZRJ7386DK17266833;1ZRJ7386DK08047640</t>
  </si>
  <si>
    <t>1ZRJ7386D918546856;1ZRJ7386D908540460</t>
  </si>
  <si>
    <t>1ZRJ76798623347483</t>
  </si>
  <si>
    <t>1ZRJ76798621888698</t>
  </si>
  <si>
    <t>Kam tai gali rūpėti</t>
  </si>
  <si>
    <t>“Mes, Eurofins Analytico BV, šiuo dokumentu pareiškiame, kad produktas ...vandens mėginys..., kurio pagrindinė sudėtinė dalis yra vanduo, nėra toksiškas, sprogi, oksiduojanti, infekcinė, radioaktyvi, ėsdinanti, magnetinė ar pavojinga aplinkai ir nedeganti. Uždaroje tiglyje pliūpsnio temperatūra yra &gt;100 °C.
Todėl, pagal IATA ir ICAO reglamentus (18 priedas) dėl pavojingų krovinių, šis produktas nėra klasifikuojamas kaip pavojingas krovinys ir nekelia pavojaus oro transportui.“</t>
  </si>
  <si>
    <t>29J8M8OR4DN; 
29GMM13KC2D</t>
  </si>
  <si>
    <t>AT1</t>
  </si>
  <si>
    <t>AKH Wien</t>
  </si>
  <si>
    <t>Austria</t>
  </si>
  <si>
    <t>Währinger Gürtel 18-20</t>
  </si>
  <si>
    <t>Wien</t>
  </si>
  <si>
    <t>oliver.kimberger@meduniwien.ac.at</t>
  </si>
  <si>
    <t>Wien WWTP</t>
  </si>
  <si>
    <t>29Q91AM1HQ5</t>
  </si>
  <si>
    <t>1ZRJ7386D914444473</t>
  </si>
  <si>
    <t>29X910QD6KH</t>
  </si>
  <si>
    <t>1ZRJ76798617606973</t>
  </si>
  <si>
    <t xml:space="preserve">Ernests Lapins </t>
  </si>
  <si>
    <t>Paula Stradina Klīniska slimnica</t>
  </si>
  <si>
    <t>Pilsonu iela 13</t>
  </si>
  <si>
    <t>1ZRJ7679D923783704; 1ZRJ7679D938796511</t>
  </si>
  <si>
    <t>1ZRJ76798636611127</t>
  </si>
  <si>
    <t>1ZRJ76798624431531</t>
  </si>
  <si>
    <t>29GN023F7DF</t>
  </si>
  <si>
    <t>29Z9165KOCD NEW: 29H968K0995</t>
  </si>
  <si>
    <t>29891M1R0NF NEW: 29H968K0995</t>
  </si>
  <si>
    <t>1ZRJ7386DK09356411;1ZRJ7D924867104</t>
  </si>
  <si>
    <t>1ZRJ7386D932974714</t>
  </si>
  <si>
    <t>1ZRJ73868618914880</t>
  </si>
  <si>
    <t>1ZRJ7386D901931372</t>
  </si>
  <si>
    <t>1ZRJ7386DK36482000;1ZRJ7386DK32165619;1ZRJ7386DK31915622;1ZRJ7386DK31668033</t>
  </si>
  <si>
    <t>Prof. Dr. Oliver Kimberger / Marija Markovic</t>
  </si>
  <si>
    <t>+43140400-41020 / +43140400-41025</t>
  </si>
  <si>
    <t>29H9CCMLM0I</t>
  </si>
  <si>
    <t>1ZRJ7679D932581745</t>
  </si>
  <si>
    <t>1ZRJ73868604447698</t>
  </si>
  <si>
    <t>1ZRJ7679D928105759</t>
  </si>
  <si>
    <t>1ZRJ73868626908729</t>
  </si>
  <si>
    <t>1ZRJ7679DK00400986</t>
  </si>
  <si>
    <t>1ZRJ73868625005134</t>
  </si>
  <si>
    <t>29TNC2PDP6H</t>
  </si>
  <si>
    <t>29WNCHOBC0P</t>
  </si>
  <si>
    <t>29MNC4JMRDI</t>
  </si>
  <si>
    <t>292NC4HRIPB</t>
  </si>
  <si>
    <t>29FNC8G1F7K?</t>
  </si>
  <si>
    <t>29FNC98FLPC</t>
  </si>
  <si>
    <t>29FNC8G1F7K</t>
  </si>
  <si>
    <t>29RNCA20K40</t>
  </si>
  <si>
    <t>1ZRJ7386D910978903; 1ZRJ7386D917484513</t>
  </si>
  <si>
    <t>1ZRJ73868607580529</t>
  </si>
  <si>
    <t>1ZRJ73868619122939</t>
  </si>
  <si>
    <t>18 0049 5174</t>
  </si>
  <si>
    <t>18 0049 5270</t>
  </si>
  <si>
    <t>29RNDAJ7II7</t>
  </si>
  <si>
    <t>29FND5C3NPN</t>
  </si>
  <si>
    <t>29MND16RRGO</t>
  </si>
  <si>
    <t>29WNDIN6QCN</t>
  </si>
  <si>
    <t>29X9J2Q114J</t>
  </si>
  <si>
    <t>2969JDFFLFG</t>
  </si>
  <si>
    <t>29K9JCBLEE1</t>
  </si>
  <si>
    <t>2949J6IDRPS</t>
  </si>
  <si>
    <t>29X9J243GHG</t>
  </si>
  <si>
    <t>PRG251009012088</t>
  </si>
  <si>
    <t>29L9JDLI2RR</t>
  </si>
  <si>
    <t>29BNDB3SEI2</t>
  </si>
  <si>
    <t>Ask for Dr. Akis Gerokostantis, water samples</t>
  </si>
  <si>
    <t>294NDDLQ9AO</t>
  </si>
  <si>
    <t>29P9JBN64B2</t>
  </si>
  <si>
    <t>Ask for K. Tsilipounidaki / Artemis Ntoula, water samples</t>
  </si>
  <si>
    <t>29Q9J399PPM</t>
  </si>
  <si>
    <t>9e etage, Rotes Bettenhaus, zimmer 9.9i.27.</t>
  </si>
  <si>
    <t>1ZRJ7386D926239940; 1ZRJ7386D923829157</t>
  </si>
  <si>
    <t>1ZRJ7386D922828767; 1ZRJ7386D921734771</t>
  </si>
  <si>
    <t>1ZRJ7386D938083185</t>
  </si>
  <si>
    <t>1ZRJ7386D917807745</t>
  </si>
  <si>
    <t>1ZRJ7386D914770950; 1ZRJ7386D908188566</t>
  </si>
  <si>
    <t>1ZRJ7386D908876572</t>
  </si>
  <si>
    <t>1ZRJ7386D938049990; 1ZRJ7386D930051205</t>
  </si>
  <si>
    <t>1ZRJ7386D922342817; 1ZRJ7386D924620825</t>
  </si>
  <si>
    <t>1ZRJ7386D933621236; 1ZRJ7386D922720042</t>
  </si>
  <si>
    <t>1ZRJ7386DK09890987;1ZRJ7386DK00127792;1ZRJ7386DK01923009;1ZRJ7386DK12652611</t>
  </si>
  <si>
    <t>1ZRJ7386D935533257</t>
  </si>
  <si>
    <t>1ZRJ7386D923516860</t>
  </si>
  <si>
    <t>1ZRJ7386D910332627; 1ZRJ7386D903219031</t>
  </si>
  <si>
    <t>1ZRJ7386D927566871</t>
  </si>
  <si>
    <t>1ZRJ7386DK23619280;1ZRJ7386DK32250099;1ZRJ7386DK32275303</t>
  </si>
  <si>
    <t>1ZRJ73868638350915</t>
  </si>
  <si>
    <t>1ZRJ73868622572929</t>
  </si>
  <si>
    <t>1ZRJ73868603407849</t>
  </si>
  <si>
    <t>1ZRJ73868604435058</t>
  </si>
  <si>
    <t>1ZRJ73868602876666</t>
  </si>
  <si>
    <t>1ZRJ73868603948676</t>
  </si>
  <si>
    <t>1ZRJ73868611107087</t>
  </si>
  <si>
    <t>1ZRJ73868619647891</t>
  </si>
  <si>
    <t>1ZRJ73868620077334</t>
  </si>
  <si>
    <t>1ZRJ73868614307105</t>
  </si>
  <si>
    <t>1ZRJ73868610860710</t>
  </si>
  <si>
    <t>1ZRJ73868601724723</t>
  </si>
  <si>
    <t>1ZRJ73868605555131</t>
  </si>
  <si>
    <t>29P9JARDH0K, 294NF2A1K56</t>
  </si>
  <si>
    <t>Exception</t>
  </si>
  <si>
    <t>Yes</t>
  </si>
  <si>
    <t>20-Oct</t>
  </si>
  <si>
    <t>21-Oct</t>
  </si>
  <si>
    <t>22-Oct</t>
  </si>
  <si>
    <t>23-Oct</t>
  </si>
  <si>
    <t>24-Oct</t>
  </si>
  <si>
    <t>1ZRJ73868638640147</t>
  </si>
  <si>
    <t>1ZRJ73868632277355</t>
  </si>
  <si>
    <t>1ZRJ73868638844963</t>
  </si>
  <si>
    <t>1ZRJ73868630509536</t>
  </si>
  <si>
    <t>1ZRJ73868632800341</t>
  </si>
  <si>
    <t>1ZRJ73868624885552</t>
  </si>
  <si>
    <t>1ZRJ73868637421162</t>
  </si>
  <si>
    <t>1ZRJ73868638503170</t>
  </si>
  <si>
    <t>1ZRJ73868639267586</t>
  </si>
  <si>
    <t>1ZRJ73868607395300</t>
  </si>
  <si>
    <t>1ZRJ73868600396910</t>
  </si>
  <si>
    <t>1ZRJ73868623490391</t>
  </si>
  <si>
    <t>1ZRJ73868621187606</t>
  </si>
  <si>
    <t>1ZRJ73868626215218</t>
  </si>
  <si>
    <t>1ZRJ73868637869224</t>
  </si>
  <si>
    <t>1ZRJ73868614428921</t>
  </si>
  <si>
    <t>1ZRJ73868608947337</t>
  </si>
  <si>
    <t>1ZRJ73868615248141</t>
  </si>
  <si>
    <t>1ZRJ73868626485632</t>
  </si>
  <si>
    <t>1ZRJ76798620584857</t>
  </si>
  <si>
    <t>1ZRJ7679D900798992; 1ZRJ7679D900401007; 1ZRJ7679D902849049; 1ZRJ7679D900561086; 1ZRJ7679D915937125; 1ZRJ7679D911377167; 1ZRJ7679D900807016; 1ZRJ7679D902471054; 1ZRJ7679D904999099; 1ZRJ7679D910791130; 1ZRJ7679D902247172; 1ZRJ7679D903617029; 1ZRJ7679D910897062; 1ZRJ7679D904641107; 1ZRJ7679D907249143; 1ZRJ7679D901121184; 1ZRJ7679D910431037; 1ZRJ7679D909727079; 1ZRJ7679D901087114; 1ZRJ7679D906911151</t>
  </si>
  <si>
    <t>1ZRJ7679D925502843; 1ZRJ7679D909599191</t>
  </si>
  <si>
    <t>1ZRJ7679D936367569; 1ZRJ7679D930651173; 1ZRJ7679D901767219; 1ZRJ7679D909281201</t>
  </si>
  <si>
    <t>1ZRJ7679D929760585</t>
  </si>
  <si>
    <t>1ZRJ7679D923619794</t>
  </si>
  <si>
    <t>1ZRJ7679D921336227; 1ZRJ7679D939834638</t>
  </si>
  <si>
    <t>1ZRJ7679D921644662;1ZRJ7679D929166272</t>
  </si>
  <si>
    <t>1ZRJ76790425153681;1ZRJ76790438730890</t>
  </si>
  <si>
    <t>1ZRJ7386D901602503;1ZRJ7386D907212110;1ZRJ7386D902972120;1ZRJ7386D905138535;1ZRJ7386D913807341;1ZRJ7386D910514556;1ZRJ7386D919836166;1ZRJ7386D914988172;1ZRJ7386D907426587;1ZRJ7386D900447399;1ZRJ7386D906786600;1ZRJ7386D910220211;1ZRJ7386D911164227;1ZRJ7386D916274635;1ZRJ7386D912047441;1ZRJ7386D902418658;1ZRJ7386D910364263;1ZRJ7386D903500271;1ZRJ7386D903682683;1ZRJ7386D900607493;1zrj7679d908657227</t>
  </si>
  <si>
    <t>1ZRJ7679D908657227</t>
  </si>
  <si>
    <t>Zendingen retour afzender gestuurd door UPS. Opnieuw verzonden met nieuwe outbound labels, zie ID 249</t>
  </si>
  <si>
    <t>Zendingen retour afzender gestuurd door UPS. Opnieuw verzonden met nieuwe outbound labels, zie ID 250</t>
  </si>
  <si>
    <t>1 zending stond vast in Eindhoven. Deze opnieuw verstuurd vanaf Barneveld. Zie ID 251</t>
  </si>
  <si>
    <t>zending stond 2 weken vast in Athene, ging niet geleverd worden voor sampling date. Met spoed 2 nieuwe boxen uitgestuurd via DHL, zie ID 252</t>
  </si>
  <si>
    <t>29VNNA4F4PO</t>
  </si>
  <si>
    <t>n</t>
  </si>
  <si>
    <t>1ZRJ73866828783313</t>
  </si>
  <si>
    <t>1ZRJ73868604208240</t>
  </si>
  <si>
    <t>Berlin (delivery)</t>
  </si>
  <si>
    <t>Vilnius (delivery)</t>
  </si>
  <si>
    <t>1ZRJ7386DK00348062
1ZRJ7386DK03116075</t>
  </si>
  <si>
    <t>1ZRJ7386DK17410480
1ZRJ7386DK00127292</t>
  </si>
  <si>
    <t>1ZRJ7386D920780660
1ZRJ7386D928142675</t>
  </si>
  <si>
    <t>1ZRJ7386DK34246617
1ZRJ7386DK33436628
1ZRJ7386DK38229030
1ZRJ7386DK33199840</t>
  </si>
  <si>
    <t>1ZRJ7386DK16607592
1ZRJ7386DK05474809</t>
  </si>
  <si>
    <t>1ZRJ7386DK17468428
1ZRJ7386DK17266833
1ZRJ7386DK08047640</t>
  </si>
  <si>
    <t>1ZRJ7679D921644662
1ZRJ7679D929166272</t>
  </si>
  <si>
    <t>1ZRJ76790425153681
1ZRJ76790438730890</t>
  </si>
  <si>
    <t>1ZRJ7386D909410705
1ZRJ7386D912268319
1ZRJ7386D903996326
1ZRJ7386D901650738</t>
  </si>
  <si>
    <t>1ZRJ7386DK27599741
1ZRJ7386DK31540956</t>
  </si>
  <si>
    <t>6696852702</t>
  </si>
  <si>
    <t>Berlin (LOT3 delivery)</t>
  </si>
  <si>
    <t>Brussels (delivery)</t>
  </si>
  <si>
    <t>Uppsala (delivery)</t>
  </si>
  <si>
    <t>Aachen (delivery)</t>
  </si>
  <si>
    <t>Bologna (delivery)</t>
  </si>
  <si>
    <t>Wien (delivery)</t>
  </si>
  <si>
    <t>Larnaca (delivery)</t>
  </si>
  <si>
    <t>Munich (delivery)</t>
  </si>
  <si>
    <t>Frankfurt (delivery)</t>
  </si>
  <si>
    <t>Prague (delivery)</t>
  </si>
  <si>
    <t>Dusseldorf (delivery)</t>
  </si>
  <si>
    <t>Cluj SCBI (delivery)</t>
  </si>
  <si>
    <t>Cluj MNC (delivery)</t>
  </si>
  <si>
    <t>Luxembourg (delivery)</t>
  </si>
  <si>
    <t>Heraklion (delivery)</t>
  </si>
  <si>
    <t>Rome WWTP (delivery)</t>
  </si>
  <si>
    <t>Rome Airport (delivery)</t>
  </si>
  <si>
    <t>Funchal (LOT3 delivery)</t>
  </si>
  <si>
    <t>Athens (delivery)</t>
  </si>
  <si>
    <t>1ZRJ7386D901602503
1ZRJ7386D907212110
1ZRJ7386D902972120
1ZRJ7386D905138535
1ZRJ7386D913807341
1ZRJ7679D908657227
1ZRJ7386D919836166
1ZRJ7386D914988172
1ZRJ7386D907426587
1ZRJ7386D900447399
1ZRJ7386D906786600
1ZRJ7386D910220211
1ZRJ7386D911164227
1ZRJ7386D916274635
1ZRJ7386D912047441
1ZRJ7386D902418658
1ZRJ7386D910364263
1ZRJ7386D903500271
1ZRJ7386D903682683
1ZRJ7386D900607493
1ZRJ7679D908657227</t>
  </si>
  <si>
    <t>Osaka (delivery)</t>
  </si>
  <si>
    <t xml:space="preserve">Shipment </t>
  </si>
  <si>
    <t>Waybill</t>
  </si>
  <si>
    <t>Berlin (pick-up, 20/10)</t>
  </si>
  <si>
    <t>Brussels (pick-up, 21/10)</t>
  </si>
  <si>
    <t>Dusseldorf (pick-up, 21/10)</t>
  </si>
  <si>
    <t>Cluj SCBI (pick-up, 21/10)</t>
  </si>
  <si>
    <t>Cluj MNC (pick-up, 21/10)</t>
  </si>
  <si>
    <t>Bologna (pick-up, 21/10)</t>
  </si>
  <si>
    <t>Munich (pick-up, 22/10)</t>
  </si>
  <si>
    <t>Frankfurt (pick-up, 22/10)</t>
  </si>
  <si>
    <t>Rome WWTP (pick-up, 22/10)</t>
  </si>
  <si>
    <t>Rome Airport (pick-up, 22/10)</t>
  </si>
  <si>
    <t>Prague (pick-up, 22/10)</t>
  </si>
  <si>
    <t>Larnaca (pick-up, 22/10)</t>
  </si>
  <si>
    <t>Vilnius (pick-up, 22/10)</t>
  </si>
  <si>
    <t>Aachen (pick-up, 22/10)</t>
  </si>
  <si>
    <t>Wien (pick-up, 22/10)</t>
  </si>
  <si>
    <t>Luxembourg (pick-up, 22/10)</t>
  </si>
  <si>
    <t>Vilnius (pick-up, 23/10)</t>
  </si>
  <si>
    <t>Funchal (pick-up, 23/10)</t>
  </si>
  <si>
    <t>Uppsala (pick-up, 23/10)</t>
  </si>
  <si>
    <t>Athens (pick-up, 23/10)</t>
  </si>
  <si>
    <t>Heraklion (pick-up, 24/10)</t>
  </si>
  <si>
    <t>Osaka (pick-up, 28/10)</t>
  </si>
  <si>
    <t>Riga (pick-up, 28/10)</t>
  </si>
  <si>
    <t>1800495174
1094957614</t>
  </si>
  <si>
    <t>1ZRJ76798612048746
1ZRJ76798611550758</t>
  </si>
  <si>
    <t>Riga (delivery)</t>
  </si>
  <si>
    <t>1ZRJ76798618430955
1ZRJ76798610816964</t>
  </si>
  <si>
    <t>1ZRJ7386D910978903
1ZRJ7386D917484513</t>
  </si>
  <si>
    <t>1ZRJ7386D935289898
1ZRJ7386D924867104</t>
  </si>
  <si>
    <t>1ZRJ76798621914382
1ZRJ76798614790850</t>
  </si>
  <si>
    <t>1ZRJ76798611136867
1ZRJ76798639360974</t>
  </si>
  <si>
    <t>1ZRJ76798623406650
1ZRJ76798627270469</t>
  </si>
  <si>
    <t>1ZRJ76798600640887
1ZRJ76798616998892</t>
  </si>
  <si>
    <t>1ZRJ76798601446818
1ZRJ76798600176826</t>
  </si>
  <si>
    <t>1ZRJ73868607580529
1ZRJ73868619122939</t>
  </si>
  <si>
    <t>1ZRJ76798629537598
1ZRJ76798626466027
1ZRJ76798626474607
1ZRJ76798631289414</t>
  </si>
  <si>
    <t>1ZRJ76798611696922
1ZRJ76798610470935</t>
  </si>
  <si>
    <t>Funchal (LOT3 pick-up, 23/10)</t>
  </si>
  <si>
    <t>Berlin (LOT3 pick-up, 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</si>
</sst>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12"/>
      <color theme="1"/>
      <name val="Aptos Narrow"/>
      <family val="2"/>
      <scheme val="minor"/>
    </font>
    <font>
      <sz val="11"/>
      <color rgb="FF000000"/>
      <name val="Aptos Narrow"/>
      <family val="2"/>
      <scheme val="minor"/>
    </font>
    <font>
      <sz val="5"/>
      <color theme="1"/>
      <name val="Arial"/>
      <family val="2"/>
    </font>
    <font>
      <sz val="5"/>
      <color rgb="FF1F1F1F"/>
      <name val="Arial"/>
      <family val="2"/>
    </font>
    <font>
      <sz val="5"/>
      <color theme="1"/>
      <name val="Aptos Narrow"/>
      <family val="2"/>
      <scheme val="minor"/>
    </font>
    <font>
      <b/>
      <sz val="8"/>
      <color theme="1"/>
      <name val="Aptos Narrow"/>
      <family val="2"/>
      <scheme val="minor"/>
    </font>
    <font>
      <sz val="9"/>
      <color indexed="81"/>
      <name val="Tahoma"/>
      <family val="2"/>
    </font>
    <font>
      <b/>
      <sz val="9"/>
      <color indexed="81"/>
      <name val="Tahoma"/>
      <family val="2"/>
    </font>
    <font>
      <sz val="11"/>
      <color rgb="FFFF0000"/>
      <name val="Aptos Narrow"/>
      <family val="2"/>
      <scheme val="minor"/>
    </font>
    <font>
      <sz val="10"/>
      <name val="Arial"/>
      <family val="2"/>
    </font>
    <font>
      <sz val="10"/>
      <name val="Arial"/>
      <family val="2"/>
    </font>
    <font>
      <sz val="10"/>
      <name val="Arial"/>
      <family val="2"/>
    </font>
    <font>
      <sz val="11"/>
      <color rgb="FF000000"/>
      <name val="Aptos Narrow"/>
      <family val="2"/>
    </font>
    <font>
      <b/>
      <i/>
      <sz val="11"/>
      <color rgb="FFFF0000"/>
      <name val="Aptos Narrow"/>
      <family val="2"/>
      <scheme val="minor"/>
    </font>
    <font>
      <sz val="11"/>
      <color rgb="FF222222"/>
      <name val="Aptos Narrow"/>
      <family val="2"/>
      <scheme val="minor"/>
    </font>
    <font>
      <sz val="12"/>
      <color theme="1"/>
      <name val="Aptos"/>
      <family val="2"/>
    </font>
    <font>
      <sz val="11"/>
      <color theme="1"/>
      <name val="Calibri"/>
      <family val="2"/>
    </font>
    <font>
      <sz val="10"/>
      <name val="Arial"/>
      <family val="2"/>
    </font>
    <font>
      <sz val="11"/>
      <color theme="5"/>
      <name val="Aptos Narrow"/>
      <family val="2"/>
      <scheme val="minor"/>
    </font>
    <font>
      <sz val="10"/>
      <color rgb="FF000000"/>
      <name val="Tahoma"/>
      <family val="2"/>
    </font>
    <font>
      <sz val="11"/>
      <color theme="1"/>
      <name val="Aptos"/>
      <family val="2"/>
    </font>
  </fonts>
  <fills count="8">
    <fill>
      <patternFill patternType="none"/>
    </fill>
    <fill>
      <patternFill patternType="gray125"/>
    </fill>
    <fill>
      <patternFill patternType="solid">
        <fgColor theme="4" tint="0.79998168889431442"/>
        <bgColor theme="4" tint="0.79998168889431442"/>
      </patternFill>
    </fill>
    <fill>
      <patternFill patternType="solid">
        <fgColor theme="5"/>
        <bgColor indexed="64"/>
      </patternFill>
    </fill>
    <fill>
      <patternFill patternType="solid">
        <fgColor theme="6"/>
        <bgColor indexed="64"/>
      </patternFill>
    </fill>
    <fill>
      <patternFill patternType="solid">
        <fgColor theme="9" tint="-0.249977111117893"/>
        <bgColor indexed="64"/>
      </patternFill>
    </fill>
    <fill>
      <patternFill patternType="solid">
        <fgColor rgb="FFFF5050"/>
        <bgColor indexed="64"/>
      </patternFill>
    </fill>
    <fill>
      <patternFill patternType="solid">
        <fgColor rgb="FFFF0000"/>
        <bgColor indexed="64"/>
      </patternFill>
    </fill>
  </fills>
  <borders count="4">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s>
  <cellStyleXfs count="4">
    <xf numFmtId="0" fontId="0" fillId="0" borderId="0"/>
    <xf numFmtId="0" fontId="2"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37">
    <xf numFmtId="0" fontId="0" fillId="0" borderId="0" xfId="0"/>
    <xf numFmtId="0" fontId="1" fillId="0" borderId="0" xfId="0" applyFont="1" applyFill="1" applyAlignment="1">
      <alignment horizontal="left" vertical="top"/>
    </xf>
    <xf numFmtId="0" fontId="0" fillId="0" borderId="0" xfId="0" applyAlignment="1">
      <alignment horizontal="left"/>
    </xf>
    <xf numFmtId="0" fontId="0" fillId="0" borderId="0" xfId="0" applyFont="1"/>
    <xf numFmtId="0" fontId="0" fillId="0" borderId="0" xfId="0" applyFont="1" applyAlignment="1">
      <alignment horizontal="left"/>
    </xf>
    <xf numFmtId="2" fontId="0" fillId="0" borderId="0" xfId="0" quotePrefix="1" applyNumberFormat="1" applyFont="1"/>
    <xf numFmtId="0" fontId="0" fillId="0" borderId="0" xfId="0" applyFont="1" applyAlignment="1">
      <alignment vertical="center"/>
    </xf>
    <xf numFmtId="14" fontId="0" fillId="0" borderId="0" xfId="0" applyNumberFormat="1" applyAlignment="1">
      <alignment horizontal="left"/>
    </xf>
    <xf numFmtId="0" fontId="0" fillId="0" borderId="0" xfId="0" applyAlignment="1">
      <alignment horizontal="center"/>
    </xf>
    <xf numFmtId="0" fontId="1" fillId="0" borderId="2" xfId="0" applyFont="1" applyBorder="1"/>
    <xf numFmtId="0" fontId="1" fillId="0" borderId="2" xfId="0" applyFont="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left" vertical="center"/>
    </xf>
    <xf numFmtId="0" fontId="0" fillId="0" borderId="0" xfId="0" applyAlignment="1">
      <alignment vertical="center"/>
    </xf>
    <xf numFmtId="0" fontId="4" fillId="0" borderId="0" xfId="0" applyFont="1" applyAlignment="1">
      <alignment horizontal="left" vertical="center"/>
    </xf>
    <xf numFmtId="0" fontId="4" fillId="0" borderId="0" xfId="0" applyFont="1" applyAlignment="1">
      <alignment vertical="center"/>
    </xf>
    <xf numFmtId="0" fontId="4" fillId="4" borderId="0" xfId="0" applyFont="1" applyFill="1" applyAlignment="1">
      <alignment vertical="center"/>
    </xf>
    <xf numFmtId="0" fontId="4" fillId="3" borderId="0" xfId="0" applyFont="1" applyFill="1" applyAlignment="1">
      <alignment vertical="center"/>
    </xf>
    <xf numFmtId="14" fontId="0" fillId="0" borderId="0" xfId="0" applyNumberFormat="1" applyAlignment="1">
      <alignment horizontal="left" vertical="center"/>
    </xf>
    <xf numFmtId="0" fontId="0" fillId="0" borderId="0" xfId="0" applyNumberFormat="1" applyAlignment="1">
      <alignment horizontal="left" vertical="center"/>
    </xf>
    <xf numFmtId="0" fontId="0" fillId="0" borderId="0" xfId="0" applyAlignment="1">
      <alignment horizontal="left" vertical="center" wrapText="1"/>
    </xf>
    <xf numFmtId="14" fontId="0" fillId="0" borderId="0" xfId="0" applyNumberFormat="1" applyBorder="1" applyAlignment="1">
      <alignment horizontal="left" vertical="center"/>
    </xf>
    <xf numFmtId="0" fontId="1" fillId="0" borderId="0" xfId="0" applyFont="1" applyAlignment="1">
      <alignment vertical="center"/>
    </xf>
    <xf numFmtId="14" fontId="0" fillId="0" borderId="1" xfId="0" applyNumberFormat="1" applyBorder="1" applyAlignment="1">
      <alignment horizontal="left" vertical="center"/>
    </xf>
    <xf numFmtId="14" fontId="0" fillId="0" borderId="0" xfId="0" applyNumberFormat="1" applyFont="1" applyFill="1" applyBorder="1" applyAlignment="1">
      <alignment horizontal="left" vertical="center"/>
    </xf>
    <xf numFmtId="14" fontId="0" fillId="0" borderId="0" xfId="0" applyNumberFormat="1" applyFill="1" applyBorder="1" applyAlignment="1">
      <alignment horizontal="left" vertical="center"/>
    </xf>
    <xf numFmtId="0" fontId="4" fillId="5" borderId="0" xfId="0" applyFont="1" applyFill="1" applyAlignment="1">
      <alignment vertical="center"/>
    </xf>
    <xf numFmtId="0" fontId="4" fillId="5" borderId="0" xfId="0" applyFont="1" applyFill="1" applyAlignment="1">
      <alignment horizontal="left" vertical="center"/>
    </xf>
    <xf numFmtId="0" fontId="7" fillId="0" borderId="0" xfId="0" applyFont="1" applyAlignment="1">
      <alignment horizontal="left" vertical="center" wrapText="1"/>
    </xf>
    <xf numFmtId="0" fontId="6" fillId="0" borderId="0" xfId="0" applyFont="1" applyAlignment="1">
      <alignment horizontal="left" vertical="center" wrapText="1"/>
    </xf>
    <xf numFmtId="0" fontId="9" fillId="0" borderId="0" xfId="0" applyFont="1"/>
    <xf numFmtId="0" fontId="9" fillId="0" borderId="0" xfId="0" applyFont="1" applyAlignment="1">
      <alignment horizontal="center"/>
    </xf>
    <xf numFmtId="0" fontId="1" fillId="0" borderId="0" xfId="0" applyFont="1"/>
    <xf numFmtId="14" fontId="0" fillId="0" borderId="0" xfId="0" applyNumberFormat="1" applyAlignment="1">
      <alignment horizontal="left" vertical="center"/>
    </xf>
    <xf numFmtId="0" fontId="2" fillId="0" borderId="0" xfId="1" applyAlignment="1">
      <alignment vertical="center"/>
    </xf>
    <xf numFmtId="0" fontId="13" fillId="0" borderId="0" xfId="2" applyFont="1" applyFill="1" applyBorder="1" applyAlignment="1" applyProtection="1">
      <alignment vertical="center" wrapText="1"/>
    </xf>
    <xf numFmtId="0" fontId="0" fillId="0" borderId="0" xfId="0" applyNumberFormat="1" applyAlignment="1">
      <alignment horizontal="left" vertical="center" wrapText="1"/>
    </xf>
    <xf numFmtId="0" fontId="8" fillId="0" borderId="0" xfId="0" applyFont="1" applyAlignment="1">
      <alignment vertical="center"/>
    </xf>
    <xf numFmtId="16" fontId="0" fillId="0" borderId="0" xfId="0" applyNumberFormat="1" applyAlignment="1">
      <alignment horizontal="left" vertical="center"/>
    </xf>
    <xf numFmtId="0" fontId="4" fillId="3" borderId="0" xfId="0" applyFont="1" applyFill="1" applyAlignment="1">
      <alignment horizontal="left" vertical="center"/>
    </xf>
    <xf numFmtId="0" fontId="2" fillId="0" borderId="0" xfId="1" applyAlignment="1">
      <alignment horizontal="left" vertical="center"/>
    </xf>
    <xf numFmtId="0" fontId="0" fillId="0" borderId="1" xfId="0" applyFont="1" applyBorder="1" applyAlignment="1">
      <alignment vertical="center"/>
    </xf>
    <xf numFmtId="0" fontId="0" fillId="0" borderId="0" xfId="0" applyFont="1" applyFill="1" applyBorder="1" applyAlignment="1">
      <alignment horizontal="left" vertical="center"/>
    </xf>
    <xf numFmtId="0" fontId="0" fillId="0" borderId="0" xfId="0" applyFill="1" applyBorder="1" applyAlignment="1">
      <alignment horizontal="left" vertical="center"/>
    </xf>
    <xf numFmtId="0" fontId="0" fillId="0" borderId="0" xfId="0" applyAlignment="1">
      <alignment vertical="center" wrapText="1"/>
    </xf>
    <xf numFmtId="0" fontId="0" fillId="0" borderId="0" xfId="1" applyFont="1" applyAlignment="1">
      <alignment vertical="center" wrapText="1"/>
    </xf>
    <xf numFmtId="20" fontId="0" fillId="0" borderId="0" xfId="1" applyNumberFormat="1" applyFont="1" applyAlignment="1">
      <alignment horizontal="left" vertical="center" wrapText="1"/>
    </xf>
    <xf numFmtId="0" fontId="0" fillId="0" borderId="0" xfId="0" applyFont="1" applyAlignment="1">
      <alignment vertical="center" wrapText="1"/>
    </xf>
    <xf numFmtId="0" fontId="0" fillId="0" borderId="0" xfId="0" applyFont="1" applyAlignment="1">
      <alignment horizontal="left" vertical="center" wrapText="1"/>
    </xf>
    <xf numFmtId="2" fontId="0" fillId="0" borderId="0" xfId="0" quotePrefix="1" applyNumberFormat="1" applyFont="1" applyAlignment="1">
      <alignment vertical="center" wrapText="1"/>
    </xf>
    <xf numFmtId="0" fontId="0"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20" fontId="0" fillId="0" borderId="0" xfId="0" applyNumberFormat="1" applyFont="1" applyAlignment="1">
      <alignment horizontal="left" vertical="center" wrapText="1"/>
    </xf>
    <xf numFmtId="0" fontId="5" fillId="0" borderId="0" xfId="0" quotePrefix="1" applyFont="1" applyAlignment="1">
      <alignment vertical="center" wrapText="1"/>
    </xf>
    <xf numFmtId="0" fontId="0" fillId="0" borderId="0" xfId="0" applyNumberFormat="1" applyFont="1" applyAlignment="1">
      <alignment vertical="center" wrapText="1"/>
    </xf>
    <xf numFmtId="0" fontId="0" fillId="0" borderId="0" xfId="0" quotePrefix="1" applyFont="1" applyAlignment="1">
      <alignment horizontal="left" vertical="center" wrapText="1"/>
    </xf>
    <xf numFmtId="0" fontId="0" fillId="6" borderId="0" xfId="0" applyNumberFormat="1" applyFill="1" applyAlignment="1">
      <alignment horizontal="left" vertical="center"/>
    </xf>
    <xf numFmtId="0" fontId="0" fillId="0" borderId="0" xfId="0" applyNumberFormat="1" applyAlignment="1">
      <alignment horizontal="left"/>
    </xf>
    <xf numFmtId="0" fontId="0" fillId="0" borderId="0" xfId="0"/>
    <xf numFmtId="0" fontId="0" fillId="0" borderId="0" xfId="0" applyAlignment="1"/>
    <xf numFmtId="0" fontId="0" fillId="0" borderId="0" xfId="0" applyNumberFormat="1" applyAlignment="1">
      <alignment horizontal="left" wrapText="1"/>
    </xf>
    <xf numFmtId="0" fontId="5" fillId="0" borderId="0" xfId="0" quotePrefix="1" applyFont="1" applyAlignment="1">
      <alignment horizontal="left" vertical="center" wrapText="1"/>
    </xf>
    <xf numFmtId="0" fontId="0" fillId="0" borderId="0" xfId="0" applyBorder="1" applyAlignment="1">
      <alignment horizontal="left" vertical="center"/>
    </xf>
    <xf numFmtId="0" fontId="0" fillId="0" borderId="0" xfId="0" applyNumberFormat="1" applyBorder="1" applyAlignment="1">
      <alignment horizontal="left" vertical="center"/>
    </xf>
    <xf numFmtId="0" fontId="0" fillId="2" borderId="0" xfId="0" applyFont="1" applyFill="1" applyBorder="1" applyAlignment="1">
      <alignment horizontal="left" vertical="center"/>
    </xf>
    <xf numFmtId="0" fontId="0" fillId="0" borderId="0" xfId="0" applyFont="1" applyBorder="1" applyAlignment="1">
      <alignment horizontal="left" vertical="center"/>
    </xf>
    <xf numFmtId="0" fontId="0" fillId="7" borderId="0" xfId="0" applyNumberFormat="1" applyFill="1" applyAlignment="1">
      <alignment horizontal="left" vertical="center"/>
    </xf>
    <xf numFmtId="0" fontId="0" fillId="0" borderId="0" xfId="0"/>
    <xf numFmtId="0" fontId="1" fillId="3" borderId="0" xfId="0" applyFont="1" applyFill="1" applyAlignment="1">
      <alignment horizontal="left" vertical="top"/>
    </xf>
    <xf numFmtId="0" fontId="0" fillId="0" borderId="0" xfId="0" quotePrefix="1" applyNumberFormat="1" applyFont="1" applyAlignment="1">
      <alignment horizontal="left" vertical="center"/>
    </xf>
    <xf numFmtId="0" fontId="6" fillId="0" borderId="0" xfId="1" applyFont="1" applyAlignment="1">
      <alignment horizontal="left" vertical="center" wrapText="1"/>
    </xf>
    <xf numFmtId="0" fontId="15" fillId="0" borderId="0" xfId="0" applyFont="1"/>
    <xf numFmtId="0" fontId="2" fillId="0" borderId="0" xfId="1"/>
    <xf numFmtId="0" fontId="0" fillId="0" borderId="0" xfId="0" quotePrefix="1" applyFont="1"/>
    <xf numFmtId="0" fontId="1" fillId="0" borderId="0" xfId="0" applyFont="1" applyAlignment="1">
      <alignment horizontal="left" vertical="center"/>
    </xf>
    <xf numFmtId="0" fontId="0" fillId="0" borderId="0" xfId="0" applyNumberFormat="1" applyFont="1" applyAlignment="1">
      <alignment horizontal="left" vertical="center" wrapText="1"/>
    </xf>
    <xf numFmtId="0" fontId="0" fillId="0" borderId="0" xfId="0" applyFont="1" applyAlignment="1">
      <alignment horizontal="left" vertical="center"/>
    </xf>
    <xf numFmtId="14" fontId="5" fillId="0" borderId="0" xfId="0" applyNumberFormat="1" applyFont="1" applyBorder="1" applyAlignment="1">
      <alignment horizontal="left" vertical="center"/>
    </xf>
    <xf numFmtId="14" fontId="16" fillId="0" borderId="0" xfId="0" applyNumberFormat="1" applyFont="1" applyAlignment="1">
      <alignment horizontal="left" vertical="center"/>
    </xf>
    <xf numFmtId="14" fontId="16" fillId="0" borderId="0" xfId="0" applyNumberFormat="1" applyFont="1" applyBorder="1" applyAlignment="1">
      <alignment horizontal="left" vertical="center"/>
    </xf>
    <xf numFmtId="0" fontId="0" fillId="0" borderId="1" xfId="0" applyFont="1" applyBorder="1"/>
    <xf numFmtId="14" fontId="0" fillId="0" borderId="0" xfId="0" applyNumberFormat="1" applyAlignment="1">
      <alignment horizontal="left" vertical="center"/>
    </xf>
    <xf numFmtId="14" fontId="0" fillId="2" borderId="0" xfId="0" applyNumberFormat="1" applyFont="1" applyFill="1" applyBorder="1" applyAlignment="1">
      <alignment horizontal="left" vertical="center"/>
    </xf>
    <xf numFmtId="0" fontId="17" fillId="0" borderId="0" xfId="0" applyFont="1" applyAlignment="1">
      <alignment vertical="center"/>
    </xf>
    <xf numFmtId="0" fontId="0" fillId="0" borderId="0" xfId="0" applyNumberFormat="1" applyFont="1"/>
    <xf numFmtId="0" fontId="0" fillId="0" borderId="0" xfId="0" quotePrefix="1" applyFont="1" applyAlignment="1">
      <alignment horizontal="left"/>
    </xf>
    <xf numFmtId="0" fontId="2" fillId="0" borderId="0" xfId="1" applyFont="1" applyAlignment="1">
      <alignment vertical="center" wrapText="1"/>
    </xf>
    <xf numFmtId="0" fontId="2" fillId="0" borderId="0" xfId="1" applyFont="1" applyAlignment="1">
      <alignment horizontal="left" vertical="center"/>
    </xf>
    <xf numFmtId="0" fontId="2" fillId="0" borderId="0" xfId="1" applyFont="1" applyBorder="1" applyAlignment="1">
      <alignment vertical="center" wrapText="1"/>
    </xf>
    <xf numFmtId="0" fontId="1" fillId="0" borderId="0" xfId="0" applyFont="1" applyFill="1" applyAlignment="1">
      <alignment horizontal="left" vertical="center" wrapText="1"/>
    </xf>
    <xf numFmtId="0" fontId="1" fillId="3" borderId="0" xfId="0" applyFont="1" applyFill="1" applyAlignment="1">
      <alignment horizontal="left" vertical="center" wrapText="1"/>
    </xf>
    <xf numFmtId="0" fontId="5" fillId="0" borderId="0" xfId="0" applyFont="1" applyAlignment="1">
      <alignment vertical="center"/>
    </xf>
    <xf numFmtId="0" fontId="18" fillId="0" borderId="0" xfId="0" applyFont="1" applyAlignment="1">
      <alignment vertical="center"/>
    </xf>
    <xf numFmtId="0" fontId="2" fillId="0" borderId="0" xfId="1" applyFont="1" applyBorder="1" applyAlignment="1">
      <alignment vertical="center"/>
    </xf>
    <xf numFmtId="0" fontId="2" fillId="0" borderId="0" xfId="1" applyFont="1" applyAlignment="1">
      <alignment vertical="center"/>
    </xf>
    <xf numFmtId="0" fontId="0" fillId="0" borderId="0" xfId="0" applyNumberFormat="1" applyFill="1" applyAlignment="1">
      <alignment horizontal="left" vertical="center"/>
    </xf>
    <xf numFmtId="0" fontId="0" fillId="2" borderId="1" xfId="0" applyFill="1" applyBorder="1" applyAlignment="1">
      <alignment horizontal="left" vertical="center"/>
    </xf>
    <xf numFmtId="0" fontId="0" fillId="0" borderId="1" xfId="0" applyBorder="1" applyAlignment="1">
      <alignment horizontal="left" vertical="center"/>
    </xf>
    <xf numFmtId="0" fontId="0" fillId="2" borderId="0" xfId="0" applyFill="1" applyBorder="1" applyAlignment="1">
      <alignment horizontal="left" vertical="center"/>
    </xf>
    <xf numFmtId="0" fontId="0" fillId="0" borderId="1" xfId="0" applyNumberFormat="1" applyBorder="1" applyAlignment="1">
      <alignment horizontal="left" vertical="center"/>
    </xf>
    <xf numFmtId="0" fontId="0" fillId="0" borderId="0" xfId="0" pivotButton="1"/>
    <xf numFmtId="0" fontId="0" fillId="0" borderId="0" xfId="0" pivotButton="1" applyAlignment="1">
      <alignment horizontal="center"/>
    </xf>
    <xf numFmtId="0" fontId="0" fillId="0" borderId="0" xfId="0" applyNumberFormat="1" applyAlignment="1">
      <alignment horizontal="center"/>
    </xf>
    <xf numFmtId="0" fontId="1" fillId="0" borderId="0" xfId="0" pivotButton="1" applyFont="1"/>
    <xf numFmtId="0" fontId="1" fillId="0" borderId="0" xfId="0" applyFont="1" applyAlignment="1">
      <alignment horizontal="left"/>
    </xf>
    <xf numFmtId="0" fontId="0" fillId="0" borderId="0" xfId="0" pivotButton="1" applyAlignment="1">
      <alignment horizontal="left"/>
    </xf>
    <xf numFmtId="0" fontId="0" fillId="0" borderId="0" xfId="0"/>
    <xf numFmtId="0" fontId="2" fillId="0" borderId="0" xfId="1" applyAlignment="1">
      <alignment vertical="center" wrapText="1"/>
    </xf>
    <xf numFmtId="0" fontId="19" fillId="0" borderId="0" xfId="0" applyFont="1"/>
    <xf numFmtId="0" fontId="20" fillId="0" borderId="0" xfId="0" applyFont="1" applyAlignment="1">
      <alignment vertical="center"/>
    </xf>
    <xf numFmtId="0" fontId="21" fillId="0" borderId="0" xfId="0" applyFont="1"/>
    <xf numFmtId="14" fontId="0" fillId="0" borderId="0" xfId="0" applyNumberFormat="1" applyFill="1" applyAlignment="1">
      <alignment horizontal="left" vertical="center"/>
    </xf>
    <xf numFmtId="0" fontId="0" fillId="0" borderId="0" xfId="0" applyFill="1" applyAlignment="1">
      <alignment horizontal="left" vertical="center"/>
    </xf>
    <xf numFmtId="0" fontId="0" fillId="0" borderId="0" xfId="0" applyFont="1" applyFill="1" applyAlignment="1">
      <alignment horizontal="left" vertical="center"/>
    </xf>
    <xf numFmtId="0" fontId="0" fillId="0" borderId="0" xfId="0" applyFont="1" applyFill="1" applyAlignment="1">
      <alignment vertical="center" wrapText="1"/>
    </xf>
    <xf numFmtId="14" fontId="0" fillId="0" borderId="0" xfId="0" applyNumberFormat="1"/>
    <xf numFmtId="0" fontId="22" fillId="0" borderId="0" xfId="0" applyNumberFormat="1" applyFont="1" applyAlignment="1">
      <alignment horizontal="left" vertical="center"/>
    </xf>
    <xf numFmtId="0" fontId="0" fillId="0" borderId="0" xfId="0" applyBorder="1"/>
    <xf numFmtId="0" fontId="0" fillId="0" borderId="1" xfId="0" applyFont="1" applyBorder="1" applyAlignment="1">
      <alignment horizontal="left" vertical="center"/>
    </xf>
    <xf numFmtId="0" fontId="0" fillId="0" borderId="0" xfId="0" applyNumberFormat="1" applyBorder="1" applyAlignment="1">
      <alignment horizontal="left" vertical="center" wrapText="1"/>
    </xf>
    <xf numFmtId="0" fontId="0" fillId="0" borderId="0" xfId="0" applyFill="1" applyBorder="1" applyAlignment="1">
      <alignment vertical="center"/>
    </xf>
    <xf numFmtId="0" fontId="0" fillId="0" borderId="0" xfId="0" applyFill="1" applyBorder="1" applyAlignment="1">
      <alignment horizontal="left" vertical="center" wrapText="1"/>
    </xf>
    <xf numFmtId="0" fontId="23" fillId="0" borderId="0" xfId="0" applyFont="1"/>
    <xf numFmtId="0" fontId="0" fillId="0" borderId="3" xfId="0" applyNumberFormat="1" applyBorder="1" applyAlignment="1">
      <alignment horizontal="left" vertical="center"/>
    </xf>
    <xf numFmtId="0" fontId="24" fillId="0" borderId="0" xfId="0" applyFont="1" applyAlignment="1">
      <alignment horizontal="left"/>
    </xf>
    <xf numFmtId="14" fontId="5" fillId="0" borderId="3" xfId="0" applyNumberFormat="1" applyFont="1" applyBorder="1" applyAlignment="1">
      <alignment horizontal="left" vertical="center"/>
    </xf>
    <xf numFmtId="14" fontId="16" fillId="0" borderId="3" xfId="0" applyNumberFormat="1" applyFont="1" applyBorder="1" applyAlignment="1">
      <alignment horizontal="left" vertical="center"/>
    </xf>
    <xf numFmtId="0" fontId="0" fillId="0" borderId="3" xfId="0" applyFont="1" applyBorder="1" applyAlignment="1">
      <alignment horizontal="left" vertical="center"/>
    </xf>
    <xf numFmtId="14" fontId="0" fillId="2" borderId="0" xfId="0" applyNumberFormat="1" applyFill="1" applyBorder="1" applyAlignment="1">
      <alignment horizontal="left" vertical="center"/>
    </xf>
    <xf numFmtId="14" fontId="0" fillId="0" borderId="0" xfId="0" applyNumberFormat="1" applyFont="1" applyBorder="1" applyAlignment="1">
      <alignment horizontal="left" vertical="center"/>
    </xf>
    <xf numFmtId="0" fontId="0" fillId="0" borderId="0" xfId="0" applyBorder="1" applyAlignment="1">
      <alignment horizontal="left" vertical="center" wrapText="1"/>
    </xf>
    <xf numFmtId="0" fontId="0" fillId="0" borderId="0" xfId="0" applyAlignment="1">
      <alignment wrapText="1"/>
    </xf>
    <xf numFmtId="0" fontId="0" fillId="0" borderId="0" xfId="0" applyNumberFormat="1" applyFont="1" applyBorder="1" applyAlignment="1">
      <alignment horizontal="left" vertical="center"/>
    </xf>
    <xf numFmtId="0" fontId="0" fillId="0" borderId="0" xfId="0" applyAlignment="1">
      <alignment horizontal="left" wrapText="1"/>
    </xf>
    <xf numFmtId="0" fontId="0" fillId="0" borderId="0" xfId="0" applyBorder="1" applyAlignment="1">
      <alignment vertical="center" wrapText="1"/>
    </xf>
  </cellXfs>
  <cellStyles count="4">
    <cellStyle name="Hyperlink" xfId="1" builtinId="8"/>
    <cellStyle name="Normal" xfId="0" builtinId="0"/>
    <cellStyle name="Normal 2" xfId="2" xr:uid="{58A39D70-5E01-4518-B741-C34E91641885}"/>
    <cellStyle name="Normal 3" xfId="3" xr:uid="{15359A52-36F1-42E1-8C1D-2E1F39DF82D5}"/>
  </cellStyles>
  <dxfs count="178">
    <dxf>
      <font>
        <color rgb="FF9C0006"/>
      </font>
      <fill>
        <patternFill>
          <bgColor rgb="FFFFC7CE"/>
        </patternFill>
      </fill>
    </dxf>
    <dxf>
      <font>
        <color rgb="FF006100"/>
      </font>
      <fill>
        <patternFill>
          <bgColor rgb="FFC6EFCE"/>
        </patternFill>
      </fill>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64" formatCode="m/d/yyyy"/>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2"/>
        <color theme="1"/>
        <name val="Aptos Narrow"/>
        <family val="2"/>
        <scheme val="minor"/>
      </font>
      <alignment vertical="center" textRotation="0" indent="0" justifyLastLine="0" shrinkToFit="0" readingOrder="0"/>
    </dxf>
    <dxf>
      <font>
        <b/>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font>
        <b/>
      </font>
    </dxf>
    <dxf>
      <font>
        <b/>
      </font>
    </dxf>
    <dxf>
      <alignment horizontal="center"/>
    </dxf>
    <dxf>
      <alignment horizontal="left"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center" textRotation="0" wrapText="1" indent="0" justifyLastLine="0" shrinkToFit="0" readingOrder="0"/>
    </dxf>
    <dxf>
      <alignment horizontal="left" vertical="center" textRotation="0" wrapText="0" indent="0" justifyLastLine="0" shrinkToFit="0" readingOrder="0"/>
    </dxf>
    <dxf>
      <numFmt numFmtId="0" formatCode="Genera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1"/>
        <name val="Aptos Narrow"/>
        <family val="2"/>
        <scheme val="minor"/>
      </font>
      <alignment vertical="center" textRotation="0" indent="0" justifyLastLine="0" shrinkToFit="0" readingOrder="0"/>
    </dxf>
    <dxf>
      <font>
        <b val="0"/>
        <i val="0"/>
        <strike val="0"/>
        <condense val="0"/>
        <extend val="0"/>
        <outline val="0"/>
        <shadow val="0"/>
        <u val="none"/>
        <vertAlign val="baseline"/>
        <sz val="5"/>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5"/>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5"/>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5"/>
        <color theme="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5"/>
        <color theme="1"/>
        <name val="Arial"/>
        <family val="2"/>
        <scheme val="none"/>
      </font>
      <alignment horizontal="left" vertical="center" textRotation="0" wrapText="1" indent="0" justifyLastLine="0" shrinkToFit="0" readingOrder="0"/>
    </dxf>
    <dxf>
      <font>
        <strike val="0"/>
        <outline val="0"/>
        <shadow val="0"/>
        <u val="none"/>
        <vertAlign val="baseline"/>
        <sz val="5"/>
        <color theme="1"/>
        <name val="Aptos Narrow"/>
        <family val="2"/>
        <scheme val="minor"/>
      </font>
      <alignment vertical="center" textRotation="0" indent="0" justifyLastLine="0" shrinkToFit="0" readingOrder="0"/>
    </dxf>
    <dxf>
      <font>
        <b val="0"/>
        <i val="0"/>
        <strike val="0"/>
        <condense val="0"/>
        <extend val="0"/>
        <outline val="0"/>
        <shadow val="0"/>
        <u val="none"/>
        <vertAlign val="baseline"/>
        <sz val="5"/>
        <color theme="1"/>
        <name val="Arial"/>
        <family val="2"/>
        <scheme val="none"/>
      </font>
      <alignment horizontal="center" vertical="center" textRotation="0" wrapText="1" indent="0" justifyLastLine="0" shrinkToFit="0" readingOrder="0"/>
    </dxf>
    <dxf>
      <font>
        <b/>
        <i val="0"/>
        <strike val="0"/>
        <condense val="0"/>
        <extend val="0"/>
        <outline val="0"/>
        <shadow val="0"/>
        <u val="none"/>
        <vertAlign val="baseline"/>
        <sz val="8"/>
        <color theme="1"/>
        <name val="Aptos Narrow"/>
        <family val="2"/>
        <scheme val="minor"/>
      </font>
      <alignment horizontal="center" vertical="bottom" textRotation="0" wrapText="0" indent="0" justifyLastLine="0" shrinkToFit="0" readingOrder="0"/>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numFmt numFmtId="0" formatCode="General"/>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alignment horizontal="left"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strike val="0"/>
        <outline val="0"/>
        <shadow val="0"/>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strike val="0"/>
        <outline val="0"/>
        <shadow val="0"/>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top" textRotation="0" wrapText="0"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alignment horizontal="general" vertical="center" textRotation="0" wrapText="1" indent="0" justifyLastLine="0" shrinkToFit="0" readingOrder="0"/>
    </dxf>
    <dxf>
      <font>
        <strike val="0"/>
        <outline val="0"/>
        <shadow val="0"/>
        <vertAlign val="baseline"/>
        <sz val="11"/>
        <color theme="1"/>
        <name val="Aptos Narrow"/>
        <family val="2"/>
        <scheme val="minor"/>
      </font>
      <numFmt numFmtId="0" formatCode="General"/>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u val="none"/>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name val="Aptos Narrow"/>
        <family val="2"/>
        <scheme val="minor"/>
      </font>
      <alignment horizontal="left" vertical="center" textRotation="0" wrapText="1" indent="0" justifyLastLine="0" shrinkToFit="0" readingOrder="0"/>
    </dxf>
    <dxf>
      <font>
        <strike val="0"/>
        <outline val="0"/>
        <shadow val="0"/>
        <vertAlign val="baseline"/>
        <sz val="11"/>
        <name val="Aptos Narrow"/>
        <family val="2"/>
        <scheme val="minor"/>
      </font>
      <alignment horizontal="left" vertical="center" textRotation="0" wrapText="1" indent="0" justifyLastLine="0" shrinkToFit="0" readingOrder="0"/>
    </dxf>
    <dxf>
      <font>
        <strike val="0"/>
        <outline val="0"/>
        <shadow val="0"/>
        <u val="none"/>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strike val="0"/>
        <outline val="0"/>
        <shadow val="0"/>
        <vertAlign val="baseline"/>
        <sz val="11"/>
        <color theme="1"/>
        <name val="Aptos Narrow"/>
        <family val="2"/>
        <scheme val="minor"/>
      </font>
      <alignment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1"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164" formatCode="m/d/yyyy"/>
      <alignment horizontal="left" vertical="center" textRotation="0" wrapText="0" indent="0" justifyLastLine="0" shrinkToFit="0" readingOrder="0"/>
    </dxf>
    <dxf>
      <numFmt numFmtId="164" formatCode="m/d/yyyy"/>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alignment horizontal="general" vertical="bottom" textRotation="0" wrapText="1" indent="0" justifyLastLine="0" shrinkToFit="0" readingOrder="0"/>
    </dxf>
    <dxf>
      <alignment vertical="center" textRotation="0" wrapText="0" 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5050"/>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5.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4.svg"/><Relationship Id="rId11" Type="http://schemas.openxmlformats.org/officeDocument/2006/relationships/image" Target="../media/image11.png"/><Relationship Id="rId5" Type="http://schemas.openxmlformats.org/officeDocument/2006/relationships/image" Target="../media/image3.png"/><Relationship Id="rId10" Type="http://schemas.openxmlformats.org/officeDocument/2006/relationships/image" Target="../media/image10.svg"/><Relationship Id="rId4" Type="http://schemas.openxmlformats.org/officeDocument/2006/relationships/image" Target="../media/image6.sv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xdr:col>
      <xdr:colOff>168423</xdr:colOff>
      <xdr:row>0</xdr:row>
      <xdr:rowOff>65063</xdr:rowOff>
    </xdr:from>
    <xdr:to>
      <xdr:col>2</xdr:col>
      <xdr:colOff>1012373</xdr:colOff>
      <xdr:row>2</xdr:row>
      <xdr:rowOff>130849</xdr:rowOff>
    </xdr:to>
    <xdr:grpSp>
      <xdr:nvGrpSpPr>
        <xdr:cNvPr id="14" name="Group 13">
          <a:extLst>
            <a:ext uri="{FF2B5EF4-FFF2-40B4-BE49-F238E27FC236}">
              <a16:creationId xmlns:a16="http://schemas.microsoft.com/office/drawing/2014/main" id="{6810BA24-68A8-2207-AB63-1B2746BD7843}"/>
            </a:ext>
          </a:extLst>
        </xdr:cNvPr>
        <xdr:cNvGrpSpPr/>
      </xdr:nvGrpSpPr>
      <xdr:grpSpPr>
        <a:xfrm>
          <a:off x="406548" y="65063"/>
          <a:ext cx="1272575" cy="408686"/>
          <a:chOff x="435122" y="65063"/>
          <a:chExt cx="1332826" cy="429201"/>
        </a:xfrm>
      </xdr:grpSpPr>
      <xdr:sp macro="[0]!FilterTable47ByCurrentWeekOpen" textlink="">
        <xdr:nvSpPr>
          <xdr:cNvPr id="9" name="Rectangle 8">
            <a:extLst>
              <a:ext uri="{FF2B5EF4-FFF2-40B4-BE49-F238E27FC236}">
                <a16:creationId xmlns:a16="http://schemas.microsoft.com/office/drawing/2014/main" id="{711042A2-4611-4E77-9370-64974B6A96DA}"/>
              </a:ext>
            </a:extLst>
          </xdr:cNvPr>
          <xdr:cNvSpPr/>
        </xdr:nvSpPr>
        <xdr:spPr>
          <a:xfrm>
            <a:off x="435122" y="65436"/>
            <a:ext cx="1307962" cy="423527"/>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FilterTable47ByCurrentWeekOpen" textlink="">
        <xdr:nvSpPr>
          <xdr:cNvPr id="11" name="TextBox 10">
            <a:extLst>
              <a:ext uri="{FF2B5EF4-FFF2-40B4-BE49-F238E27FC236}">
                <a16:creationId xmlns:a16="http://schemas.microsoft.com/office/drawing/2014/main" id="{EFBDBA65-C3C4-3268-E91D-8780A3C0BD6D}"/>
              </a:ext>
            </a:extLst>
          </xdr:cNvPr>
          <xdr:cNvSpPr txBox="1"/>
        </xdr:nvSpPr>
        <xdr:spPr>
          <a:xfrm>
            <a:off x="760404" y="65063"/>
            <a:ext cx="1007544" cy="429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OPEN WORKLOAD</a:t>
            </a:r>
            <a:br>
              <a:rPr lang="en-US" sz="800" b="1"/>
            </a:br>
            <a:r>
              <a:rPr lang="en-US" sz="800" b="1"/>
              <a:t>THIS WEEK</a:t>
            </a:r>
          </a:p>
        </xdr:txBody>
      </xdr:sp>
      <xdr:pic macro="[0]!FilterTable47ByCurrentWeekOpen">
        <xdr:nvPicPr>
          <xdr:cNvPr id="13" name="Graphic 12" descr="Flip calendar with solid fill">
            <a:extLst>
              <a:ext uri="{FF2B5EF4-FFF2-40B4-BE49-F238E27FC236}">
                <a16:creationId xmlns:a16="http://schemas.microsoft.com/office/drawing/2014/main" id="{7FF7C173-22AC-83FF-6197-4946C911608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8470" y="84327"/>
            <a:ext cx="373795" cy="377325"/>
          </a:xfrm>
          <a:prstGeom prst="rect">
            <a:avLst/>
          </a:prstGeom>
        </xdr:spPr>
      </xdr:pic>
    </xdr:grpSp>
    <xdr:clientData/>
  </xdr:twoCellAnchor>
  <xdr:twoCellAnchor editAs="absolute">
    <xdr:from>
      <xdr:col>5</xdr:col>
      <xdr:colOff>522686</xdr:colOff>
      <xdr:row>0</xdr:row>
      <xdr:rowOff>46274</xdr:rowOff>
    </xdr:from>
    <xdr:to>
      <xdr:col>6</xdr:col>
      <xdr:colOff>1549</xdr:colOff>
      <xdr:row>2</xdr:row>
      <xdr:rowOff>111303</xdr:rowOff>
    </xdr:to>
    <xdr:grpSp>
      <xdr:nvGrpSpPr>
        <xdr:cNvPr id="15" name="Group 14">
          <a:extLst>
            <a:ext uri="{FF2B5EF4-FFF2-40B4-BE49-F238E27FC236}">
              <a16:creationId xmlns:a16="http://schemas.microsoft.com/office/drawing/2014/main" id="{1ED78011-C47C-40E5-876D-102F3C7FD98C}"/>
            </a:ext>
          </a:extLst>
        </xdr:cNvPr>
        <xdr:cNvGrpSpPr>
          <a:grpSpLocks noChangeAspect="1"/>
        </xdr:cNvGrpSpPr>
      </xdr:nvGrpSpPr>
      <xdr:grpSpPr>
        <a:xfrm>
          <a:off x="5294711" y="46274"/>
          <a:ext cx="1117163" cy="407929"/>
          <a:chOff x="3908728" y="69118"/>
          <a:chExt cx="1228316" cy="387759"/>
        </a:xfrm>
      </xdr:grpSpPr>
      <xdr:sp macro="[0]!GenerateWordDocuments" textlink="">
        <xdr:nvSpPr>
          <xdr:cNvPr id="16" name="Rectangle 15">
            <a:extLst>
              <a:ext uri="{FF2B5EF4-FFF2-40B4-BE49-F238E27FC236}">
                <a16:creationId xmlns:a16="http://schemas.microsoft.com/office/drawing/2014/main" id="{DA0FF0F6-E67D-C4F2-E056-4AAEC5F6E28E}"/>
              </a:ext>
            </a:extLst>
          </xdr:cNvPr>
          <xdr:cNvSpPr/>
        </xdr:nvSpPr>
        <xdr:spPr>
          <a:xfrm>
            <a:off x="3908728" y="69118"/>
            <a:ext cx="1228316" cy="387759"/>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GenerateWordDocuments">
        <xdr:nvPicPr>
          <xdr:cNvPr id="17" name="Graphic 16" descr="List with solid fill">
            <a:extLst>
              <a:ext uri="{FF2B5EF4-FFF2-40B4-BE49-F238E27FC236}">
                <a16:creationId xmlns:a16="http://schemas.microsoft.com/office/drawing/2014/main" id="{5AE2B6A4-E473-D02E-3A9F-6FD3E67153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915478" y="84136"/>
            <a:ext cx="371156" cy="360450"/>
          </a:xfrm>
          <a:prstGeom prst="rect">
            <a:avLst/>
          </a:prstGeom>
        </xdr:spPr>
      </xdr:pic>
      <xdr:sp macro="[0]!GenerateWordDocuments" textlink="">
        <xdr:nvSpPr>
          <xdr:cNvPr id="18" name="TextBox 17">
            <a:extLst>
              <a:ext uri="{FF2B5EF4-FFF2-40B4-BE49-F238E27FC236}">
                <a16:creationId xmlns:a16="http://schemas.microsoft.com/office/drawing/2014/main" id="{3FB86211-A775-21A8-4603-C78C0482D7D2}"/>
              </a:ext>
            </a:extLst>
          </xdr:cNvPr>
          <xdr:cNvSpPr txBox="1"/>
        </xdr:nvSpPr>
        <xdr:spPr>
          <a:xfrm>
            <a:off x="4213684" y="74694"/>
            <a:ext cx="916433" cy="365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GENERATE BOX</a:t>
            </a:r>
            <a:br>
              <a:rPr lang="en-US" sz="800" b="1"/>
            </a:br>
            <a:r>
              <a:rPr lang="en-US" sz="800" b="1"/>
              <a:t>CONTENT</a:t>
            </a:r>
            <a:r>
              <a:rPr lang="en-US" sz="800" b="1" baseline="0"/>
              <a:t> LABEL</a:t>
            </a:r>
            <a:endParaRPr lang="en-US" sz="800" b="1"/>
          </a:p>
        </xdr:txBody>
      </xdr:sp>
    </xdr:grpSp>
    <xdr:clientData/>
  </xdr:twoCellAnchor>
  <xdr:twoCellAnchor>
    <xdr:from>
      <xdr:col>4</xdr:col>
      <xdr:colOff>1692516</xdr:colOff>
      <xdr:row>0</xdr:row>
      <xdr:rowOff>67812</xdr:rowOff>
    </xdr:from>
    <xdr:to>
      <xdr:col>5</xdr:col>
      <xdr:colOff>452437</xdr:colOff>
      <xdr:row>2</xdr:row>
      <xdr:rowOff>111672</xdr:rowOff>
    </xdr:to>
    <xdr:grpSp>
      <xdr:nvGrpSpPr>
        <xdr:cNvPr id="21" name="Group 20">
          <a:extLst>
            <a:ext uri="{FF2B5EF4-FFF2-40B4-BE49-F238E27FC236}">
              <a16:creationId xmlns:a16="http://schemas.microsoft.com/office/drawing/2014/main" id="{856B98DE-5B23-D6FC-00CB-401A96C23498}"/>
            </a:ext>
          </a:extLst>
        </xdr:cNvPr>
        <xdr:cNvGrpSpPr/>
      </xdr:nvGrpSpPr>
      <xdr:grpSpPr>
        <a:xfrm>
          <a:off x="4502391" y="67812"/>
          <a:ext cx="722071" cy="386760"/>
          <a:chOff x="1976233" y="67812"/>
          <a:chExt cx="888371" cy="425505"/>
        </a:xfrm>
      </xdr:grpSpPr>
      <xdr:sp macro="[0]!ClearFiltersFromTable47" textlink="">
        <xdr:nvSpPr>
          <xdr:cNvPr id="5" name="Rectangle 4">
            <a:extLst>
              <a:ext uri="{FF2B5EF4-FFF2-40B4-BE49-F238E27FC236}">
                <a16:creationId xmlns:a16="http://schemas.microsoft.com/office/drawing/2014/main" id="{26D59EEE-0393-2AE8-9442-E5C1FC7FE754}"/>
              </a:ext>
            </a:extLst>
          </xdr:cNvPr>
          <xdr:cNvSpPr/>
        </xdr:nvSpPr>
        <xdr:spPr>
          <a:xfrm>
            <a:off x="1976233" y="67812"/>
            <a:ext cx="872773" cy="42550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FiltersFromTable47" textlink="">
        <xdr:nvSpPr>
          <xdr:cNvPr id="6" name="TextBox 5">
            <a:extLst>
              <a:ext uri="{FF2B5EF4-FFF2-40B4-BE49-F238E27FC236}">
                <a16:creationId xmlns:a16="http://schemas.microsoft.com/office/drawing/2014/main" id="{0025FAC7-EE21-35F0-DD2F-D961A7D047BB}"/>
              </a:ext>
            </a:extLst>
          </xdr:cNvPr>
          <xdr:cNvSpPr txBox="1"/>
        </xdr:nvSpPr>
        <xdr:spPr>
          <a:xfrm>
            <a:off x="2249680" y="74762"/>
            <a:ext cx="614924" cy="407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REMOVE</a:t>
            </a:r>
            <a:br>
              <a:rPr lang="en-US" sz="800" b="1"/>
            </a:br>
            <a:r>
              <a:rPr lang="en-US" sz="800" b="1"/>
              <a:t>FILTERS</a:t>
            </a:r>
          </a:p>
        </xdr:txBody>
      </xdr:sp>
      <xdr:pic macro="[0]!ClearFiltersFromTable47">
        <xdr:nvPicPr>
          <xdr:cNvPr id="20" name="Graphic 19" descr="Badge Unfollow with solid fill">
            <a:extLst>
              <a:ext uri="{FF2B5EF4-FFF2-40B4-BE49-F238E27FC236}">
                <a16:creationId xmlns:a16="http://schemas.microsoft.com/office/drawing/2014/main" id="{FE6CBB2F-2593-17A5-7CC3-0320EFD14AA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00328" y="111920"/>
            <a:ext cx="335301" cy="328433"/>
          </a:xfrm>
          <a:prstGeom prst="rect">
            <a:avLst/>
          </a:prstGeom>
        </xdr:spPr>
      </xdr:pic>
    </xdr:grpSp>
    <xdr:clientData/>
  </xdr:twoCellAnchor>
  <xdr:twoCellAnchor>
    <xdr:from>
      <xdr:col>2</xdr:col>
      <xdr:colOff>1117591</xdr:colOff>
      <xdr:row>0</xdr:row>
      <xdr:rowOff>56470</xdr:rowOff>
    </xdr:from>
    <xdr:to>
      <xdr:col>4</xdr:col>
      <xdr:colOff>411332</xdr:colOff>
      <xdr:row>2</xdr:row>
      <xdr:rowOff>122256</xdr:rowOff>
    </xdr:to>
    <xdr:grpSp>
      <xdr:nvGrpSpPr>
        <xdr:cNvPr id="2" name="Group 1">
          <a:extLst>
            <a:ext uri="{FF2B5EF4-FFF2-40B4-BE49-F238E27FC236}">
              <a16:creationId xmlns:a16="http://schemas.microsoft.com/office/drawing/2014/main" id="{79507739-1F21-413F-B320-542B269BE420}"/>
            </a:ext>
          </a:extLst>
        </xdr:cNvPr>
        <xdr:cNvGrpSpPr/>
      </xdr:nvGrpSpPr>
      <xdr:grpSpPr>
        <a:xfrm>
          <a:off x="1784341" y="56470"/>
          <a:ext cx="1436866" cy="408686"/>
          <a:chOff x="435122" y="65063"/>
          <a:chExt cx="1311261" cy="429201"/>
        </a:xfrm>
      </xdr:grpSpPr>
      <xdr:sp macro="[0]!FilterTable47ByCurrentWeekTotal" textlink="">
        <xdr:nvSpPr>
          <xdr:cNvPr id="3" name="Rectangle 2">
            <a:extLst>
              <a:ext uri="{FF2B5EF4-FFF2-40B4-BE49-F238E27FC236}">
                <a16:creationId xmlns:a16="http://schemas.microsoft.com/office/drawing/2014/main" id="{2F7F0D04-141A-A8B8-8003-52BF4B37F5DF}"/>
              </a:ext>
            </a:extLst>
          </xdr:cNvPr>
          <xdr:cNvSpPr/>
        </xdr:nvSpPr>
        <xdr:spPr>
          <a:xfrm>
            <a:off x="435122" y="65436"/>
            <a:ext cx="1307962" cy="423527"/>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FilterTable47ByCurrentWeekTotal" textlink="">
        <xdr:nvSpPr>
          <xdr:cNvPr id="4" name="TextBox 3">
            <a:extLst>
              <a:ext uri="{FF2B5EF4-FFF2-40B4-BE49-F238E27FC236}">
                <a16:creationId xmlns:a16="http://schemas.microsoft.com/office/drawing/2014/main" id="{B52C4EAA-1141-ED30-5289-947E3995A1A6}"/>
              </a:ext>
            </a:extLst>
          </xdr:cNvPr>
          <xdr:cNvSpPr txBox="1"/>
        </xdr:nvSpPr>
        <xdr:spPr>
          <a:xfrm>
            <a:off x="760403" y="65063"/>
            <a:ext cx="985980" cy="429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TOTAL WORKLOAD THIS WEEK</a:t>
            </a:r>
          </a:p>
        </xdr:txBody>
      </xdr:sp>
      <xdr:pic macro="[0]!FilterTable47ByCurrentWeekTotal">
        <xdr:nvPicPr>
          <xdr:cNvPr id="7" name="Graphic 6" descr="Flip calendar with solid fill">
            <a:extLst>
              <a:ext uri="{FF2B5EF4-FFF2-40B4-BE49-F238E27FC236}">
                <a16:creationId xmlns:a16="http://schemas.microsoft.com/office/drawing/2014/main" id="{2473B44E-CC5F-31EE-2042-2792438677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8470" y="84327"/>
            <a:ext cx="373795" cy="377325"/>
          </a:xfrm>
          <a:prstGeom prst="rect">
            <a:avLst/>
          </a:prstGeom>
        </xdr:spPr>
      </xdr:pic>
    </xdr:grpSp>
    <xdr:clientData/>
  </xdr:twoCellAnchor>
  <xdr:twoCellAnchor>
    <xdr:from>
      <xdr:col>4</xdr:col>
      <xdr:colOff>543908</xdr:colOff>
      <xdr:row>0</xdr:row>
      <xdr:rowOff>67079</xdr:rowOff>
    </xdr:from>
    <xdr:to>
      <xdr:col>4</xdr:col>
      <xdr:colOff>1610809</xdr:colOff>
      <xdr:row>2</xdr:row>
      <xdr:rowOff>105104</xdr:rowOff>
    </xdr:to>
    <xdr:grpSp>
      <xdr:nvGrpSpPr>
        <xdr:cNvPr id="24" name="Group 23">
          <a:extLst>
            <a:ext uri="{FF2B5EF4-FFF2-40B4-BE49-F238E27FC236}">
              <a16:creationId xmlns:a16="http://schemas.microsoft.com/office/drawing/2014/main" id="{675C54EF-5321-D278-7304-1B9901D5CEC0}"/>
            </a:ext>
          </a:extLst>
        </xdr:cNvPr>
        <xdr:cNvGrpSpPr/>
      </xdr:nvGrpSpPr>
      <xdr:grpSpPr>
        <a:xfrm>
          <a:off x="3353783" y="67079"/>
          <a:ext cx="1066901" cy="380925"/>
          <a:chOff x="3293912" y="63904"/>
          <a:chExt cx="1066901" cy="421583"/>
        </a:xfrm>
      </xdr:grpSpPr>
      <xdr:sp macro="[0]!FilterTable47ByToday" textlink="">
        <xdr:nvSpPr>
          <xdr:cNvPr id="10" name="Rectangle 9">
            <a:extLst>
              <a:ext uri="{FF2B5EF4-FFF2-40B4-BE49-F238E27FC236}">
                <a16:creationId xmlns:a16="http://schemas.microsoft.com/office/drawing/2014/main" id="{CBFEAFA0-105B-29A3-60F8-734387F4E532}"/>
              </a:ext>
            </a:extLst>
          </xdr:cNvPr>
          <xdr:cNvSpPr/>
        </xdr:nvSpPr>
        <xdr:spPr>
          <a:xfrm>
            <a:off x="3293912" y="63904"/>
            <a:ext cx="1066901" cy="418772"/>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0]!FilterTable47ByToday" textlink="">
        <xdr:nvSpPr>
          <xdr:cNvPr id="12" name="TextBox 11">
            <a:extLst>
              <a:ext uri="{FF2B5EF4-FFF2-40B4-BE49-F238E27FC236}">
                <a16:creationId xmlns:a16="http://schemas.microsoft.com/office/drawing/2014/main" id="{69AE20FA-F9AA-9036-6B24-5D8D935C710E}"/>
              </a:ext>
            </a:extLst>
          </xdr:cNvPr>
          <xdr:cNvSpPr txBox="1"/>
        </xdr:nvSpPr>
        <xdr:spPr>
          <a:xfrm>
            <a:off x="3563670" y="70782"/>
            <a:ext cx="790865" cy="414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COLLECTIONS</a:t>
            </a:r>
            <a:br>
              <a:rPr lang="en-US" sz="800" b="1"/>
            </a:br>
            <a:r>
              <a:rPr lang="en-US" sz="800" b="1"/>
              <a:t>TODAY</a:t>
            </a:r>
          </a:p>
        </xdr:txBody>
      </xdr:sp>
      <xdr:pic macro="[0]!FilterTable47ByToday">
        <xdr:nvPicPr>
          <xdr:cNvPr id="23" name="Graphic 22" descr="Monthly calendar with solid fill">
            <a:extLst>
              <a:ext uri="{FF2B5EF4-FFF2-40B4-BE49-F238E27FC236}">
                <a16:creationId xmlns:a16="http://schemas.microsoft.com/office/drawing/2014/main" id="{4CDCC109-463D-E197-03A2-968A0107F0C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09945" y="111536"/>
            <a:ext cx="332990" cy="331110"/>
          </a:xfrm>
          <a:prstGeom prst="rect">
            <a:avLst/>
          </a:prstGeom>
        </xdr:spPr>
      </xdr:pic>
    </xdr:grpSp>
    <xdr:clientData/>
  </xdr:twoCellAnchor>
  <xdr:twoCellAnchor>
    <xdr:from>
      <xdr:col>6</xdr:col>
      <xdr:colOff>176958</xdr:colOff>
      <xdr:row>0</xdr:row>
      <xdr:rowOff>56483</xdr:rowOff>
    </xdr:from>
    <xdr:to>
      <xdr:col>7</xdr:col>
      <xdr:colOff>517995</xdr:colOff>
      <xdr:row>2</xdr:row>
      <xdr:rowOff>103557</xdr:rowOff>
    </xdr:to>
    <xdr:grpSp>
      <xdr:nvGrpSpPr>
        <xdr:cNvPr id="26" name="Group 25">
          <a:extLst>
            <a:ext uri="{FF2B5EF4-FFF2-40B4-BE49-F238E27FC236}">
              <a16:creationId xmlns:a16="http://schemas.microsoft.com/office/drawing/2014/main" id="{6C412204-B103-4E7A-8717-D198FC99CFB5}"/>
            </a:ext>
          </a:extLst>
        </xdr:cNvPr>
        <xdr:cNvGrpSpPr/>
      </xdr:nvGrpSpPr>
      <xdr:grpSpPr>
        <a:xfrm>
          <a:off x="6587283" y="56483"/>
          <a:ext cx="1236387" cy="389974"/>
          <a:chOff x="435122" y="65063"/>
          <a:chExt cx="1330092" cy="429201"/>
        </a:xfrm>
      </xdr:grpSpPr>
      <xdr:sp macro="[0]!FilterTable47ByNextWeekTotal" textlink="">
        <xdr:nvSpPr>
          <xdr:cNvPr id="27" name="Rectangle 26">
            <a:extLst>
              <a:ext uri="{FF2B5EF4-FFF2-40B4-BE49-F238E27FC236}">
                <a16:creationId xmlns:a16="http://schemas.microsoft.com/office/drawing/2014/main" id="{EB903C88-5F54-794B-4F78-02D4FA231ABB}"/>
              </a:ext>
            </a:extLst>
          </xdr:cNvPr>
          <xdr:cNvSpPr/>
        </xdr:nvSpPr>
        <xdr:spPr>
          <a:xfrm>
            <a:off x="435122" y="65436"/>
            <a:ext cx="1307962" cy="423527"/>
          </a:xfrm>
          <a:prstGeom prst="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FilterTable47ByNextWeekTotal" textlink="">
        <xdr:nvSpPr>
          <xdr:cNvPr id="28" name="TextBox 27">
            <a:extLst>
              <a:ext uri="{FF2B5EF4-FFF2-40B4-BE49-F238E27FC236}">
                <a16:creationId xmlns:a16="http://schemas.microsoft.com/office/drawing/2014/main" id="{AFE19268-F4C5-8237-5E26-BEF2720A431F}"/>
              </a:ext>
            </a:extLst>
          </xdr:cNvPr>
          <xdr:cNvSpPr txBox="1"/>
        </xdr:nvSpPr>
        <xdr:spPr>
          <a:xfrm>
            <a:off x="760404" y="65063"/>
            <a:ext cx="1004810" cy="429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TOTAL WORKLOAD NEXT WEEK</a:t>
            </a:r>
          </a:p>
        </xdr:txBody>
      </xdr:sp>
      <xdr:pic macro="[0]!FilterTable47ByNextWeekTotal">
        <xdr:nvPicPr>
          <xdr:cNvPr id="29" name="Graphic 28" descr="Flip calendar with solid fill">
            <a:extLst>
              <a:ext uri="{FF2B5EF4-FFF2-40B4-BE49-F238E27FC236}">
                <a16:creationId xmlns:a16="http://schemas.microsoft.com/office/drawing/2014/main" id="{BA056AE7-A02A-7FF4-7F8D-3C4E27ED277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8470" y="84327"/>
            <a:ext cx="373795" cy="37732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164223</xdr:colOff>
      <xdr:row>0</xdr:row>
      <xdr:rowOff>85520</xdr:rowOff>
    </xdr:from>
    <xdr:to>
      <xdr:col>2</xdr:col>
      <xdr:colOff>1193321</xdr:colOff>
      <xdr:row>2</xdr:row>
      <xdr:rowOff>126455</xdr:rowOff>
    </xdr:to>
    <xdr:grpSp>
      <xdr:nvGrpSpPr>
        <xdr:cNvPr id="10" name="Group 9">
          <a:extLst>
            <a:ext uri="{FF2B5EF4-FFF2-40B4-BE49-F238E27FC236}">
              <a16:creationId xmlns:a16="http://schemas.microsoft.com/office/drawing/2014/main" id="{027987D7-A80D-4E78-9BE2-0FBE2F506D6E}"/>
            </a:ext>
          </a:extLst>
        </xdr:cNvPr>
        <xdr:cNvGrpSpPr/>
      </xdr:nvGrpSpPr>
      <xdr:grpSpPr>
        <a:xfrm>
          <a:off x="399547" y="85520"/>
          <a:ext cx="1522156" cy="421935"/>
          <a:chOff x="435122" y="65436"/>
          <a:chExt cx="1316518" cy="428828"/>
        </a:xfrm>
      </xdr:grpSpPr>
      <xdr:sp macro="[0]!FilterTable4ByCurrentWeekOpenWorkload" textlink="">
        <xdr:nvSpPr>
          <xdr:cNvPr id="11" name="Rectangle 10">
            <a:extLst>
              <a:ext uri="{FF2B5EF4-FFF2-40B4-BE49-F238E27FC236}">
                <a16:creationId xmlns:a16="http://schemas.microsoft.com/office/drawing/2014/main" id="{B7D94099-99F1-D33D-80C8-34BFBFE02227}"/>
              </a:ext>
            </a:extLst>
          </xdr:cNvPr>
          <xdr:cNvSpPr/>
        </xdr:nvSpPr>
        <xdr:spPr>
          <a:xfrm>
            <a:off x="435122" y="65436"/>
            <a:ext cx="1307962" cy="423527"/>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0]!FilterTable4ByCurrentWeekOpenWorkload" textlink="">
        <xdr:nvSpPr>
          <xdr:cNvPr id="12" name="TextBox 11">
            <a:extLst>
              <a:ext uri="{FF2B5EF4-FFF2-40B4-BE49-F238E27FC236}">
                <a16:creationId xmlns:a16="http://schemas.microsoft.com/office/drawing/2014/main" id="{BB1D28D5-7BCC-A64C-30C4-7EA7C3E10772}"/>
              </a:ext>
            </a:extLst>
          </xdr:cNvPr>
          <xdr:cNvSpPr txBox="1"/>
        </xdr:nvSpPr>
        <xdr:spPr>
          <a:xfrm>
            <a:off x="760403" y="78439"/>
            <a:ext cx="991237" cy="41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OPEN WORKLOAD</a:t>
            </a:r>
            <a:br>
              <a:rPr lang="en-US" sz="800" b="1"/>
            </a:br>
            <a:r>
              <a:rPr lang="en-US" sz="800" b="1"/>
              <a:t>THIS WEEK</a:t>
            </a:r>
          </a:p>
        </xdr:txBody>
      </xdr:sp>
      <xdr:pic macro="[0]!FilterTable4ByCurrentWeekOpenWorkload">
        <xdr:nvPicPr>
          <xdr:cNvPr id="13" name="Graphic 12" descr="Flip calendar with solid fill">
            <a:extLst>
              <a:ext uri="{FF2B5EF4-FFF2-40B4-BE49-F238E27FC236}">
                <a16:creationId xmlns:a16="http://schemas.microsoft.com/office/drawing/2014/main" id="{F313043B-A907-6168-E8D3-F88E1785B6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8470" y="84327"/>
            <a:ext cx="373795" cy="377325"/>
          </a:xfrm>
          <a:prstGeom prst="rect">
            <a:avLst/>
          </a:prstGeom>
        </xdr:spPr>
      </xdr:pic>
    </xdr:grpSp>
    <xdr:clientData/>
  </xdr:twoCellAnchor>
  <xdr:twoCellAnchor>
    <xdr:from>
      <xdr:col>5</xdr:col>
      <xdr:colOff>19561</xdr:colOff>
      <xdr:row>0</xdr:row>
      <xdr:rowOff>87927</xdr:rowOff>
    </xdr:from>
    <xdr:to>
      <xdr:col>5</xdr:col>
      <xdr:colOff>934991</xdr:colOff>
      <xdr:row>2</xdr:row>
      <xdr:rowOff>147484</xdr:rowOff>
    </xdr:to>
    <xdr:grpSp>
      <xdr:nvGrpSpPr>
        <xdr:cNvPr id="14" name="Group 13">
          <a:extLst>
            <a:ext uri="{FF2B5EF4-FFF2-40B4-BE49-F238E27FC236}">
              <a16:creationId xmlns:a16="http://schemas.microsoft.com/office/drawing/2014/main" id="{922CD73B-58CB-4042-BF7C-8403BD7A4327}"/>
            </a:ext>
          </a:extLst>
        </xdr:cNvPr>
        <xdr:cNvGrpSpPr/>
      </xdr:nvGrpSpPr>
      <xdr:grpSpPr>
        <a:xfrm>
          <a:off x="4714826" y="87927"/>
          <a:ext cx="915430" cy="440557"/>
          <a:chOff x="1976233" y="67812"/>
          <a:chExt cx="915963" cy="447822"/>
        </a:xfrm>
      </xdr:grpSpPr>
      <xdr:sp macro="[0]!ClearFiltersFromTable4" textlink="">
        <xdr:nvSpPr>
          <xdr:cNvPr id="15" name="Rectangle 14">
            <a:extLst>
              <a:ext uri="{FF2B5EF4-FFF2-40B4-BE49-F238E27FC236}">
                <a16:creationId xmlns:a16="http://schemas.microsoft.com/office/drawing/2014/main" id="{85090194-4703-DE01-9E7B-1C9846CD4CBF}"/>
              </a:ext>
            </a:extLst>
          </xdr:cNvPr>
          <xdr:cNvSpPr/>
        </xdr:nvSpPr>
        <xdr:spPr>
          <a:xfrm>
            <a:off x="1976233" y="67812"/>
            <a:ext cx="872773" cy="42550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ClearFiltersFromTable4" textlink="">
        <xdr:nvSpPr>
          <xdr:cNvPr id="16" name="TextBox 15">
            <a:extLst>
              <a:ext uri="{FF2B5EF4-FFF2-40B4-BE49-F238E27FC236}">
                <a16:creationId xmlns:a16="http://schemas.microsoft.com/office/drawing/2014/main" id="{61C7B998-E57A-F8C4-83A3-74568CB6E7F8}"/>
              </a:ext>
            </a:extLst>
          </xdr:cNvPr>
          <xdr:cNvSpPr txBox="1"/>
        </xdr:nvSpPr>
        <xdr:spPr>
          <a:xfrm>
            <a:off x="2249680" y="95206"/>
            <a:ext cx="642516" cy="420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t>REMOVE</a:t>
            </a:r>
            <a:br>
              <a:rPr lang="en-US" sz="900" b="1"/>
            </a:br>
            <a:r>
              <a:rPr lang="en-US" sz="900" b="1"/>
              <a:t>FILTERS</a:t>
            </a:r>
          </a:p>
        </xdr:txBody>
      </xdr:sp>
      <xdr:pic macro="[0]!ClearFiltersFromTable4">
        <xdr:nvPicPr>
          <xdr:cNvPr id="17" name="Graphic 16" descr="Badge Unfollow with solid fill">
            <a:extLst>
              <a:ext uri="{FF2B5EF4-FFF2-40B4-BE49-F238E27FC236}">
                <a16:creationId xmlns:a16="http://schemas.microsoft.com/office/drawing/2014/main" id="{FB2504F3-3DB7-9C69-9681-37626B4E2D7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00328" y="111920"/>
            <a:ext cx="335301" cy="328433"/>
          </a:xfrm>
          <a:prstGeom prst="rect">
            <a:avLst/>
          </a:prstGeom>
        </xdr:spPr>
      </xdr:pic>
    </xdr:grpSp>
    <xdr:clientData/>
  </xdr:twoCellAnchor>
  <xdr:twoCellAnchor editAs="absolute">
    <xdr:from>
      <xdr:col>5</xdr:col>
      <xdr:colOff>972042</xdr:colOff>
      <xdr:row>0</xdr:row>
      <xdr:rowOff>88888</xdr:rowOff>
    </xdr:from>
    <xdr:to>
      <xdr:col>6</xdr:col>
      <xdr:colOff>726537</xdr:colOff>
      <xdr:row>2</xdr:row>
      <xdr:rowOff>134806</xdr:rowOff>
    </xdr:to>
    <xdr:grpSp>
      <xdr:nvGrpSpPr>
        <xdr:cNvPr id="18" name="Group 17">
          <a:extLst>
            <a:ext uri="{FF2B5EF4-FFF2-40B4-BE49-F238E27FC236}">
              <a16:creationId xmlns:a16="http://schemas.microsoft.com/office/drawing/2014/main" id="{38BD1177-7027-4491-AFF8-6C25FFEAA17B}"/>
            </a:ext>
          </a:extLst>
        </xdr:cNvPr>
        <xdr:cNvGrpSpPr>
          <a:grpSpLocks noChangeAspect="1"/>
        </xdr:cNvGrpSpPr>
      </xdr:nvGrpSpPr>
      <xdr:grpSpPr>
        <a:xfrm>
          <a:off x="5667307" y="88888"/>
          <a:ext cx="1379348" cy="426918"/>
          <a:chOff x="3908728" y="69118"/>
          <a:chExt cx="1228316" cy="398626"/>
        </a:xfrm>
      </xdr:grpSpPr>
      <xdr:sp macro="[0]!GenerateADRDocuments" textlink="">
        <xdr:nvSpPr>
          <xdr:cNvPr id="19" name="Rectangle 18">
            <a:extLst>
              <a:ext uri="{FF2B5EF4-FFF2-40B4-BE49-F238E27FC236}">
                <a16:creationId xmlns:a16="http://schemas.microsoft.com/office/drawing/2014/main" id="{203E8611-4C66-8FED-2C76-42D589780CA7}"/>
              </a:ext>
            </a:extLst>
          </xdr:cNvPr>
          <xdr:cNvSpPr/>
        </xdr:nvSpPr>
        <xdr:spPr>
          <a:xfrm>
            <a:off x="3908728" y="69118"/>
            <a:ext cx="1228316" cy="387759"/>
          </a:xfrm>
          <a:prstGeom prst="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GenerateADRDocuments">
        <xdr:nvPicPr>
          <xdr:cNvPr id="20" name="Graphic 19" descr="List with solid fill">
            <a:extLst>
              <a:ext uri="{FF2B5EF4-FFF2-40B4-BE49-F238E27FC236}">
                <a16:creationId xmlns:a16="http://schemas.microsoft.com/office/drawing/2014/main" id="{4C490499-3FE3-CEC9-0991-111A38E99E8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915478" y="84136"/>
            <a:ext cx="371156" cy="360450"/>
          </a:xfrm>
          <a:prstGeom prst="rect">
            <a:avLst/>
          </a:prstGeom>
        </xdr:spPr>
      </xdr:pic>
      <xdr:sp macro="[0]!GenerateADRDocuments" textlink="">
        <xdr:nvSpPr>
          <xdr:cNvPr id="21" name="TextBox 20">
            <a:extLst>
              <a:ext uri="{FF2B5EF4-FFF2-40B4-BE49-F238E27FC236}">
                <a16:creationId xmlns:a16="http://schemas.microsoft.com/office/drawing/2014/main" id="{00AC6AF1-4C86-3C7F-5902-7D079A338155}"/>
              </a:ext>
            </a:extLst>
          </xdr:cNvPr>
          <xdr:cNvSpPr txBox="1"/>
        </xdr:nvSpPr>
        <xdr:spPr>
          <a:xfrm>
            <a:off x="4213683" y="101547"/>
            <a:ext cx="923353" cy="3661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t>GENERATE NON-ADR DOCUMENT</a:t>
            </a:r>
          </a:p>
        </xdr:txBody>
      </xdr:sp>
    </xdr:grpSp>
    <xdr:clientData/>
  </xdr:twoCellAnchor>
  <xdr:twoCellAnchor>
    <xdr:from>
      <xdr:col>2</xdr:col>
      <xdr:colOff>1319485</xdr:colOff>
      <xdr:row>0</xdr:row>
      <xdr:rowOff>84644</xdr:rowOff>
    </xdr:from>
    <xdr:to>
      <xdr:col>4</xdr:col>
      <xdr:colOff>544306</xdr:colOff>
      <xdr:row>2</xdr:row>
      <xdr:rowOff>125579</xdr:rowOff>
    </xdr:to>
    <xdr:grpSp>
      <xdr:nvGrpSpPr>
        <xdr:cNvPr id="2" name="Group 1">
          <a:extLst>
            <a:ext uri="{FF2B5EF4-FFF2-40B4-BE49-F238E27FC236}">
              <a16:creationId xmlns:a16="http://schemas.microsoft.com/office/drawing/2014/main" id="{4E54BFE3-AC1A-4223-BAF7-6F4F54C22B36}"/>
            </a:ext>
          </a:extLst>
        </xdr:cNvPr>
        <xdr:cNvGrpSpPr/>
      </xdr:nvGrpSpPr>
      <xdr:grpSpPr>
        <a:xfrm>
          <a:off x="2047867" y="84644"/>
          <a:ext cx="1488410" cy="421935"/>
          <a:chOff x="435122" y="65436"/>
          <a:chExt cx="1316518" cy="428828"/>
        </a:xfrm>
      </xdr:grpSpPr>
      <xdr:sp macro="[0]!FilterTable4ByCurrentWeekTotal" textlink="">
        <xdr:nvSpPr>
          <xdr:cNvPr id="3" name="Rectangle 2">
            <a:extLst>
              <a:ext uri="{FF2B5EF4-FFF2-40B4-BE49-F238E27FC236}">
                <a16:creationId xmlns:a16="http://schemas.microsoft.com/office/drawing/2014/main" id="{300AFA75-1D1B-C543-8494-28048CF55A52}"/>
              </a:ext>
            </a:extLst>
          </xdr:cNvPr>
          <xdr:cNvSpPr/>
        </xdr:nvSpPr>
        <xdr:spPr>
          <a:xfrm>
            <a:off x="435122" y="65436"/>
            <a:ext cx="1307962" cy="423527"/>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0]!FilterTable4ByCurrentWeekTotal" textlink="">
        <xdr:nvSpPr>
          <xdr:cNvPr id="4" name="TextBox 3">
            <a:extLst>
              <a:ext uri="{FF2B5EF4-FFF2-40B4-BE49-F238E27FC236}">
                <a16:creationId xmlns:a16="http://schemas.microsoft.com/office/drawing/2014/main" id="{E976438E-C680-3E02-2340-18A1047D9F88}"/>
              </a:ext>
            </a:extLst>
          </xdr:cNvPr>
          <xdr:cNvSpPr txBox="1"/>
        </xdr:nvSpPr>
        <xdr:spPr>
          <a:xfrm>
            <a:off x="760403" y="78439"/>
            <a:ext cx="991237" cy="41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TOTAL WORKLOAD</a:t>
            </a:r>
            <a:br>
              <a:rPr lang="en-US" sz="800" b="1"/>
            </a:br>
            <a:r>
              <a:rPr lang="en-US" sz="800" b="1"/>
              <a:t>THIS WEEK</a:t>
            </a:r>
          </a:p>
        </xdr:txBody>
      </xdr:sp>
      <xdr:pic macro="[0]!FilterTable4ByCurrentWeekTotal">
        <xdr:nvPicPr>
          <xdr:cNvPr id="5" name="Graphic 4" descr="Flip calendar with solid fill">
            <a:extLst>
              <a:ext uri="{FF2B5EF4-FFF2-40B4-BE49-F238E27FC236}">
                <a16:creationId xmlns:a16="http://schemas.microsoft.com/office/drawing/2014/main" id="{CD938C53-257C-365F-F155-815D8AC3603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8470" y="84327"/>
            <a:ext cx="373795" cy="377325"/>
          </a:xfrm>
          <a:prstGeom prst="rect">
            <a:avLst/>
          </a:prstGeom>
        </xdr:spPr>
      </xdr:pic>
    </xdr:grpSp>
    <xdr:clientData/>
  </xdr:twoCellAnchor>
  <xdr:twoCellAnchor>
    <xdr:from>
      <xdr:col>4</xdr:col>
      <xdr:colOff>631245</xdr:colOff>
      <xdr:row>0</xdr:row>
      <xdr:rowOff>82491</xdr:rowOff>
    </xdr:from>
    <xdr:to>
      <xdr:col>4</xdr:col>
      <xdr:colOff>1698146</xdr:colOff>
      <xdr:row>2</xdr:row>
      <xdr:rowOff>115603</xdr:rowOff>
    </xdr:to>
    <xdr:grpSp>
      <xdr:nvGrpSpPr>
        <xdr:cNvPr id="6" name="Group 5">
          <a:extLst>
            <a:ext uri="{FF2B5EF4-FFF2-40B4-BE49-F238E27FC236}">
              <a16:creationId xmlns:a16="http://schemas.microsoft.com/office/drawing/2014/main" id="{AAE49D99-AF6A-45C1-8D37-EB84A38096B3}"/>
            </a:ext>
          </a:extLst>
        </xdr:cNvPr>
        <xdr:cNvGrpSpPr/>
      </xdr:nvGrpSpPr>
      <xdr:grpSpPr>
        <a:xfrm>
          <a:off x="3623216" y="82491"/>
          <a:ext cx="1066901" cy="414112"/>
          <a:chOff x="3293912" y="63904"/>
          <a:chExt cx="1066901" cy="421583"/>
        </a:xfrm>
      </xdr:grpSpPr>
      <xdr:sp macro="[0]!FilterTable4ByToday" textlink="">
        <xdr:nvSpPr>
          <xdr:cNvPr id="7" name="Rectangle 6">
            <a:extLst>
              <a:ext uri="{FF2B5EF4-FFF2-40B4-BE49-F238E27FC236}">
                <a16:creationId xmlns:a16="http://schemas.microsoft.com/office/drawing/2014/main" id="{C182272D-2516-A549-F1B6-02F3E12E91DF}"/>
              </a:ext>
            </a:extLst>
          </xdr:cNvPr>
          <xdr:cNvSpPr/>
        </xdr:nvSpPr>
        <xdr:spPr>
          <a:xfrm>
            <a:off x="3293912" y="63904"/>
            <a:ext cx="1066901" cy="418772"/>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0]!FilterTable4ByToday" textlink="">
        <xdr:nvSpPr>
          <xdr:cNvPr id="8" name="TextBox 7">
            <a:extLst>
              <a:ext uri="{FF2B5EF4-FFF2-40B4-BE49-F238E27FC236}">
                <a16:creationId xmlns:a16="http://schemas.microsoft.com/office/drawing/2014/main" id="{FFF1CD85-9AF8-DEA9-8397-7EFB0258BCBC}"/>
              </a:ext>
            </a:extLst>
          </xdr:cNvPr>
          <xdr:cNvSpPr txBox="1"/>
        </xdr:nvSpPr>
        <xdr:spPr>
          <a:xfrm>
            <a:off x="3563670" y="70782"/>
            <a:ext cx="790865" cy="414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COLLECTIONS</a:t>
            </a:r>
            <a:br>
              <a:rPr lang="en-US" sz="800" b="1"/>
            </a:br>
            <a:r>
              <a:rPr lang="en-US" sz="800" b="1"/>
              <a:t>TODAY</a:t>
            </a:r>
          </a:p>
        </xdr:txBody>
      </xdr:sp>
      <xdr:pic macro="[0]!FilterTable4ByToday">
        <xdr:nvPicPr>
          <xdr:cNvPr id="9" name="Graphic 8" descr="Monthly calendar with solid fill">
            <a:extLst>
              <a:ext uri="{FF2B5EF4-FFF2-40B4-BE49-F238E27FC236}">
                <a16:creationId xmlns:a16="http://schemas.microsoft.com/office/drawing/2014/main" id="{87D00F41-9FB1-09D0-5B43-C25576A07BF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09945" y="111536"/>
            <a:ext cx="332990" cy="331110"/>
          </a:xfrm>
          <a:prstGeom prst="rect">
            <a:avLst/>
          </a:prstGeom>
        </xdr:spPr>
      </xdr:pic>
    </xdr:grpSp>
    <xdr:clientData/>
  </xdr:twoCellAnchor>
  <xdr:twoCellAnchor>
    <xdr:from>
      <xdr:col>6</xdr:col>
      <xdr:colOff>806450</xdr:colOff>
      <xdr:row>0</xdr:row>
      <xdr:rowOff>86947</xdr:rowOff>
    </xdr:from>
    <xdr:to>
      <xdr:col>8</xdr:col>
      <xdr:colOff>533968</xdr:colOff>
      <xdr:row>2</xdr:row>
      <xdr:rowOff>118273</xdr:rowOff>
    </xdr:to>
    <xdr:grpSp>
      <xdr:nvGrpSpPr>
        <xdr:cNvPr id="22" name="Group 21">
          <a:extLst>
            <a:ext uri="{FF2B5EF4-FFF2-40B4-BE49-F238E27FC236}">
              <a16:creationId xmlns:a16="http://schemas.microsoft.com/office/drawing/2014/main" id="{18941662-B2CF-4C83-80C2-A53D2B257B92}"/>
            </a:ext>
          </a:extLst>
        </xdr:cNvPr>
        <xdr:cNvGrpSpPr/>
      </xdr:nvGrpSpPr>
      <xdr:grpSpPr>
        <a:xfrm>
          <a:off x="7126568" y="86947"/>
          <a:ext cx="1262724" cy="412326"/>
          <a:chOff x="435122" y="65063"/>
          <a:chExt cx="1330092" cy="429201"/>
        </a:xfrm>
      </xdr:grpSpPr>
      <xdr:sp macro="[0]!FilterTable4ByNextWeekOpenWorkload" textlink="">
        <xdr:nvSpPr>
          <xdr:cNvPr id="23" name="Rectangle 22">
            <a:extLst>
              <a:ext uri="{FF2B5EF4-FFF2-40B4-BE49-F238E27FC236}">
                <a16:creationId xmlns:a16="http://schemas.microsoft.com/office/drawing/2014/main" id="{FD913725-A287-CAEE-5141-B47941EC6E74}"/>
              </a:ext>
            </a:extLst>
          </xdr:cNvPr>
          <xdr:cNvSpPr/>
        </xdr:nvSpPr>
        <xdr:spPr>
          <a:xfrm>
            <a:off x="435122" y="65436"/>
            <a:ext cx="1307962" cy="423527"/>
          </a:xfrm>
          <a:prstGeom prst="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FilterTable4ByNextWeekOpenWorkload" textlink="">
        <xdr:nvSpPr>
          <xdr:cNvPr id="24" name="TextBox 23">
            <a:extLst>
              <a:ext uri="{FF2B5EF4-FFF2-40B4-BE49-F238E27FC236}">
                <a16:creationId xmlns:a16="http://schemas.microsoft.com/office/drawing/2014/main" id="{9A83673B-2691-3CA6-BF50-35A6BE5E951C}"/>
              </a:ext>
            </a:extLst>
          </xdr:cNvPr>
          <xdr:cNvSpPr txBox="1"/>
        </xdr:nvSpPr>
        <xdr:spPr>
          <a:xfrm>
            <a:off x="760404" y="65063"/>
            <a:ext cx="1004810" cy="429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800" b="1"/>
              <a:t>TOTAL WORKLOAD NEXT WEEK</a:t>
            </a:r>
          </a:p>
        </xdr:txBody>
      </xdr:sp>
      <xdr:pic macro="[0]!FilterTable4ByNextWeekOpenWorkload">
        <xdr:nvPicPr>
          <xdr:cNvPr id="25" name="Graphic 24" descr="Flip calendar with solid fill">
            <a:extLst>
              <a:ext uri="{FF2B5EF4-FFF2-40B4-BE49-F238E27FC236}">
                <a16:creationId xmlns:a16="http://schemas.microsoft.com/office/drawing/2014/main" id="{1347F115-B389-6439-358A-A1D61298B3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8470" y="84327"/>
            <a:ext cx="373795" cy="377325"/>
          </a:xfrm>
          <a:prstGeom prst="rect">
            <a:avLst/>
          </a:prstGeom>
        </xdr:spPr>
      </xdr:pic>
    </xdr:grpSp>
    <xdr:clientData/>
  </xdr:twoCellAnchor>
  <xdr:twoCellAnchor>
    <xdr:from>
      <xdr:col>8</xdr:col>
      <xdr:colOff>654833</xdr:colOff>
      <xdr:row>0</xdr:row>
      <xdr:rowOff>70184</xdr:rowOff>
    </xdr:from>
    <xdr:to>
      <xdr:col>8</xdr:col>
      <xdr:colOff>2093251</xdr:colOff>
      <xdr:row>2</xdr:row>
      <xdr:rowOff>94614</xdr:rowOff>
    </xdr:to>
    <xdr:grpSp>
      <xdr:nvGrpSpPr>
        <xdr:cNvPr id="30" name="Group 29">
          <a:extLst>
            <a:ext uri="{FF2B5EF4-FFF2-40B4-BE49-F238E27FC236}">
              <a16:creationId xmlns:a16="http://schemas.microsoft.com/office/drawing/2014/main" id="{CB11226C-D0E8-BE2E-09F6-1D67831E62D8}"/>
            </a:ext>
          </a:extLst>
        </xdr:cNvPr>
        <xdr:cNvGrpSpPr/>
      </xdr:nvGrpSpPr>
      <xdr:grpSpPr>
        <a:xfrm>
          <a:off x="8510157" y="70184"/>
          <a:ext cx="1438418" cy="405430"/>
          <a:chOff x="8897443" y="70184"/>
          <a:chExt cx="1438418" cy="420918"/>
        </a:xfrm>
      </xdr:grpSpPr>
      <xdr:grpSp>
        <xdr:nvGrpSpPr>
          <xdr:cNvPr id="26" name="Group 25">
            <a:extLst>
              <a:ext uri="{FF2B5EF4-FFF2-40B4-BE49-F238E27FC236}">
                <a16:creationId xmlns:a16="http://schemas.microsoft.com/office/drawing/2014/main" id="{8CEF0DFA-FC99-4AC4-921E-E54D5862C139}"/>
              </a:ext>
            </a:extLst>
          </xdr:cNvPr>
          <xdr:cNvGrpSpPr>
            <a:grpSpLocks noChangeAspect="1"/>
          </xdr:cNvGrpSpPr>
        </xdr:nvGrpSpPr>
        <xdr:grpSpPr>
          <a:xfrm>
            <a:off x="8897443" y="87472"/>
            <a:ext cx="1438418" cy="397028"/>
            <a:chOff x="3908728" y="69118"/>
            <a:chExt cx="1228316" cy="387759"/>
          </a:xfrm>
          <a:solidFill>
            <a:schemeClr val="tx2">
              <a:lumMod val="10000"/>
              <a:lumOff val="90000"/>
            </a:schemeClr>
          </a:solidFill>
        </xdr:grpSpPr>
        <xdr:sp macro="[0]!boxcontentsample" textlink="">
          <xdr:nvSpPr>
            <xdr:cNvPr id="27" name="Rectangle 26">
              <a:extLst>
                <a:ext uri="{FF2B5EF4-FFF2-40B4-BE49-F238E27FC236}">
                  <a16:creationId xmlns:a16="http://schemas.microsoft.com/office/drawing/2014/main" id="{7272DF9B-C46F-0748-49F2-51DE6D4160B0}"/>
                </a:ext>
              </a:extLst>
            </xdr:cNvPr>
            <xdr:cNvSpPr/>
          </xdr:nvSpPr>
          <xdr:spPr>
            <a:xfrm>
              <a:off x="3908728" y="69118"/>
              <a:ext cx="1228316" cy="387759"/>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boxcontentsample">
          <xdr:nvPicPr>
            <xdr:cNvPr id="28" name="Graphic 27" descr="List with solid fill">
              <a:extLst>
                <a:ext uri="{FF2B5EF4-FFF2-40B4-BE49-F238E27FC236}">
                  <a16:creationId xmlns:a16="http://schemas.microsoft.com/office/drawing/2014/main" id="{BBCA614E-83E5-4EDB-76E2-5838C4D9B249}"/>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915478" y="84136"/>
              <a:ext cx="371156" cy="360450"/>
            </a:xfrm>
            <a:prstGeom prst="rect">
              <a:avLst/>
            </a:prstGeom>
          </xdr:spPr>
        </xdr:pic>
        <xdr:sp macro="[0]!boxcontentsample" textlink="">
          <xdr:nvSpPr>
            <xdr:cNvPr id="29" name="TextBox 28">
              <a:extLst>
                <a:ext uri="{FF2B5EF4-FFF2-40B4-BE49-F238E27FC236}">
                  <a16:creationId xmlns:a16="http://schemas.microsoft.com/office/drawing/2014/main" id="{DB84C292-8BF9-EF14-20E9-449DD80F4D6A}"/>
                </a:ext>
              </a:extLst>
            </xdr:cNvPr>
            <xdr:cNvSpPr txBox="1"/>
          </xdr:nvSpPr>
          <xdr:spPr>
            <a:xfrm>
              <a:off x="4213683" y="101547"/>
              <a:ext cx="923353" cy="34417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t>GENERATE BOX CONTENT LABEL</a:t>
              </a:r>
            </a:p>
          </xdr:txBody>
        </xdr:sp>
      </xdr:grpSp>
      <xdr:pic>
        <xdr:nvPicPr>
          <xdr:cNvPr id="31" name="Graphic 30" descr="Alien Face with solid fill">
            <a:extLst>
              <a:ext uri="{FF2B5EF4-FFF2-40B4-BE49-F238E27FC236}">
                <a16:creationId xmlns:a16="http://schemas.microsoft.com/office/drawing/2014/main" id="{43D223BD-4A3F-721C-CB9B-1C1B3230A53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8911700" y="70184"/>
            <a:ext cx="437338" cy="420918"/>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569818</xdr:colOff>
      <xdr:row>2</xdr:row>
      <xdr:rowOff>92449</xdr:rowOff>
    </xdr:from>
    <xdr:to>
      <xdr:col>13</xdr:col>
      <xdr:colOff>455516</xdr:colOff>
      <xdr:row>17</xdr:row>
      <xdr:rowOff>2052</xdr:rowOff>
    </xdr:to>
    <mc:AlternateContent xmlns:mc="http://schemas.openxmlformats.org/markup-compatibility/2006" xmlns:a14="http://schemas.microsoft.com/office/drawing/2010/main">
      <mc:Choice Requires="a14">
        <xdr:graphicFrame macro="">
          <xdr:nvGraphicFramePr>
            <xdr:cNvPr id="3" name="Confirmed Pick-up Date">
              <a:extLst>
                <a:ext uri="{FF2B5EF4-FFF2-40B4-BE49-F238E27FC236}">
                  <a16:creationId xmlns:a16="http://schemas.microsoft.com/office/drawing/2014/main" id="{05C045E1-763A-228B-2AE4-042C4B62B552}"/>
                </a:ext>
              </a:extLst>
            </xdr:cNvPr>
            <xdr:cNvGraphicFramePr/>
          </xdr:nvGraphicFramePr>
          <xdr:xfrm>
            <a:off x="0" y="0"/>
            <a:ext cx="0" cy="0"/>
          </xdr:xfrm>
          <a:graphic>
            <a:graphicData uri="http://schemas.microsoft.com/office/drawing/2010/slicer">
              <sle:slicer xmlns:sle="http://schemas.microsoft.com/office/drawing/2010/slicer" name="Confirmed Pick-up Date"/>
            </a:graphicData>
          </a:graphic>
        </xdr:graphicFrame>
      </mc:Choice>
      <mc:Fallback xmlns="">
        <xdr:sp macro="" textlink="">
          <xdr:nvSpPr>
            <xdr:cNvPr id="0" name=""/>
            <xdr:cNvSpPr>
              <a:spLocks noTextEdit="1"/>
            </xdr:cNvSpPr>
          </xdr:nvSpPr>
          <xdr:spPr>
            <a:xfrm>
              <a:off x="7999318" y="446235"/>
              <a:ext cx="2334985" cy="25629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109605</xdr:colOff>
      <xdr:row>1</xdr:row>
      <xdr:rowOff>163445</xdr:rowOff>
    </xdr:from>
    <xdr:to>
      <xdr:col>28</xdr:col>
      <xdr:colOff>332656</xdr:colOff>
      <xdr:row>16</xdr:row>
      <xdr:rowOff>87055</xdr:rowOff>
    </xdr:to>
    <mc:AlternateContent xmlns:mc="http://schemas.openxmlformats.org/markup-compatibility/2006" xmlns:a14="http://schemas.microsoft.com/office/drawing/2010/main">
      <mc:Choice Requires="a14">
        <xdr:graphicFrame macro="">
          <xdr:nvGraphicFramePr>
            <xdr:cNvPr id="2" name="Shipping Date (SD-14)">
              <a:extLst>
                <a:ext uri="{FF2B5EF4-FFF2-40B4-BE49-F238E27FC236}">
                  <a16:creationId xmlns:a16="http://schemas.microsoft.com/office/drawing/2014/main" id="{AD11C03D-9463-775E-E747-6B5555B5607E}"/>
                </a:ext>
              </a:extLst>
            </xdr:cNvPr>
            <xdr:cNvGraphicFramePr/>
          </xdr:nvGraphicFramePr>
          <xdr:xfrm>
            <a:off x="0" y="0"/>
            <a:ext cx="0" cy="0"/>
          </xdr:xfrm>
          <a:graphic>
            <a:graphicData uri="http://schemas.microsoft.com/office/drawing/2010/slicer">
              <sle:slicer xmlns:sle="http://schemas.microsoft.com/office/drawing/2010/slicer" name="Shipping Date (SD-14)"/>
            </a:graphicData>
          </a:graphic>
        </xdr:graphicFrame>
      </mc:Choice>
      <mc:Fallback xmlns="">
        <xdr:sp macro="" textlink="">
          <xdr:nvSpPr>
            <xdr:cNvPr id="0" name=""/>
            <xdr:cNvSpPr>
              <a:spLocks noTextEdit="1"/>
            </xdr:cNvSpPr>
          </xdr:nvSpPr>
          <xdr:spPr>
            <a:xfrm>
              <a:off x="22517394" y="337163"/>
              <a:ext cx="1845476" cy="2580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Schweig" refreshedDate="45947.372784143517" createdVersion="8" refreshedVersion="8" minRefreshableVersion="3" recordCount="252" xr:uid="{F7A9543E-B11A-4F9F-8544-4B639809E386}">
  <cacheSource type="worksheet">
    <worksheetSource name="Table47"/>
  </cacheSource>
  <cacheFields count="31">
    <cacheField name="ID" numFmtId="0">
      <sharedItems containsSemiMixedTypes="0" containsString="0" containsNumber="1" containsInteger="1" minValue="1" maxValue="253"/>
    </cacheField>
    <cacheField name="Type" numFmtId="0">
      <sharedItems/>
    </cacheField>
    <cacheField name="Quantity" numFmtId="0">
      <sharedItems containsSemiMixedTypes="0" containsString="0" containsNumber="1" containsInteger="1" minValue="1" maxValue="20"/>
    </cacheField>
    <cacheField name="Confirmed Sampling Date" numFmtId="14">
      <sharedItems containsSemiMixedTypes="0" containsNonDate="0" containsDate="1" containsString="0" minDate="2025-06-01T00:00:00" maxDate="2025-12-18T00:00:00"/>
    </cacheField>
    <cacheField name="Shipping Date (SD-14)" numFmtId="14">
      <sharedItems containsSemiMixedTypes="0" containsNonDate="0" containsDate="1" containsString="0" minDate="2025-05-19T00:00:00" maxDate="2025-12-04T00:00:00" count="62">
        <d v="2025-05-19T00:00:00"/>
        <d v="2025-06-02T00:00:00"/>
        <d v="2025-06-16T00:00:00"/>
        <d v="2025-06-30T00:00:00"/>
        <d v="2025-07-21T00:00:00"/>
        <d v="2025-08-04T00:00:00"/>
        <d v="2025-08-18T00:00:00"/>
        <d v="2025-09-01T00:00:00"/>
        <d v="2025-09-22T00:00:00"/>
        <d v="2025-10-06T00:00:00"/>
        <d v="2025-10-20T00:00:00"/>
        <d v="2025-11-03T00:00:00"/>
        <d v="2025-11-17T00:00:00"/>
        <d v="2025-12-01T00:00:00"/>
        <d v="2025-05-20T00:00:00"/>
        <d v="2025-06-03T00:00:00"/>
        <d v="2025-06-17T00:00:00"/>
        <d v="2025-07-01T00:00:00"/>
        <d v="2025-07-22T00:00:00"/>
        <d v="2025-08-05T00:00:00"/>
        <d v="2025-08-19T00:00:00"/>
        <d v="2025-09-02T00:00:00"/>
        <d v="2025-09-23T00:00:00"/>
        <d v="2025-10-07T00:00:00"/>
        <d v="2025-10-21T00:00:00"/>
        <d v="2025-11-04T00:00:00"/>
        <d v="2025-11-18T00:00:00"/>
        <d v="2025-12-02T00:00:00"/>
        <d v="2025-05-26T00:00:00"/>
        <d v="2025-07-14T00:00:00"/>
        <d v="2025-09-15T00:00:00"/>
        <d v="2025-10-13T00:00:00"/>
        <d v="2025-05-27T00:00:00"/>
        <d v="2025-06-05T00:00:00"/>
        <d v="2025-07-30T00:00:00"/>
        <d v="2025-08-14T00:00:00"/>
        <d v="2025-08-21T00:00:00"/>
        <d v="2025-09-08T00:00:00"/>
        <d v="2025-05-28T00:00:00"/>
        <d v="2025-06-04T00:00:00"/>
        <d v="2025-06-18T00:00:00"/>
        <d v="2025-07-02T00:00:00"/>
        <d v="2025-07-23T00:00:00"/>
        <d v="2025-08-06T00:00:00"/>
        <d v="2025-08-20T00:00:00"/>
        <d v="2025-09-03T00:00:00"/>
        <d v="2025-09-24T00:00:00"/>
        <d v="2025-10-08T00:00:00"/>
        <d v="2025-10-22T00:00:00"/>
        <d v="2025-11-05T00:00:00"/>
        <d v="2025-11-19T00:00:00"/>
        <d v="2025-12-03T00:00:00"/>
        <d v="2025-07-08T00:00:00"/>
        <d v="2025-08-13T00:00:00"/>
        <d v="2025-09-09T00:00:00"/>
        <d v="2025-09-10T00:00:00"/>
        <d v="2025-09-25T00:00:00"/>
        <d v="2025-10-09T00:00:00"/>
        <d v="2025-10-23T00:00:00"/>
        <d v="2025-11-06T00:00:00"/>
        <d v="2025-11-20T00:00:00"/>
        <d v="2025-11-07T00:00:00"/>
      </sharedItems>
      <fieldGroup par="30"/>
    </cacheField>
    <cacheField name="WEEKNUM" numFmtId="0">
      <sharedItems containsSemiMixedTypes="0" containsString="0" containsNumber="1" containsInteger="1" minValue="21" maxValue="49"/>
    </cacheField>
    <cacheField name="YY-MM" numFmtId="0">
      <sharedItems/>
    </cacheField>
    <cacheField name="ToSite-UPSName" numFmtId="0">
      <sharedItems count="24">
        <s v="Berlin Water Works"/>
        <s v="LMU Klinikum Muenchen"/>
        <s v="Stadtentwässerung Frankfurt am Main"/>
        <s v="SCIENSANO (Brussels)"/>
        <s v="Osaka Institute of Public Health"/>
        <s v="LIST"/>
        <s v="Rome Sud (Depuratore)"/>
        <s v="Depuratore Biologico (Fuimicino Airport)"/>
        <s v="Prague - National Institute of Public Health"/>
        <s v="Larnaka Water Board Office"/>
        <s v="Stadtentwaesserungsbetrieb Duesseldorf"/>
        <s v="Vilnius National Public Health Laboratory "/>
        <s v="Centro Cultural e de Investigação do Funchal"/>
        <s v="SLU Institutionen för vatten och miljö"/>
        <s v="Spitalul Clinic De Boli Infectioase Cluj Napoca (SCBI)"/>
        <s v="Spitalul Clinic Municipal Cluj-Napoca (MNC)"/>
        <s v="Umweltanalytisches Laboratorium des ISA"/>
        <s v="Gruppo Hera Bologna"/>
        <s v="Department of Chemistry University of Athens"/>
        <s v="Laboratory of clinical Microbiology and Medical Pathogenesis"/>
        <s v="Paula Stradina Klīniska slimnica"/>
        <s v="AKH Wien"/>
        <s v="Paula Stradiņa Klīniskā universitātes slimnīca" u="1"/>
        <s v="Secretaria Regional da Saúde" u="1"/>
      </sharedItems>
    </cacheField>
    <cacheField name="ToSite-HaDEAName" numFmtId="0">
      <sharedItems/>
    </cacheField>
    <cacheField name="ToSite2-HaDEAName" numFmtId="0">
      <sharedItems containsMixedTypes="1" containsNumber="1" containsInteger="1" minValue="0" maxValue="0"/>
    </cacheField>
    <cacheField name="FromSite3" numFmtId="0">
      <sharedItems containsBlank="1"/>
    </cacheField>
    <cacheField name="FromSite4" numFmtId="0">
      <sharedItems containsMixedTypes="1" containsNumber="1" containsInteger="1" minValue="0" maxValue="0"/>
    </cacheField>
    <cacheField name="FromSite5" numFmtId="0">
      <sharedItems containsMixedTypes="1" containsNumber="1" containsInteger="1" minValue="0" maxValue="0"/>
    </cacheField>
    <cacheField name="ToLab" numFmtId="0">
      <sharedItems containsBlank="1"/>
    </cacheField>
    <cacheField name="Box picked by" numFmtId="0">
      <sharedItems containsBlank="1"/>
    </cacheField>
    <cacheField name="Box checked by" numFmtId="0">
      <sharedItems containsBlank="1"/>
    </cacheField>
    <cacheField name="Barcode sequence" numFmtId="0">
      <sharedItems containsBlank="1" longText="1"/>
    </cacheField>
    <cacheField name="Label created by" numFmtId="0">
      <sharedItems containsBlank="1"/>
    </cacheField>
    <cacheField name="WAYBILLNUMBER" numFmtId="0">
      <sharedItems containsBlank="1" containsMixedTypes="1" containsNumber="1" containsInteger="1" minValue="1016562094" maxValue="8449595910" longText="1"/>
    </cacheField>
    <cacheField name="LABELGENERATED" numFmtId="0">
      <sharedItems/>
    </cacheField>
    <cacheField name="Notified Simona" numFmtId="0">
      <sharedItems containsBlank="1"/>
    </cacheField>
    <cacheField name="Exception" numFmtId="0">
      <sharedItems containsNonDate="0" containsString="0" containsBlank="1"/>
    </cacheField>
    <cacheField name="Notes" numFmtId="0">
      <sharedItems containsBlank="1"/>
    </cacheField>
    <cacheField name="CONFIRMEDDATE" numFmtId="0">
      <sharedItems/>
    </cacheField>
    <cacheField name="CITY" numFmtId="0">
      <sharedItems/>
    </cacheField>
    <cacheField name="COUNTRY" numFmtId="0">
      <sharedItems/>
    </cacheField>
    <cacheField name="DELIVERYADDRESS" numFmtId="0">
      <sharedItems/>
    </cacheField>
    <cacheField name="EXPECTEDDELIVERYDATE" numFmtId="0">
      <sharedItems/>
    </cacheField>
    <cacheField name="BOXCONTENTTEMPLATE" numFmtId="0">
      <sharedItems/>
    </cacheField>
    <cacheField name="Days (Shipping Date (SD-14))" numFmtId="0" databaseField="0">
      <fieldGroup base="4">
        <rangePr groupBy="days" startDate="2025-05-19T00:00:00" endDate="2025-12-04T00:00:00"/>
        <groupItems count="368">
          <s v="&lt;19/05/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4/12/2025"/>
        </groupItems>
      </fieldGroup>
    </cacheField>
    <cacheField name="Months (Shipping Date (SD-14))" numFmtId="0" databaseField="0">
      <fieldGroup base="4">
        <rangePr groupBy="months" startDate="2025-05-19T00:00:00" endDate="2025-12-04T00:00:00"/>
        <groupItems count="14">
          <s v="&lt;19/05/2025"/>
          <s v="Jan"/>
          <s v="Feb"/>
          <s v="Mar"/>
          <s v="Apr"/>
          <s v="May"/>
          <s v="Jun"/>
          <s v="Jul"/>
          <s v="Aug"/>
          <s v="Sep"/>
          <s v="Oct"/>
          <s v="Nov"/>
          <s v="Dec"/>
          <s v="&gt;04/12/2025"/>
        </groupItems>
      </fieldGroup>
    </cacheField>
  </cacheFields>
  <extLst>
    <ext xmlns:x14="http://schemas.microsoft.com/office/spreadsheetml/2009/9/main" uri="{725AE2AE-9491-48be-B2B4-4EB974FC3084}">
      <x14:pivotCacheDefinition pivotCacheId="64056223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Schweig" refreshedDate="45947.372784606479" createdVersion="8" refreshedVersion="8" minRefreshableVersion="3" recordCount="634" xr:uid="{461967B2-152C-4E96-8E1C-A5DCB08F2C61}">
  <cacheSource type="worksheet">
    <worksheetSource name="Table4"/>
  </cacheSource>
  <cacheFields count="33">
    <cacheField name="ID" numFmtId="0">
      <sharedItems containsSemiMixedTypes="0" containsString="0" containsNumber="1" containsInteger="1" minValue="1" maxValue="655"/>
    </cacheField>
    <cacheField name="Type" numFmtId="0">
      <sharedItems/>
    </cacheField>
    <cacheField name="Quantity" numFmtId="0">
      <sharedItems containsSemiMixedTypes="0" containsString="0" containsNumber="1" containsInteger="1" minValue="1" maxValue="1"/>
    </cacheField>
    <cacheField name="Confirmed Sampling Date" numFmtId="14">
      <sharedItems containsSemiMixedTypes="0" containsNonDate="0" containsDate="1" containsString="0" minDate="2025-06-01T00:00:00" maxDate="2025-12-18T00:00:00"/>
    </cacheField>
    <cacheField name="Confirmed Pick-up Date" numFmtId="14">
      <sharedItems containsNonDate="0" containsDate="1" containsString="0" containsBlank="1" minDate="2025-06-02T00:00:00" maxDate="2025-12-19T00:00:00" count="73">
        <d v="2025-06-09T00:00:00"/>
        <d v="2025-07-01T00:00:00"/>
        <d v="2025-07-29T00:00:00"/>
        <d v="2025-09-02T00:00:00"/>
        <d v="2025-09-30T00:00:00"/>
        <d v="2025-10-28T00:00:00"/>
        <d v="2025-06-02T00:00:00"/>
        <d v="2025-06-16T00:00:00"/>
        <d v="2025-06-30T00:00:00"/>
        <d v="2025-07-14T00:00:00"/>
        <d v="2025-08-04T00:00:00"/>
        <d v="2025-08-18T00:00:00"/>
        <d v="2025-09-01T00:00:00"/>
        <d v="2025-09-15T00:00:00"/>
        <d v="2025-10-06T00:00:00"/>
        <d v="2025-10-20T00:00:00"/>
        <d v="2025-11-03T00:00:00"/>
        <d v="2025-11-17T00:00:00"/>
        <d v="2025-12-01T00:00:00"/>
        <d v="2025-12-15T00:00:00"/>
        <d v="2025-06-04T00:00:00"/>
        <d v="2025-06-18T00:00:00"/>
        <d v="2025-07-02T00:00:00"/>
        <d v="2025-07-16T00:00:00"/>
        <d v="2025-08-06T00:00:00"/>
        <d v="2025-08-20T00:00:00"/>
        <d v="2025-09-03T00:00:00"/>
        <d v="2025-09-17T00:00:00"/>
        <d v="2025-10-08T00:00:00"/>
        <d v="2025-10-22T00:00:00"/>
        <d v="2025-11-05T00:00:00"/>
        <d v="2025-11-19T00:00:00"/>
        <d v="2025-12-03T00:00:00"/>
        <d v="2025-12-17T00:00:00"/>
        <d v="2025-06-17T00:00:00"/>
        <d v="2025-07-15T00:00:00"/>
        <d v="2025-08-05T00:00:00"/>
        <d v="2025-08-19T00:00:00"/>
        <d v="2025-09-16T00:00:00"/>
        <d v="2025-10-07T00:00:00"/>
        <d v="2025-10-21T00:00:00"/>
        <d v="2025-11-04T00:00:00"/>
        <d v="2025-11-18T00:00:00"/>
        <d v="2025-12-02T00:00:00"/>
        <d v="2025-12-16T00:00:00"/>
        <d v="2025-06-11T00:00:00"/>
        <d v="2025-06-20T00:00:00"/>
        <d v="2025-08-14T00:00:00"/>
        <d v="2025-08-29T00:00:00"/>
        <d v="2025-09-05T00:00:00"/>
        <d v="2025-09-23T00:00:00"/>
        <d v="2025-07-23T00:00:00"/>
        <d v="2025-07-24T00:00:00"/>
        <d v="2025-08-07T00:00:00"/>
        <d v="2025-08-21T00:00:00"/>
        <d v="2025-09-04T00:00:00"/>
        <d v="2025-09-18T00:00:00"/>
        <d v="2025-10-09T00:00:00"/>
        <d v="2025-10-23T00:00:00"/>
        <d v="2025-11-06T00:00:00"/>
        <d v="2025-11-20T00:00:00"/>
        <d v="2025-12-04T00:00:00"/>
        <d v="2025-12-18T00:00:00"/>
        <d v="2025-08-28T00:00:00"/>
        <m/>
        <d v="2025-09-24T00:00:00"/>
        <d v="2025-09-25T00:00:00"/>
        <d v="2025-10-10T00:00:00"/>
        <d v="2025-10-24T00:00:00"/>
        <d v="2025-11-07T00:00:00"/>
        <d v="2025-11-21T00:00:00"/>
        <d v="2025-12-05T00:00:00"/>
        <d v="2025-11-22T00:00:00"/>
      </sharedItems>
      <fieldGroup par="32"/>
    </cacheField>
    <cacheField name="WEEKNUM" numFmtId="0">
      <sharedItems containsSemiMixedTypes="0" containsString="0" containsNumber="1" containsInteger="1" minValue="0" maxValue="51"/>
    </cacheField>
    <cacheField name="YY-MM" numFmtId="0">
      <sharedItems/>
    </cacheField>
    <cacheField name="FromSite-UPS" numFmtId="0">
      <sharedItems count="24">
        <s v="Osaka Institute of Public Health"/>
        <s v="Berlin Water Works"/>
        <s v="LMU Klinikum Muenchen"/>
        <s v="Stadtentwässerung Frankfurt am Main"/>
        <s v="SCIENSANO (Brussels)"/>
        <s v="LIST"/>
        <s v="Rome Sud (Depuratore)"/>
        <s v="Depuratore Biologico (Fuimicino Airport)"/>
        <s v="Prague - National Institute of Public Health"/>
        <s v="Larnaka Water Board Office"/>
        <s v="Stadtentwaesserungsbetrieb Duesseldorf"/>
        <s v="Vilnius National Public Health Laboratory "/>
        <s v="Centro Cultural e de Investigação do Funchal"/>
        <s v="SLU Institutionen för vatten och miljö"/>
        <s v="Spitalul Clinic De Boli Infectioase Cluj Napoca (SCBI)"/>
        <s v="Spitalul Clinic Municipal Cluj-Napoca (MNC)"/>
        <s v="Umweltanalytisches Laboratorium des ISA"/>
        <s v="Gruppo Hera Bologna"/>
        <s v="Department of Chemistry University of Athens"/>
        <s v="Laboratory of clinical Microbiology and Medical Pathogenesis"/>
        <s v="Paula Stradina Klīniska slimnica"/>
        <s v="AKH Wien"/>
        <s v="Paula Stradiņa Klīniskā universitātes slimnīca" u="1"/>
        <s v="Secretaria Regional da Saúde" u="1"/>
      </sharedItems>
    </cacheField>
    <cacheField name="FromSiteName" numFmtId="0">
      <sharedItems/>
    </cacheField>
    <cacheField name="FromSite2" numFmtId="0">
      <sharedItems/>
    </cacheField>
    <cacheField name="FromSite3" numFmtId="0">
      <sharedItems containsDate="1" containsMixedTypes="1" minDate="1899-12-31T00:00:00" maxDate="1900-01-07T05:51:03"/>
    </cacheField>
    <cacheField name="ToLab" numFmtId="0">
      <sharedItems containsBlank="1"/>
    </cacheField>
    <cacheField name="Label created by" numFmtId="0">
      <sharedItems containsBlank="1"/>
    </cacheField>
    <cacheField name="WAYBILLNUMBER" numFmtId="0">
      <sharedItems containsBlank="1" containsMixedTypes="1" containsNumber="1" containsInteger="1" minValue="1010383625" maxValue="7014743680"/>
    </cacheField>
    <cacheField name="Collection booked by" numFmtId="0">
      <sharedItems containsBlank="1"/>
    </cacheField>
    <cacheField name="COLLECTIONID" numFmtId="0">
      <sharedItems containsBlank="1"/>
    </cacheField>
    <cacheField name="Barcode Sequence" numFmtId="0">
      <sharedItems containsBlank="1" longText="1"/>
    </cacheField>
    <cacheField name="NONADRGENERATED" numFmtId="0">
      <sharedItems/>
    </cacheField>
    <cacheField name="Notified Simona" numFmtId="0">
      <sharedItems containsBlank="1"/>
    </cacheField>
    <cacheField name="Exception" numFmtId="0">
      <sharedItems containsBlank="1"/>
    </cacheField>
    <cacheField name="Notes" numFmtId="0">
      <sharedItems containsBlank="1"/>
    </cacheField>
    <cacheField name="CONFIRMEDDATE" numFmtId="0">
      <sharedItems/>
    </cacheField>
    <cacheField name="CITY" numFmtId="0">
      <sharedItems/>
    </cacheField>
    <cacheField name="COUNTRY" numFmtId="0">
      <sharedItems/>
    </cacheField>
    <cacheField name="WEEKNUM-KIT" numFmtId="0">
      <sharedItems containsSemiMixedTypes="0" containsString="0" containsNumber="1" containsInteger="1" minValue="21" maxValue="49"/>
    </cacheField>
    <cacheField name="shippingadres" numFmtId="0">
      <sharedItems/>
    </cacheField>
    <cacheField name="deliveryadres" numFmtId="0">
      <sharedItems containsMixedTypes="1" containsNumber="1" containsInteger="1" minValue="0" maxValue="0"/>
    </cacheField>
    <cacheField name="item no. " numFmtId="0">
      <sharedItems containsMixedTypes="1" containsNumber="1" containsInteger="1" minValue="89" maxValue="92"/>
    </cacheField>
    <cacheField name="item description" numFmtId="0">
      <sharedItems/>
    </cacheField>
    <cacheField name="BOXCONTENTGENERATED" numFmtId="0">
      <sharedItems/>
    </cacheField>
    <cacheField name="combi" numFmtId="0">
      <sharedItems/>
    </cacheField>
    <cacheField name="Days (Confirmed Pick-up Date)" numFmtId="0" databaseField="0">
      <fieldGroup base="4">
        <rangePr groupBy="days" startDate="2025-06-02T00:00:00" endDate="2025-12-19T00:00:00"/>
        <groupItems count="368">
          <s v="&lt;02/06/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9/12/2025"/>
        </groupItems>
      </fieldGroup>
    </cacheField>
    <cacheField name="Months (Confirmed Pick-up Date)" numFmtId="0" databaseField="0">
      <fieldGroup base="4">
        <rangePr groupBy="months" startDate="2025-06-02T00:00:00" endDate="2025-12-19T00:00:00"/>
        <groupItems count="14">
          <s v="&lt;02/06/2025"/>
          <s v="Jan"/>
          <s v="Feb"/>
          <s v="Mar"/>
          <s v="Apr"/>
          <s v="May"/>
          <s v="Jun"/>
          <s v="Jul"/>
          <s v="Aug"/>
          <s v="Sep"/>
          <s v="Oct"/>
          <s v="Nov"/>
          <s v="Dec"/>
          <s v="&gt;19/12/2025"/>
        </groupItems>
      </fieldGroup>
    </cacheField>
  </cacheFields>
  <extLst>
    <ext xmlns:x14="http://schemas.microsoft.com/office/spreadsheetml/2009/9/main" uri="{725AE2AE-9491-48be-B2B4-4EB974FC3084}">
      <x14:pivotCacheDefinition pivotCacheId="2156373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2">
  <r>
    <n v="1"/>
    <s v="outbound-kit 1"/>
    <n v="2"/>
    <d v="2025-06-01T00:00:00"/>
    <x v="0"/>
    <n v="21"/>
    <s v="2025-05"/>
    <x v="0"/>
    <s v="Berlin (Schoenefeld) WWTP"/>
    <s v="Berlin Airport"/>
    <s v="-"/>
    <s v="-"/>
    <s v="-"/>
    <s v="European Commission - JRC"/>
    <s v="Toon. Maikel"/>
    <s v="Daan"/>
    <m/>
    <s v="Tom"/>
    <s v="1ZRJ7386G126928207;1ZRJ7386G129699816"/>
    <s v="YES"/>
    <s v="y"/>
    <m/>
    <m/>
    <s v="2025_06_01"/>
    <s v="Berlin"/>
    <s v="Germany"/>
    <s v="Strasse am Klarwerk 4, Klarwerk Wassmannsdorf, Schoenefeld, 12529, Germany"/>
    <s v="2025-05-22"/>
    <s v="boxcontentlabel_template_outbound1.docx"/>
  </r>
  <r>
    <n v="2"/>
    <s v="outbound-kit 1"/>
    <n v="2"/>
    <d v="2025-06-15T00:00:00"/>
    <x v="1"/>
    <n v="23"/>
    <s v="2025-06"/>
    <x v="0"/>
    <s v="Berlin (Schoenefeld) WWTP"/>
    <s v="Berlin Airport"/>
    <s v="-"/>
    <s v="-"/>
    <s v="-"/>
    <s v="European Commission - JRC"/>
    <s v="Maarten"/>
    <s v="Maikel"/>
    <m/>
    <s v="Tom"/>
    <s v="1ZRJ7386D912665925;1ZRJ7386D918864333"/>
    <s v="YES"/>
    <s v="y"/>
    <m/>
    <m/>
    <s v="2025_06_15"/>
    <s v="Berlin"/>
    <s v="Germany"/>
    <s v="Strasse am Klarwerk 4, Klarwerk Wassmannsdorf, Schoenefeld, 12529, Germany"/>
    <s v="2025-06-05"/>
    <s v="boxcontentlabel_template_outbound1.docx"/>
  </r>
  <r>
    <n v="3"/>
    <s v="outbound-kit 1"/>
    <n v="2"/>
    <d v="2025-06-29T00:00:00"/>
    <x v="2"/>
    <n v="25"/>
    <s v="2025-06"/>
    <x v="0"/>
    <s v="Berlin (Schoenefeld) WWTP"/>
    <s v="Berlin Airport"/>
    <s v="-"/>
    <s v="-"/>
    <s v="-"/>
    <s v="European Commission - JRC"/>
    <s v="Maarten"/>
    <s v="Toon/Simon"/>
    <m/>
    <s v="Tom"/>
    <s v="1ZRJ7386D914832553;1ZRJ7386D907674167"/>
    <s v="YES"/>
    <s v="y"/>
    <m/>
    <m/>
    <s v="2025_06_29"/>
    <s v="Berlin"/>
    <s v="Germany"/>
    <s v="Strasse am Klarwerk 4, Klarwerk Wassmannsdorf, Schoenefeld, 12529, Germany"/>
    <s v="2025-06-19"/>
    <s v="boxcontentlabel_template_outbound1.docx"/>
  </r>
  <r>
    <n v="4"/>
    <s v="outbound-kit 1"/>
    <n v="2"/>
    <d v="2025-07-13T00:00:00"/>
    <x v="3"/>
    <n v="27"/>
    <s v="2025-06"/>
    <x v="0"/>
    <s v="Berlin (Schoenefeld) WWTP"/>
    <s v="Berlin Airport"/>
    <s v="-"/>
    <s v="-"/>
    <s v="-"/>
    <m/>
    <s v="Maarten"/>
    <s v="Toon/Simon"/>
    <m/>
    <s v="Tom &amp; Jason"/>
    <s v="1ZRJ7386D933932276;1ZRJ7386D937680684"/>
    <s v="YES"/>
    <s v="y"/>
    <m/>
    <m/>
    <s v="2025_07_13"/>
    <s v="Berlin"/>
    <s v="Germany"/>
    <s v="Strasse am Klarwerk 4, Klarwerk Wassmannsdorf, Schoenefeld, 12529, Germany"/>
    <s v="2025-07-03"/>
    <s v="boxcontentlabel_template_outbound1.docx"/>
  </r>
  <r>
    <n v="5"/>
    <s v="outbound-kit 1"/>
    <n v="2"/>
    <d v="2025-08-03T00:00:00"/>
    <x v="4"/>
    <n v="30"/>
    <s v="2025-07"/>
    <x v="0"/>
    <s v="Berlin (Schoenefeld) WWTP"/>
    <s v="Berlin Airport"/>
    <s v="-"/>
    <s v="-"/>
    <s v="-"/>
    <m/>
    <m/>
    <m/>
    <m/>
    <s v="Remco &amp; Jason"/>
    <s v="1ZRJ7386D904106679;1ZRJ7386D912385086"/>
    <s v="YES"/>
    <s v="y"/>
    <m/>
    <m/>
    <s v="2025_08_03"/>
    <s v="Berlin"/>
    <s v="Germany"/>
    <s v="Strasse am Klarwerk 4, Klarwerk Wassmannsdorf, Schoenefeld, 12529, Germany"/>
    <s v="2025-07-24"/>
    <s v="boxcontentlabel_template_outbound1.docx"/>
  </r>
  <r>
    <n v="6"/>
    <s v="outbound-kit 1"/>
    <n v="2"/>
    <d v="2025-08-17T00:00:00"/>
    <x v="5"/>
    <n v="32"/>
    <s v="2025-08"/>
    <x v="0"/>
    <s v="Berlin (Schoenefeld) WWTP"/>
    <s v="Berlin Airport"/>
    <s v="-"/>
    <s v="-"/>
    <s v="-"/>
    <m/>
    <s v="Maarten/Jelle"/>
    <s v="Toon/Daan"/>
    <m/>
    <s v="Jason"/>
    <s v="1ZRJ7386D925393301;1ZRJ7386D939788912"/>
    <s v="YES"/>
    <s v="y"/>
    <m/>
    <m/>
    <s v="2025_08_17"/>
    <s v="Berlin"/>
    <s v="Germany"/>
    <s v="Strasse am Klarwerk 4, Klarwerk Wassmannsdorf, Schoenefeld, 12529, Germany"/>
    <s v="2025-08-07"/>
    <s v="boxcontentlabel_template_outbound1.docx"/>
  </r>
  <r>
    <n v="7"/>
    <s v="outbound-kit 1"/>
    <n v="2"/>
    <d v="2025-08-31T00:00:00"/>
    <x v="6"/>
    <n v="34"/>
    <s v="2025-08"/>
    <x v="0"/>
    <s v="Berlin (Schoenefeld) WWTP"/>
    <s v="Berlin Airport"/>
    <s v="-"/>
    <s v="-"/>
    <s v="-"/>
    <m/>
    <s v="Daan"/>
    <s v="Toon / Remco"/>
    <m/>
    <s v="Tom"/>
    <s v="1ZRJ7386DK08587316;1ZRJ7386DK04475328"/>
    <s v="YES"/>
    <s v="y"/>
    <m/>
    <m/>
    <s v="2025_08_31"/>
    <s v="Berlin"/>
    <s v="Germany"/>
    <s v="Strasse am Klarwerk 4, Klarwerk Wassmannsdorf, Schoenefeld, 12529, Germany"/>
    <s v="2025-08-21"/>
    <s v="boxcontentlabel_template_outbound1.docx"/>
  </r>
  <r>
    <n v="8"/>
    <s v="outbound-kit 1"/>
    <n v="2"/>
    <d v="2025-09-14T00:00:00"/>
    <x v="7"/>
    <n v="36"/>
    <s v="2025-09"/>
    <x v="0"/>
    <s v="Berlin (Schoenefeld) WWTP"/>
    <s v="Berlin Airport"/>
    <s v="-"/>
    <s v="-"/>
    <s v="-"/>
    <m/>
    <s v="Daan"/>
    <s v="Toon"/>
    <m/>
    <s v="Remco"/>
    <s v="1ZRJ7386DK34477510;1ZRJ7386DK29083526"/>
    <s v="YES"/>
    <s v="y"/>
    <m/>
    <m/>
    <s v="2025_09_14"/>
    <s v="Berlin"/>
    <s v="Germany"/>
    <s v="Strasse am Klarwerk 4, Klarwerk Wassmannsdorf, Schoenefeld, 12529, Germany"/>
    <s v="2025-09-04"/>
    <s v="boxcontentlabel_template_outbound1.docx"/>
  </r>
  <r>
    <n v="9"/>
    <s v="outbound-kit 1"/>
    <n v="2"/>
    <d v="2025-10-05T00:00:00"/>
    <x v="8"/>
    <n v="39"/>
    <s v="2025-09"/>
    <x v="0"/>
    <s v="Berlin (Schoenefeld) WWTP"/>
    <s v="Berlin Airport"/>
    <s v="-"/>
    <s v="-"/>
    <s v="-"/>
    <m/>
    <s v="Maarten"/>
    <s v="Jason"/>
    <m/>
    <s v="Remco"/>
    <s v="1ZRJ7386DK38850484;1ZRJ7386DK23932066"/>
    <s v="YES"/>
    <s v="y"/>
    <m/>
    <m/>
    <s v="2025_10_05"/>
    <s v="Berlin"/>
    <s v="Germany"/>
    <s v="Strasse am Klarwerk 4, Klarwerk Wassmannsdorf, Schoenefeld, 12529, Germany"/>
    <s v="2025-09-25"/>
    <s v="boxcontentlabel_template_outbound1.docx"/>
  </r>
  <r>
    <n v="10"/>
    <s v="outbound-kit 1"/>
    <n v="2"/>
    <d v="2025-10-19T00:00:00"/>
    <x v="9"/>
    <n v="41"/>
    <s v="2025-10"/>
    <x v="0"/>
    <s v="Berlin (Schoenefeld) WWTP"/>
    <s v="Berlin Airport"/>
    <s v="-"/>
    <s v="-"/>
    <s v="-"/>
    <m/>
    <m/>
    <m/>
    <m/>
    <s v="Remco"/>
    <s v="1ZRJ7386DK00348062;1ZRJ7386DK03116075"/>
    <s v="YES"/>
    <m/>
    <m/>
    <m/>
    <s v="2025_10_19"/>
    <s v="Berlin"/>
    <s v="Germany"/>
    <s v="Strasse am Klarwerk 4, Klarwerk Wassmannsdorf, Schoenefeld, 12529, Germany"/>
    <s v="2025-10-09"/>
    <s v="boxcontentlabel_template_outbound1.docx"/>
  </r>
  <r>
    <n v="11"/>
    <s v="outbound-kit 1"/>
    <n v="2"/>
    <d v="2025-11-02T00:00:00"/>
    <x v="10"/>
    <n v="43"/>
    <s v="2025-10"/>
    <x v="0"/>
    <s v="Berlin (Schoenefeld) WWTP"/>
    <s v="Berlin Airport"/>
    <s v="-"/>
    <s v="-"/>
    <s v="-"/>
    <m/>
    <m/>
    <m/>
    <m/>
    <s v="Jason"/>
    <s v="1ZRJ7386D926239940; 1ZRJ7386D923829157"/>
    <s v="YES"/>
    <m/>
    <m/>
    <m/>
    <s v="2025_11_02"/>
    <s v="Berlin"/>
    <s v="Germany"/>
    <s v="Strasse am Klarwerk 4, Klarwerk Wassmannsdorf, Schoenefeld, 12529, Germany"/>
    <s v="2025-10-23"/>
    <s v="boxcontentlabel_template_outbound1.docx"/>
  </r>
  <r>
    <n v="12"/>
    <s v="outbound-kit 1"/>
    <n v="2"/>
    <d v="2025-11-16T00:00:00"/>
    <x v="11"/>
    <n v="45"/>
    <s v="2025-11"/>
    <x v="0"/>
    <s v="Berlin (Schoenefeld) WWTP"/>
    <s v="Berlin Airport"/>
    <s v="-"/>
    <s v="-"/>
    <s v="-"/>
    <m/>
    <m/>
    <m/>
    <m/>
    <m/>
    <m/>
    <s v="NO"/>
    <m/>
    <m/>
    <m/>
    <s v="2025_11_16"/>
    <s v="Berlin"/>
    <s v="Germany"/>
    <s v="Strasse am Klarwerk 4, Klarwerk Wassmannsdorf, Schoenefeld, 12529, Germany"/>
    <s v="2025-11-06"/>
    <s v="boxcontentlabel_template_outbound1.docx"/>
  </r>
  <r>
    <n v="13"/>
    <s v="outbound-kit 1"/>
    <n v="2"/>
    <d v="2025-11-30T00:00:00"/>
    <x v="12"/>
    <n v="47"/>
    <s v="2025-11"/>
    <x v="0"/>
    <s v="Berlin (Schoenefeld) WWTP"/>
    <s v="Berlin Airport"/>
    <s v="-"/>
    <s v="-"/>
    <s v="-"/>
    <m/>
    <m/>
    <m/>
    <m/>
    <m/>
    <m/>
    <s v="NO"/>
    <m/>
    <m/>
    <m/>
    <s v="2025_11_30"/>
    <s v="Berlin"/>
    <s v="Germany"/>
    <s v="Strasse am Klarwerk 4, Klarwerk Wassmannsdorf, Schoenefeld, 12529, Germany"/>
    <s v="2025-11-20"/>
    <s v="boxcontentlabel_template_outbound1.docx"/>
  </r>
  <r>
    <n v="14"/>
    <s v="outbound-kit 1"/>
    <n v="2"/>
    <d v="2025-12-14T00:00:00"/>
    <x v="13"/>
    <n v="49"/>
    <s v="2025-12"/>
    <x v="0"/>
    <s v="Berlin (Schoenefeld) WWTP"/>
    <s v="Berlin Airport"/>
    <s v="-"/>
    <s v="-"/>
    <s v="-"/>
    <m/>
    <m/>
    <m/>
    <m/>
    <m/>
    <m/>
    <s v="NO"/>
    <m/>
    <m/>
    <m/>
    <s v="2025_12_14"/>
    <s v="Berlin"/>
    <s v="Germany"/>
    <s v="Strasse am Klarwerk 4, Klarwerk Wassmannsdorf, Schoenefeld, 12529, Germany"/>
    <s v="2025-12-04"/>
    <s v="boxcontentlabel_template_outbound1.docx"/>
  </r>
  <r>
    <n v="15"/>
    <s v="outbound-kit 1"/>
    <n v="2"/>
    <d v="2025-06-03T00:00:00"/>
    <x v="14"/>
    <n v="21"/>
    <s v="2025-05"/>
    <x v="1"/>
    <s v="Munich WWTP"/>
    <s v="Munich Airport"/>
    <s v="-"/>
    <s v="-"/>
    <s v="-"/>
    <s v="European Commission - JRC"/>
    <s v="Toon. Maikel"/>
    <s v="Daan"/>
    <m/>
    <s v="Tom"/>
    <s v="1ZRJ7386G135538237;1ZRJ7386G124717046"/>
    <s v="YES"/>
    <s v="y"/>
    <m/>
    <m/>
    <s v="2025_06_03"/>
    <s v="Munich"/>
    <s v="Germany"/>
    <s v="Leopoldstrasse 5, Institut fuer Infektions- und Tropenmedizin, Munich, 80802, Germany"/>
    <s v="2025-05-23"/>
    <s v="boxcontentlabel_template_outbound1.docx"/>
  </r>
  <r>
    <n v="16"/>
    <s v="outbound-kit 1"/>
    <n v="2"/>
    <d v="2025-06-17T00:00:00"/>
    <x v="15"/>
    <n v="23"/>
    <s v="2025-06"/>
    <x v="1"/>
    <s v="Munich WWTP"/>
    <s v="Munich Airport"/>
    <s v="-"/>
    <s v="-"/>
    <s v="-"/>
    <s v="European Commission - JRC"/>
    <s v="Maarten"/>
    <s v="Maikel"/>
    <m/>
    <s v="Tom"/>
    <s v="1ZRJ7386D905337963;1ZRJ7386D901641971"/>
    <s v="YES"/>
    <s v="y"/>
    <m/>
    <m/>
    <s v="2025_06_17"/>
    <s v="Munich"/>
    <s v="Germany"/>
    <s v="Leopoldstrasse 5, Institut fuer Infektions- und Tropenmedizin, Munich, 80802, Germany"/>
    <s v="2025-06-06"/>
    <s v="boxcontentlabel_template_outbound1.docx"/>
  </r>
  <r>
    <n v="17"/>
    <s v="outbound-kit 1"/>
    <n v="2"/>
    <d v="2025-07-01T00:00:00"/>
    <x v="16"/>
    <n v="25"/>
    <s v="2025-06"/>
    <x v="1"/>
    <s v="Munich WWTP"/>
    <s v="Munich Airport"/>
    <s v="-"/>
    <s v="-"/>
    <s v="-"/>
    <s v="European Commission - JRC"/>
    <s v="Maarten"/>
    <s v="Toon/Simon"/>
    <m/>
    <s v="Remco"/>
    <s v="1ZRJ7386D910528701;1ZRJ7386D908906315"/>
    <s v="YES"/>
    <s v="y"/>
    <m/>
    <m/>
    <s v="2025_07_01"/>
    <s v="Munich"/>
    <s v="Germany"/>
    <s v="Leopoldstrasse 5, Institut fuer Infektions- und Tropenmedizin, Munich, 80802, Germany"/>
    <s v="2025-06-20"/>
    <s v="boxcontentlabel_template_outbound1.docx"/>
  </r>
  <r>
    <n v="18"/>
    <s v="outbound-kit 1"/>
    <n v="2"/>
    <d v="2025-07-15T00:00:00"/>
    <x v="17"/>
    <n v="27"/>
    <s v="2025-07"/>
    <x v="1"/>
    <s v="Munich WWTP"/>
    <s v="Munich Airport"/>
    <s v="-"/>
    <s v="-"/>
    <s v="-"/>
    <m/>
    <s v="Maarten"/>
    <s v="Toon/Simon"/>
    <m/>
    <s v="Tom"/>
    <s v="1ZRJ7386D909626429;1ZRJ7386D910544836"/>
    <s v="YES"/>
    <s v="y"/>
    <m/>
    <m/>
    <s v="2025_07_15"/>
    <s v="Munich"/>
    <s v="Germany"/>
    <s v="Leopoldstrasse 5, Institut fuer Infektions- und Tropenmedizin, Munich, 80802, Germany"/>
    <s v="2025-07-04"/>
    <s v="boxcontentlabel_template_outbound1.docx"/>
  </r>
  <r>
    <n v="19"/>
    <s v="outbound-kit 1"/>
    <n v="2"/>
    <d v="2025-08-05T00:00:00"/>
    <x v="18"/>
    <n v="30"/>
    <s v="2025-07"/>
    <x v="1"/>
    <s v="Munich WWTP"/>
    <s v="Munich Airport"/>
    <s v="-"/>
    <s v="-"/>
    <s v="-"/>
    <m/>
    <m/>
    <m/>
    <m/>
    <s v="Remco &amp; Jason"/>
    <s v="1ZRJ7386D924970939;1ZRJ7386D937997744"/>
    <s v="YES"/>
    <s v="y"/>
    <m/>
    <m/>
    <s v="2025_08_05"/>
    <s v="Munich"/>
    <s v="Germany"/>
    <s v="Leopoldstrasse 5, Institut fuer Infektions- und Tropenmedizin, Munich, 80802, Germany"/>
    <s v="2025-07-25"/>
    <s v="boxcontentlabel_template_outbound1.docx"/>
  </r>
  <r>
    <n v="20"/>
    <s v="outbound-kit 1"/>
    <n v="2"/>
    <d v="2025-08-19T00:00:00"/>
    <x v="19"/>
    <n v="32"/>
    <s v="2025-08"/>
    <x v="1"/>
    <s v="Munich WWTP"/>
    <s v="Munich Airport"/>
    <s v="-"/>
    <s v="-"/>
    <s v="-"/>
    <m/>
    <s v="Maarten/Jelle"/>
    <s v="Toon/Daan"/>
    <m/>
    <s v="Jason"/>
    <s v="1ZRJ7386D915713304;1ZRJ7386D912234917"/>
    <s v="YES"/>
    <s v="y"/>
    <m/>
    <m/>
    <s v="2025_08_19"/>
    <s v="Munich"/>
    <s v="Germany"/>
    <s v="Leopoldstrasse 5, Institut fuer Infektions- und Tropenmedizin, Munich, 80802, Germany"/>
    <s v="2025-08-08"/>
    <s v="boxcontentlabel_template_outbound1.docx"/>
  </r>
  <r>
    <n v="21"/>
    <s v="outbound-kit 1"/>
    <n v="2"/>
    <d v="2025-09-02T00:00:00"/>
    <x v="20"/>
    <n v="34"/>
    <s v="2025-08"/>
    <x v="1"/>
    <s v="Munich WWTP"/>
    <s v="Munich Airport"/>
    <s v="-"/>
    <s v="-"/>
    <s v="-"/>
    <m/>
    <s v="Daan"/>
    <s v="Toon / Remco"/>
    <m/>
    <s v="Tom"/>
    <s v="1ZRJ7386D909406596; 1ZRJ7386D909633804"/>
    <s v="YES"/>
    <s v="y"/>
    <m/>
    <m/>
    <s v="2025_09_02"/>
    <s v="Munich"/>
    <s v="Germany"/>
    <s v="Leopoldstrasse 5, Institut fuer Infektions- und Tropenmedizin, Munich, 80802, Germany"/>
    <s v="2025-08-22"/>
    <s v="boxcontentlabel_template_outbound1.docx"/>
  </r>
  <r>
    <n v="22"/>
    <s v="outbound-kit 1"/>
    <n v="2"/>
    <d v="2025-09-16T00:00:00"/>
    <x v="21"/>
    <n v="36"/>
    <s v="2025-09"/>
    <x v="1"/>
    <s v="Munich WWTP"/>
    <s v="Munich Airport"/>
    <s v="-"/>
    <s v="-"/>
    <s v="-"/>
    <m/>
    <s v="Daan"/>
    <s v="Remco"/>
    <m/>
    <s v="Remco"/>
    <s v="1ZRJ7386D930469578;1ZRJ7386D923169987"/>
    <s v="YES"/>
    <s v="y"/>
    <m/>
    <m/>
    <s v="2025_09_16"/>
    <s v="Munich"/>
    <s v="Germany"/>
    <s v="Leopoldstrasse 5, Institut fuer Infektions- und Tropenmedizin, Munich, 80802, Germany"/>
    <s v="2025-09-05"/>
    <s v="boxcontentlabel_template_outbound1.docx"/>
  </r>
  <r>
    <n v="23"/>
    <s v="outbound-kit 1"/>
    <n v="2"/>
    <d v="2025-10-07T00:00:00"/>
    <x v="22"/>
    <n v="39"/>
    <s v="2025-09"/>
    <x v="1"/>
    <s v="Munich WWTP"/>
    <s v="Munich Airport"/>
    <s v="-"/>
    <s v="-"/>
    <s v="-"/>
    <m/>
    <s v="Maarten"/>
    <m/>
    <m/>
    <s v="Remco"/>
    <s v="1ZRJ7386D900929985;1ZRJ7386D916126796"/>
    <s v="YES"/>
    <s v="y"/>
    <m/>
    <m/>
    <s v="2025_10_07"/>
    <s v="Munich"/>
    <s v="Germany"/>
    <s v="Leopoldstrasse 5, Institut fuer Infektions- und Tropenmedizin, Munich, 80802, Germany"/>
    <s v="2025-09-26"/>
    <s v="boxcontentlabel_template_outbound1.docx"/>
  </r>
  <r>
    <n v="24"/>
    <s v="outbound-kit 1"/>
    <n v="2"/>
    <d v="2025-10-21T00:00:00"/>
    <x v="23"/>
    <n v="41"/>
    <s v="2025-10"/>
    <x v="1"/>
    <s v="Munich WWTP"/>
    <s v="Munich Airport"/>
    <s v="-"/>
    <s v="-"/>
    <s v="-"/>
    <m/>
    <m/>
    <m/>
    <m/>
    <s v="Remco"/>
    <s v="1ZRJ7386D919762754;1ZRJ7386D907932360"/>
    <s v="YES"/>
    <m/>
    <m/>
    <s v="Zendingen retour afzender gestuurd door UPS. Opnieuw verzonden met nieuwe outbound labels, zie ID 249"/>
    <s v="2025_10_21"/>
    <s v="Munich"/>
    <s v="Germany"/>
    <s v="Leopoldstrasse 5, Institut fuer Infektions- und Tropenmedizin, Munich, 80802, Germany"/>
    <s v="2025-10-10"/>
    <s v="boxcontentlabel_template_outbound1.docx"/>
  </r>
  <r>
    <n v="25"/>
    <s v="outbound-kit 1"/>
    <n v="2"/>
    <d v="2025-11-04T00:00:00"/>
    <x v="24"/>
    <n v="43"/>
    <s v="2025-10"/>
    <x v="1"/>
    <s v="Munich WWTP"/>
    <s v="Munich Airport"/>
    <s v="-"/>
    <s v="-"/>
    <s v="-"/>
    <m/>
    <m/>
    <m/>
    <m/>
    <s v="Jason"/>
    <s v="1ZRJ7386D933621236; 1ZRJ7386D922720042"/>
    <s v="YES"/>
    <m/>
    <m/>
    <m/>
    <s v="2025_11_04"/>
    <s v="Munich"/>
    <s v="Germany"/>
    <s v="Leopoldstrasse 5, Institut fuer Infektions- und Tropenmedizin, Munich, 80802, Germany"/>
    <s v="2025-10-24"/>
    <s v="boxcontentlabel_template_outbound1.docx"/>
  </r>
  <r>
    <n v="26"/>
    <s v="outbound-kit 1"/>
    <n v="2"/>
    <d v="2025-11-18T00:00:00"/>
    <x v="25"/>
    <n v="45"/>
    <s v="2025-11"/>
    <x v="1"/>
    <s v="Munich WWTP"/>
    <s v="Munich Airport"/>
    <s v="-"/>
    <s v="-"/>
    <s v="-"/>
    <m/>
    <m/>
    <m/>
    <m/>
    <m/>
    <m/>
    <s v="NO"/>
    <m/>
    <m/>
    <m/>
    <s v="2025_11_18"/>
    <s v="Munich"/>
    <s v="Germany"/>
    <s v="Leopoldstrasse 5, Institut fuer Infektions- und Tropenmedizin, Munich, 80802, Germany"/>
    <s v="2025-11-07"/>
    <s v="boxcontentlabel_template_outbound1.docx"/>
  </r>
  <r>
    <n v="27"/>
    <s v="outbound-kit 1"/>
    <n v="2"/>
    <d v="2025-12-02T00:00:00"/>
    <x v="26"/>
    <n v="47"/>
    <s v="2025-11"/>
    <x v="1"/>
    <s v="Munich WWTP"/>
    <s v="Munich Airport"/>
    <s v="-"/>
    <s v="-"/>
    <s v="-"/>
    <m/>
    <m/>
    <m/>
    <m/>
    <m/>
    <m/>
    <s v="NO"/>
    <m/>
    <m/>
    <m/>
    <s v="2025_12_02"/>
    <s v="Munich"/>
    <s v="Germany"/>
    <s v="Leopoldstrasse 5, Institut fuer Infektions- und Tropenmedizin, Munich, 80802, Germany"/>
    <s v="2025-11-21"/>
    <s v="boxcontentlabel_template_outbound1.docx"/>
  </r>
  <r>
    <n v="28"/>
    <s v="outbound-kit 1"/>
    <n v="2"/>
    <d v="2025-12-16T00:00:00"/>
    <x v="27"/>
    <n v="49"/>
    <s v="2025-12"/>
    <x v="1"/>
    <s v="Munich WWTP"/>
    <s v="Munich Airport"/>
    <s v="-"/>
    <s v="-"/>
    <s v="-"/>
    <m/>
    <m/>
    <m/>
    <m/>
    <m/>
    <m/>
    <s v="NO"/>
    <m/>
    <m/>
    <m/>
    <s v="2025_12_16"/>
    <s v="Munich"/>
    <s v="Germany"/>
    <s v="Leopoldstrasse 5, Institut fuer Infektions- und Tropenmedizin, Munich, 80802, Germany"/>
    <s v="2025-12-05"/>
    <s v="boxcontentlabel_template_outbound1.docx"/>
  </r>
  <r>
    <n v="29"/>
    <s v="outbound-kit 1"/>
    <n v="2"/>
    <d v="2025-06-03T00:00:00"/>
    <x v="14"/>
    <n v="21"/>
    <s v="2025-05"/>
    <x v="2"/>
    <s v="Frankfurt WWTP"/>
    <s v="Frankfurt Airport"/>
    <s v="-"/>
    <s v="-"/>
    <s v="-"/>
    <s v="European Commission - JRC"/>
    <s v="Toon. Maikel"/>
    <s v="Daan"/>
    <m/>
    <s v="Tom"/>
    <s v="1ZRJ7386G115193825;1ZRJ7386G119248232"/>
    <s v="YES"/>
    <s v="y"/>
    <m/>
    <m/>
    <s v="2025_06_03"/>
    <s v="Frankfurt"/>
    <s v="Germany"/>
    <s v="Goldsteinstraße 160, Gebäude 71 , Frankfurt am Main , 60528, Germany"/>
    <s v="2025-05-23"/>
    <s v="boxcontentlabel_template_outbound1.docx"/>
  </r>
  <r>
    <n v="30"/>
    <s v="outbound-kit 1"/>
    <n v="1"/>
    <d v="2025-06-17T00:00:00"/>
    <x v="15"/>
    <n v="23"/>
    <s v="2025-06"/>
    <x v="2"/>
    <s v="Frankfurt WWTP"/>
    <s v="Frankfurt Airport"/>
    <s v="-"/>
    <s v="-"/>
    <s v="-"/>
    <s v="European Commission - JRC"/>
    <s v="Maarten"/>
    <s v="Maikel"/>
    <m/>
    <s v="Tom"/>
    <s v="1ZRJ7386D937936283;1ZRJ7386D922647097"/>
    <s v="YES"/>
    <s v="y"/>
    <m/>
    <m/>
    <s v="2025_06_17"/>
    <s v="Frankfurt"/>
    <s v="Germany"/>
    <s v="Goldsteinstraße 160, Gebäude 71 , Frankfurt am Main , 60528, Germany"/>
    <s v="2025-06-06"/>
    <s v="boxcontentlabel_template_outbound1.docx"/>
  </r>
  <r>
    <n v="31"/>
    <s v="outbound-kit 1"/>
    <n v="1"/>
    <d v="2025-07-01T00:00:00"/>
    <x v="16"/>
    <n v="25"/>
    <s v="2025-06"/>
    <x v="2"/>
    <s v="Frankfurt WWTP"/>
    <s v="Frankfurt Airport"/>
    <s v="-"/>
    <s v="-"/>
    <s v="-"/>
    <s v="European Commission - JRC"/>
    <s v="Maarten"/>
    <s v="Toon/Simon"/>
    <m/>
    <s v="Remco"/>
    <s v="1ZRJ7386D936772210;1ZRJ7386D922106224"/>
    <s v="YES"/>
    <s v="y"/>
    <m/>
    <m/>
    <s v="2025_07_01"/>
    <s v="Frankfurt"/>
    <s v="Germany"/>
    <s v="Goldsteinstraße 160, Gebäude 71 , Frankfurt am Main , 60528, Germany"/>
    <s v="2025-06-20"/>
    <s v="boxcontentlabel_template_outbound1.docx"/>
  </r>
  <r>
    <n v="32"/>
    <s v="outbound-kit 1"/>
    <n v="1"/>
    <d v="2025-07-15T00:00:00"/>
    <x v="17"/>
    <n v="27"/>
    <s v="2025-07"/>
    <x v="2"/>
    <s v="Frankfurt WWTP"/>
    <s v="Frankfurt Airport"/>
    <s v="-"/>
    <s v="-"/>
    <s v="-"/>
    <m/>
    <s v="Maarten"/>
    <s v="Toon/Maikel"/>
    <m/>
    <s v="Tom"/>
    <s v="1ZRJ7386DK22717541"/>
    <s v="YES"/>
    <s v="y"/>
    <m/>
    <m/>
    <s v="2025_07_15"/>
    <s v="Frankfurt"/>
    <s v="Germany"/>
    <s v="Goldsteinstraße 160, Gebäude 71 , Frankfurt am Main , 60528, Germany"/>
    <s v="2025-07-04"/>
    <s v="boxcontentlabel_template_outbound1.docx"/>
  </r>
  <r>
    <n v="33"/>
    <s v="outbound-kit 1"/>
    <n v="1"/>
    <d v="2025-08-05T00:00:00"/>
    <x v="18"/>
    <n v="30"/>
    <s v="2025-07"/>
    <x v="2"/>
    <s v="Frankfurt WWTP"/>
    <s v="Frankfurt Airport"/>
    <s v="-"/>
    <s v="-"/>
    <s v="-"/>
    <m/>
    <m/>
    <m/>
    <m/>
    <s v="Remco &amp; Jason"/>
    <s v="1ZRJ7386D918845890"/>
    <s v="YES"/>
    <s v="y"/>
    <m/>
    <m/>
    <s v="2025_08_05"/>
    <s v="Frankfurt"/>
    <s v="Germany"/>
    <s v="Goldsteinstraße 160, Gebäude 71 , Frankfurt am Main , 60528, Germany"/>
    <s v="2025-07-25"/>
    <s v="boxcontentlabel_template_outbound1.docx"/>
  </r>
  <r>
    <n v="34"/>
    <s v="outbound-kit 1"/>
    <n v="1"/>
    <d v="2025-08-19T00:00:00"/>
    <x v="19"/>
    <n v="32"/>
    <s v="2025-08"/>
    <x v="2"/>
    <s v="Frankfurt WWTP"/>
    <s v="Frankfurt Airport"/>
    <s v="-"/>
    <s v="-"/>
    <s v="-"/>
    <m/>
    <s v="Maarten/Jelle"/>
    <s v="Toon/Daan"/>
    <m/>
    <s v="Jason"/>
    <s v="1ZRJ7386DK29130920"/>
    <s v="YES"/>
    <s v="y"/>
    <m/>
    <m/>
    <s v="2025_08_19"/>
    <s v="Frankfurt"/>
    <s v="Germany"/>
    <s v="Goldsteinstraße 160, Gebäude 71 , Frankfurt am Main , 60528, Germany"/>
    <s v="2025-08-08"/>
    <s v="boxcontentlabel_template_outbound1.docx"/>
  </r>
  <r>
    <n v="35"/>
    <s v="outbound-kit 1"/>
    <n v="1"/>
    <d v="2025-09-02T00:00:00"/>
    <x v="20"/>
    <n v="34"/>
    <s v="2025-08"/>
    <x v="2"/>
    <s v="Frankfurt WWTP"/>
    <s v="Frankfurt Airport"/>
    <s v="-"/>
    <s v="-"/>
    <s v="-"/>
    <m/>
    <s v="Daan"/>
    <s v="Toon / Remco"/>
    <m/>
    <s v="Tom"/>
    <s v="1ZRJ7386DK37387531"/>
    <s v="YES"/>
    <s v="y"/>
    <m/>
    <m/>
    <s v="2025_09_02"/>
    <s v="Frankfurt"/>
    <s v="Germany"/>
    <s v="Goldsteinstraße 160, Gebäude 71 , Frankfurt am Main , 60528, Germany"/>
    <s v="2025-08-22"/>
    <s v="boxcontentlabel_template_outbound1.docx"/>
  </r>
  <r>
    <n v="36"/>
    <s v="outbound-kit 1"/>
    <n v="1"/>
    <d v="2025-09-16T00:00:00"/>
    <x v="21"/>
    <n v="36"/>
    <s v="2025-09"/>
    <x v="2"/>
    <s v="Frankfurt WWTP"/>
    <s v="Frankfurt Airport"/>
    <s v="-"/>
    <s v="-"/>
    <s v="-"/>
    <m/>
    <s v="Daan"/>
    <s v="Remco"/>
    <m/>
    <s v="Remco"/>
    <s v="1ZRJ7386DK23968797"/>
    <s v="YES"/>
    <s v="y"/>
    <m/>
    <m/>
    <s v="2025_09_16"/>
    <s v="Frankfurt"/>
    <s v="Germany"/>
    <s v="Goldsteinstraße 160, Gebäude 71 , Frankfurt am Main , 60528, Germany"/>
    <s v="2025-09-05"/>
    <s v="boxcontentlabel_template_outbound1.docx"/>
  </r>
  <r>
    <n v="37"/>
    <s v="outbound-kit 1"/>
    <n v="1"/>
    <d v="2025-10-07T00:00:00"/>
    <x v="22"/>
    <n v="39"/>
    <s v="2025-09"/>
    <x v="2"/>
    <s v="Frankfurt WWTP"/>
    <s v="Frankfurt Airport"/>
    <s v="-"/>
    <s v="-"/>
    <s v="-"/>
    <m/>
    <s v="Maarten"/>
    <m/>
    <m/>
    <s v="Remco"/>
    <s v="1ZRJ73866822969295"/>
    <s v="YES"/>
    <s v="y"/>
    <m/>
    <m/>
    <s v="2025_10_07"/>
    <s v="Frankfurt"/>
    <s v="Germany"/>
    <s v="Goldsteinstraße 160, Gebäude 71 , Frankfurt am Main , 60528, Germany"/>
    <s v="2025-09-26"/>
    <s v="boxcontentlabel_template_outbound1.docx"/>
  </r>
  <r>
    <n v="38"/>
    <s v="outbound-kit 1"/>
    <n v="1"/>
    <d v="2025-10-21T00:00:00"/>
    <x v="23"/>
    <n v="41"/>
    <s v="2025-10"/>
    <x v="2"/>
    <s v="Frankfurt WWTP"/>
    <s v="Frankfurt Airport"/>
    <s v="-"/>
    <s v="-"/>
    <s v="-"/>
    <m/>
    <m/>
    <m/>
    <m/>
    <s v="Remco"/>
    <s v="1ZRJ7386DK09356411"/>
    <s v="YES"/>
    <m/>
    <m/>
    <m/>
    <s v="2025_10_21"/>
    <s v="Frankfurt"/>
    <s v="Germany"/>
    <s v="Goldsteinstraße 160, Gebäude 71 , Frankfurt am Main , 60528, Germany"/>
    <s v="2025-10-10"/>
    <s v="boxcontentlabel_template_outbound1.docx"/>
  </r>
  <r>
    <n v="39"/>
    <s v="outbound-kit 1"/>
    <n v="1"/>
    <d v="2025-11-04T00:00:00"/>
    <x v="24"/>
    <n v="43"/>
    <s v="2025-10"/>
    <x v="2"/>
    <s v="Frankfurt WWTP"/>
    <s v="Frankfurt Airport"/>
    <s v="-"/>
    <s v="-"/>
    <s v="-"/>
    <m/>
    <m/>
    <m/>
    <m/>
    <s v="Jason"/>
    <s v="1ZRJ7386D927566871"/>
    <s v="YES"/>
    <m/>
    <m/>
    <m/>
    <s v="2025_11_04"/>
    <s v="Frankfurt"/>
    <s v="Germany"/>
    <s v="Goldsteinstraße 160, Gebäude 71 , Frankfurt am Main , 60528, Germany"/>
    <s v="2025-10-24"/>
    <s v="boxcontentlabel_template_outbound1.docx"/>
  </r>
  <r>
    <n v="40"/>
    <s v="outbound-kit 1"/>
    <n v="1"/>
    <d v="2025-11-18T00:00:00"/>
    <x v="25"/>
    <n v="45"/>
    <s v="2025-11"/>
    <x v="2"/>
    <s v="Frankfurt WWTP"/>
    <s v="Frankfurt Airport"/>
    <s v="-"/>
    <s v="-"/>
    <s v="-"/>
    <m/>
    <m/>
    <m/>
    <m/>
    <m/>
    <m/>
    <s v="NO"/>
    <m/>
    <m/>
    <m/>
    <s v="2025_11_18"/>
    <s v="Frankfurt"/>
    <s v="Germany"/>
    <s v="Goldsteinstraße 160, Gebäude 71 , Frankfurt am Main , 60528, Germany"/>
    <s v="2025-11-07"/>
    <s v="boxcontentlabel_template_outbound1.docx"/>
  </r>
  <r>
    <n v="41"/>
    <s v="outbound-kit 1"/>
    <n v="1"/>
    <d v="2025-12-02T00:00:00"/>
    <x v="26"/>
    <n v="47"/>
    <s v="2025-11"/>
    <x v="2"/>
    <s v="Frankfurt WWTP"/>
    <s v="Frankfurt Airport"/>
    <s v="-"/>
    <s v="-"/>
    <s v="-"/>
    <m/>
    <m/>
    <m/>
    <m/>
    <m/>
    <m/>
    <s v="NO"/>
    <m/>
    <m/>
    <m/>
    <s v="2025_12_02"/>
    <s v="Frankfurt"/>
    <s v="Germany"/>
    <s v="Goldsteinstraße 160, Gebäude 71 , Frankfurt am Main , 60528, Germany"/>
    <s v="2025-11-21"/>
    <s v="boxcontentlabel_template_outbound1.docx"/>
  </r>
  <r>
    <n v="42"/>
    <s v="outbound-kit 1"/>
    <n v="1"/>
    <d v="2025-12-16T00:00:00"/>
    <x v="27"/>
    <n v="49"/>
    <s v="2025-12"/>
    <x v="2"/>
    <s v="Frankfurt WWTP"/>
    <s v="Frankfurt Airport"/>
    <s v="-"/>
    <s v="-"/>
    <s v="-"/>
    <m/>
    <m/>
    <m/>
    <m/>
    <m/>
    <m/>
    <s v="NO"/>
    <m/>
    <m/>
    <m/>
    <s v="2025_12_16"/>
    <s v="Frankfurt"/>
    <s v="Germany"/>
    <s v="Goldsteinstraße 160, Gebäude 71 , Frankfurt am Main , 60528, Germany"/>
    <s v="2025-12-05"/>
    <s v="boxcontentlabel_template_outbound1.docx"/>
  </r>
  <r>
    <n v="43"/>
    <s v="outbound-kit 1"/>
    <n v="2"/>
    <d v="2025-06-16T00:00:00"/>
    <x v="1"/>
    <n v="23"/>
    <s v="2025-06"/>
    <x v="3"/>
    <s v="Brussels WWTP"/>
    <s v="Brussels Airport"/>
    <s v="-"/>
    <s v="-"/>
    <s v="-"/>
    <s v="European Commission - JRC"/>
    <s v="Maarten"/>
    <s v="Maikel"/>
    <m/>
    <s v="Tom"/>
    <s v="1ZRJ7386D312045141;1ZRJ7386D300944353"/>
    <s v="YES"/>
    <s v="y"/>
    <m/>
    <m/>
    <s v="2025_06_16"/>
    <s v="Brussels"/>
    <s v="Belgium"/>
    <s v="Rue Juliette Wytsmanstraat 14, Brussels, 1050, Belgium"/>
    <s v="2025-06-05"/>
    <s v="boxcontentlabel_template_outbound1.docx"/>
  </r>
  <r>
    <n v="44"/>
    <s v="outbound-kit 1"/>
    <n v="2"/>
    <d v="2025-06-30T00:00:00"/>
    <x v="2"/>
    <n v="25"/>
    <s v="2025-06"/>
    <x v="3"/>
    <s v="Brussels WWTP"/>
    <s v="Brussels Airport"/>
    <s v="-"/>
    <s v="-"/>
    <s v="-"/>
    <s v="European Commission - JRC"/>
    <s v="Maarten"/>
    <s v="Toon/Simon"/>
    <m/>
    <s v="Remco"/>
    <s v="1ZRJ7386D919152636;1ZRJ7386D916845447"/>
    <s v="YES"/>
    <s v="y"/>
    <m/>
    <m/>
    <s v="2025_06_30"/>
    <s v="Brussels"/>
    <s v="Belgium"/>
    <s v="Rue Juliette Wytsmanstraat 14, Brussels, 1050, Belgium"/>
    <s v="2025-06-19"/>
    <s v="boxcontentlabel_template_outbound1.docx"/>
  </r>
  <r>
    <n v="45"/>
    <s v="outbound-kit 1"/>
    <n v="2"/>
    <d v="2025-07-14T00:00:00"/>
    <x v="3"/>
    <n v="27"/>
    <s v="2025-06"/>
    <x v="3"/>
    <s v="Brussels WWTP"/>
    <s v="Brussels Airport"/>
    <s v="-"/>
    <s v="-"/>
    <s v="-"/>
    <m/>
    <s v="Maarten"/>
    <s v="Toon/Remco"/>
    <m/>
    <s v="Jason"/>
    <s v="1ZRJ7386D920140315;1ZRJ7386D933818328"/>
    <s v="YES"/>
    <s v="y"/>
    <m/>
    <m/>
    <s v="2025_07_14"/>
    <s v="Brussels"/>
    <s v="Belgium"/>
    <s v="Rue Juliette Wytsmanstraat 14, Brussels, 1050, Belgium"/>
    <s v="2025-07-03"/>
    <s v="boxcontentlabel_template_outbound1.docx"/>
  </r>
  <r>
    <n v="46"/>
    <s v="outbound-kit 1"/>
    <n v="2"/>
    <d v="2025-08-04T00:00:00"/>
    <x v="4"/>
    <n v="30"/>
    <s v="2025-07"/>
    <x v="3"/>
    <s v="Brussels WWTP"/>
    <s v="Brussels Airport"/>
    <s v="-"/>
    <s v="-"/>
    <s v="-"/>
    <m/>
    <m/>
    <m/>
    <m/>
    <s v="Remco &amp; Jason"/>
    <s v="1ZRJ7386D922796515;1ZRJ7386D933962529"/>
    <s v="YES"/>
    <s v="y"/>
    <m/>
    <m/>
    <s v="2025_08_04"/>
    <s v="Brussels"/>
    <s v="Belgium"/>
    <s v="Rue Juliette Wytsmanstraat 14, Brussels, 1050, Belgium"/>
    <s v="2025-07-24"/>
    <s v="boxcontentlabel_template_outbound1.docx"/>
  </r>
  <r>
    <n v="47"/>
    <s v="outbound-kit 1"/>
    <n v="2"/>
    <d v="2025-08-18T00:00:00"/>
    <x v="5"/>
    <n v="32"/>
    <s v="2025-08"/>
    <x v="3"/>
    <s v="Brussels WWTP"/>
    <s v="Brussels Airport"/>
    <s v="-"/>
    <s v="-"/>
    <s v="-"/>
    <m/>
    <s v="Maarten/Jelle"/>
    <s v="Toon/Daan"/>
    <m/>
    <s v="Jason"/>
    <s v="1ZRJ7386D902586922;1ZRJ7386D918225336"/>
    <s v="YES"/>
    <s v="y"/>
    <m/>
    <m/>
    <s v="2025_08_18"/>
    <s v="Brussels"/>
    <s v="Belgium"/>
    <s v="Rue Juliette Wytsmanstraat 14, Brussels, 1050, Belgium"/>
    <s v="2025-08-07"/>
    <s v="boxcontentlabel_template_outbound1.docx"/>
  </r>
  <r>
    <n v="48"/>
    <s v="outbound-kit 1"/>
    <n v="2"/>
    <d v="2025-09-01T00:00:00"/>
    <x v="6"/>
    <n v="34"/>
    <s v="2025-08"/>
    <x v="3"/>
    <s v="Brussels WWTP"/>
    <s v="Brussels Airport"/>
    <s v="-"/>
    <s v="-"/>
    <s v="-"/>
    <m/>
    <s v="Daan"/>
    <s v="Toon / Remco"/>
    <m/>
    <s v="Tom"/>
    <s v="1ZRJ7386D911121755; 1ZRJ7386D909051362"/>
    <s v="YES"/>
    <s v="y"/>
    <m/>
    <m/>
    <s v="2025_09_01"/>
    <s v="Brussels"/>
    <s v="Belgium"/>
    <s v="Rue Juliette Wytsmanstraat 14, Brussels, 1050, Belgium"/>
    <s v="2025-08-21"/>
    <s v="boxcontentlabel_template_outbound1.docx"/>
  </r>
  <r>
    <n v="49"/>
    <s v="outbound-kit 1"/>
    <n v="2"/>
    <d v="2025-09-15T00:00:00"/>
    <x v="7"/>
    <n v="36"/>
    <s v="2025-09"/>
    <x v="3"/>
    <s v="Brussels WWTP"/>
    <s v="Brussels Airport"/>
    <s v="-"/>
    <s v="-"/>
    <s v="-"/>
    <m/>
    <s v="Daan"/>
    <s v="Toon"/>
    <m/>
    <s v="Remco"/>
    <s v="1ZRJ7386D932499952;1ZRJ7386D932491567"/>
    <s v="YES"/>
    <s v="y"/>
    <m/>
    <m/>
    <s v="2025_09_15"/>
    <s v="Brussels"/>
    <s v="Belgium"/>
    <s v="Rue Juliette Wytsmanstraat 14, Brussels, 1050, Belgium"/>
    <s v="2025-09-04"/>
    <s v="boxcontentlabel_template_outbound1.docx"/>
  </r>
  <r>
    <n v="50"/>
    <s v="outbound-kit 1"/>
    <n v="2"/>
    <d v="2025-10-06T00:00:00"/>
    <x v="8"/>
    <n v="39"/>
    <s v="2025-09"/>
    <x v="3"/>
    <s v="Brussels WWTP"/>
    <s v="Brussels Airport"/>
    <s v="-"/>
    <s v="-"/>
    <s v="-"/>
    <m/>
    <s v="Maarten"/>
    <m/>
    <m/>
    <s v="Remco"/>
    <s v="1ZRJ7386D901361934;1ZRJ7386D913006742"/>
    <s v="YES"/>
    <s v="y"/>
    <m/>
    <m/>
    <s v="2025_10_06"/>
    <s v="Brussels"/>
    <s v="Belgium"/>
    <s v="Rue Juliette Wytsmanstraat 14, Brussels, 1050, Belgium"/>
    <s v="2025-09-25"/>
    <s v="boxcontentlabel_template_outbound1.docx"/>
  </r>
  <r>
    <n v="51"/>
    <s v="outbound-kit 1"/>
    <n v="2"/>
    <d v="2025-10-20T00:00:00"/>
    <x v="9"/>
    <n v="41"/>
    <s v="2025-10"/>
    <x v="3"/>
    <s v="Brussels WWTP"/>
    <s v="Brussels Airport"/>
    <s v="-"/>
    <s v="-"/>
    <s v="-"/>
    <m/>
    <m/>
    <m/>
    <m/>
    <s v="Remco"/>
    <s v="1ZRJ7386D920780660;1ZRJ7386D928142675"/>
    <s v="YES"/>
    <m/>
    <m/>
    <m/>
    <s v="2025_10_20"/>
    <s v="Brussels"/>
    <s v="Belgium"/>
    <s v="Rue Juliette Wytsmanstraat 14, Brussels, 1050, Belgium"/>
    <s v="2025-10-09"/>
    <s v="boxcontentlabel_template_outbound1.docx"/>
  </r>
  <r>
    <n v="52"/>
    <s v="outbound-kit 1"/>
    <n v="2"/>
    <d v="2025-11-03T00:00:00"/>
    <x v="10"/>
    <n v="43"/>
    <s v="2025-10"/>
    <x v="3"/>
    <s v="Brussels WWTP"/>
    <s v="Brussels Airport"/>
    <s v="-"/>
    <s v="-"/>
    <s v="-"/>
    <m/>
    <m/>
    <m/>
    <m/>
    <s v="Jason"/>
    <s v="1ZRJ7386D914770950; 1ZRJ7386D908188566"/>
    <s v="YES"/>
    <m/>
    <m/>
    <m/>
    <s v="2025_11_03"/>
    <s v="Brussels"/>
    <s v="Belgium"/>
    <s v="Rue Juliette Wytsmanstraat 14, Brussels, 1050, Belgium"/>
    <s v="2025-10-23"/>
    <s v="boxcontentlabel_template_outbound1.docx"/>
  </r>
  <r>
    <n v="53"/>
    <s v="outbound-kit 1"/>
    <n v="2"/>
    <d v="2025-11-17T00:00:00"/>
    <x v="11"/>
    <n v="45"/>
    <s v="2025-11"/>
    <x v="3"/>
    <s v="Brussels WWTP"/>
    <s v="Brussels Airport"/>
    <s v="-"/>
    <s v="-"/>
    <s v="-"/>
    <m/>
    <m/>
    <m/>
    <m/>
    <m/>
    <m/>
    <s v="NO"/>
    <m/>
    <m/>
    <m/>
    <s v="2025_11_17"/>
    <s v="Brussels"/>
    <s v="Belgium"/>
    <s v="Rue Juliette Wytsmanstraat 14, Brussels, 1050, Belgium"/>
    <s v="2025-11-06"/>
    <s v="boxcontentlabel_template_outbound1.docx"/>
  </r>
  <r>
    <n v="54"/>
    <s v="outbound-kit 1"/>
    <n v="2"/>
    <d v="2025-12-01T00:00:00"/>
    <x v="12"/>
    <n v="47"/>
    <s v="2025-11"/>
    <x v="3"/>
    <s v="Brussels WWTP"/>
    <s v="Brussels Airport"/>
    <s v="-"/>
    <s v="-"/>
    <s v="-"/>
    <m/>
    <m/>
    <m/>
    <m/>
    <m/>
    <m/>
    <s v="NO"/>
    <m/>
    <m/>
    <m/>
    <s v="2025_12_01"/>
    <s v="Brussels"/>
    <s v="Belgium"/>
    <s v="Rue Juliette Wytsmanstraat 14, Brussels, 1050, Belgium"/>
    <s v="2025-11-20"/>
    <s v="boxcontentlabel_template_outbound1.docx"/>
  </r>
  <r>
    <n v="55"/>
    <s v="outbound-kit 1"/>
    <n v="2"/>
    <d v="2025-12-15T00:00:00"/>
    <x v="13"/>
    <n v="49"/>
    <s v="2025-12"/>
    <x v="3"/>
    <s v="Brussels WWTP"/>
    <s v="Brussels Airport"/>
    <s v="-"/>
    <s v="-"/>
    <s v="-"/>
    <m/>
    <m/>
    <m/>
    <m/>
    <m/>
    <m/>
    <s v="NO"/>
    <m/>
    <m/>
    <m/>
    <s v="2025_12_15"/>
    <s v="Brussels"/>
    <s v="Belgium"/>
    <s v="Rue Juliette Wytsmanstraat 14, Brussels, 1050, Belgium"/>
    <s v="2025-12-04"/>
    <s v="boxcontentlabel_template_outbound1.docx"/>
  </r>
  <r>
    <n v="56"/>
    <s v="outbound-kit 1"/>
    <n v="1"/>
    <d v="2025-06-09T00:00:00"/>
    <x v="28"/>
    <n v="22"/>
    <s v="2025-05"/>
    <x v="4"/>
    <s v="Osaka Expo"/>
    <s v="-"/>
    <s v="-"/>
    <s v="-"/>
    <s v="-"/>
    <s v="European Commission - JRC"/>
    <s v="All"/>
    <s v="All"/>
    <m/>
    <s v="Tom"/>
    <s v="1ZRJ7386D907017715"/>
    <s v="YES"/>
    <s v="y"/>
    <m/>
    <m/>
    <s v="2025_06_09"/>
    <s v="Osaka"/>
    <s v="Japan"/>
    <s v="1-3-3 Nakamichi, Higashinari-ku, Osaka, 537-0025, Japan"/>
    <s v="2025-05-29"/>
    <s v="boxcontentlabel_template_outbound1.docx"/>
  </r>
  <r>
    <n v="57"/>
    <s v="outbound-kit 1"/>
    <n v="1"/>
    <d v="2025-06-28T00:00:00"/>
    <x v="2"/>
    <n v="25"/>
    <s v="2025-06"/>
    <x v="4"/>
    <s v="Osaka Expo"/>
    <s v="-"/>
    <s v="-"/>
    <s v="-"/>
    <s v="-"/>
    <s v="European Commission - JRC"/>
    <s v="Maarten"/>
    <s v="Toon/Simon"/>
    <m/>
    <s v="Tom"/>
    <s v="1ZRJ7386D924044118"/>
    <s v="YES"/>
    <s v="y"/>
    <m/>
    <m/>
    <s v="2025_06_28"/>
    <s v="Osaka"/>
    <s v="Japan"/>
    <s v="1-3-3 Nakamichi, Higashinari-ku, Osaka, 537-0025, Japan"/>
    <s v="2025-06-19"/>
    <s v="boxcontentlabel_template_outbound1.docx"/>
  </r>
  <r>
    <n v="58"/>
    <s v="outbound-kit 1"/>
    <n v="1"/>
    <d v="2025-07-26T00:00:00"/>
    <x v="29"/>
    <n v="29"/>
    <s v="2025-07"/>
    <x v="4"/>
    <s v="Osaka Expo"/>
    <s v="-"/>
    <s v="-"/>
    <s v="-"/>
    <s v="-"/>
    <m/>
    <s v="Toon"/>
    <s v="Remco"/>
    <m/>
    <s v="Remco"/>
    <s v="1ZRJ7386D906714660"/>
    <s v="YES"/>
    <s v="y"/>
    <m/>
    <m/>
    <s v="2025_07_26"/>
    <s v="Osaka"/>
    <s v="Japan"/>
    <s v="1-3-3 Nakamichi, Higashinari-ku, Osaka, 537-0025, Japan"/>
    <s v="2025-07-17"/>
    <s v="boxcontentlabel_template_outbound1.docx"/>
  </r>
  <r>
    <n v="59"/>
    <s v="outbound-kit 1"/>
    <n v="1"/>
    <d v="2025-08-30T00:00:00"/>
    <x v="6"/>
    <n v="34"/>
    <s v="2025-08"/>
    <x v="4"/>
    <s v="Osaka Expo"/>
    <s v="-"/>
    <s v="-"/>
    <s v="-"/>
    <s v="-"/>
    <m/>
    <s v="Daan"/>
    <s v="Toon / Remco"/>
    <m/>
    <s v="Tom"/>
    <s v="1ZRJ7386D935757471"/>
    <s v="YES"/>
    <s v="y"/>
    <m/>
    <m/>
    <s v="2025_08_30"/>
    <s v="Osaka"/>
    <s v="Japan"/>
    <s v="1-3-3 Nakamichi, Higashinari-ku, Osaka, 537-0025, Japan"/>
    <s v="2025-08-21"/>
    <s v="boxcontentlabel_template_outbound1.docx"/>
  </r>
  <r>
    <n v="60"/>
    <s v="outbound-kit 1"/>
    <n v="1"/>
    <d v="2025-09-27T00:00:00"/>
    <x v="30"/>
    <n v="38"/>
    <s v="2025-09"/>
    <x v="4"/>
    <s v="Osaka Expo"/>
    <s v="-"/>
    <s v="-"/>
    <s v="-"/>
    <s v="-"/>
    <m/>
    <s v="Maarten"/>
    <s v="Remco"/>
    <m/>
    <s v="Remco"/>
    <s v="1ZRJ7386D931199242"/>
    <s v="YES"/>
    <s v="y"/>
    <m/>
    <m/>
    <s v="2025_09_27"/>
    <s v="Osaka"/>
    <s v="Japan"/>
    <s v="1-3-3 Nakamichi, Higashinari-ku, Osaka, 537-0025, Japan"/>
    <s v="2025-09-18"/>
    <s v="boxcontentlabel_template_outbound1.docx"/>
  </r>
  <r>
    <n v="61"/>
    <s v="outbound-kit 1"/>
    <n v="1"/>
    <d v="2025-10-25T00:00:00"/>
    <x v="31"/>
    <n v="42"/>
    <s v="2025-10"/>
    <x v="4"/>
    <s v="Osaka Expo"/>
    <s v="-"/>
    <s v="-"/>
    <s v="-"/>
    <s v="-"/>
    <m/>
    <m/>
    <m/>
    <m/>
    <s v="Jason"/>
    <s v="1ZRJ7386D932974714"/>
    <s v="YES"/>
    <m/>
    <m/>
    <m/>
    <s v="2025_10_25"/>
    <s v="Osaka"/>
    <s v="Japan"/>
    <s v="1-3-3 Nakamichi, Higashinari-ku, Osaka, 537-0025, Japan"/>
    <s v="2025-10-16"/>
    <s v="boxcontentlabel_template_outbound1.docx"/>
  </r>
  <r>
    <n v="62"/>
    <s v="outbound-kit 1"/>
    <n v="2"/>
    <d v="2025-06-10T00:00:00"/>
    <x v="32"/>
    <n v="22"/>
    <s v="2025-05"/>
    <x v="5"/>
    <s v="Luxembourg (Beggen) WWTP"/>
    <s v="Luxembourg Airport"/>
    <s v="-"/>
    <s v="-"/>
    <s v="-"/>
    <s v="European Commission - JRC"/>
    <s v="Toon"/>
    <s v="Simon"/>
    <m/>
    <s v="Simon"/>
    <s v="AfgeleverdinLuxemburgviaeigennetwerk"/>
    <s v="YES"/>
    <s v="y"/>
    <m/>
    <s v="1ZRJ7386D911776281; 1ZRJ7386D907849871"/>
    <s v="2025_06_10"/>
    <s v="Luxembourg"/>
    <s v="Luxembourg"/>
    <s v="41 rue du Brill, Luxembourg, L-4422 , Luxembourg"/>
    <s v="2025-05-30"/>
    <s v="boxcontentlabel_template_outbound1.docx"/>
  </r>
  <r>
    <n v="63"/>
    <s v="outbound-kit 1"/>
    <n v="2"/>
    <d v="2025-06-19T00:00:00"/>
    <x v="33"/>
    <n v="23"/>
    <s v="2025-06"/>
    <x v="5"/>
    <s v="Luxembourg (Beggen) WWTP"/>
    <s v="Luxembourg Airport"/>
    <s v="-"/>
    <s v="-"/>
    <s v="-"/>
    <s v="European Commission - JRC"/>
    <s v="Maarten"/>
    <s v="Toon"/>
    <s v="0082_WWI_00002_J3T_08_x000a_0082_WWI_00002_J3T_07_x000a_0082_WWI_00002_J3T_06_x000a_0082_WWI_00002_J3T_05_x000a_0082_WWI_00002_J3T_04_x000a_0082_WWI_00002_J3T_03_x000a_0082_WWI_00002_J3T_02_x000a_0082_WWI_00002_J3T_01 &amp; 0082_WWI_00002_F9H_08_x000a_0082_WWI_00002_F9H_07_x000a_0082_WWI_00002_F9H_06_x000a_0082_WWI_00002_F9H_05_x000a_0082_WWI_00002_F9H_04_x000a_0082_WWI_00002_F9H_03_x000a_0082_WWI_00002_F9H_02_x000a_0082_WWI_00002_F9H_01"/>
    <s v="Tom"/>
    <s v="1ZRJ7386D300074070;1ZRJ7386D307488487"/>
    <s v="YES"/>
    <s v="y"/>
    <m/>
    <m/>
    <s v="2025_06_19"/>
    <s v="Luxembourg"/>
    <s v="Luxembourg"/>
    <s v="41 rue du Brill, Luxembourg, L-4422 , Luxembourg"/>
    <s v="2025-06-08"/>
    <s v="boxcontentlabel_template_outbound1.docx"/>
  </r>
  <r>
    <n v="64"/>
    <s v="outbound-kit 1"/>
    <n v="1"/>
    <d v="2025-07-01T00:00:00"/>
    <x v="16"/>
    <n v="25"/>
    <s v="2025-06"/>
    <x v="5"/>
    <s v="Luxembourg (Beggen) WWTP"/>
    <s v="Luxembourg Airport"/>
    <s v="-"/>
    <s v="-"/>
    <s v="-"/>
    <s v="European Commission - JRC"/>
    <s v="Maarten"/>
    <s v="Toon/Simon"/>
    <m/>
    <s v="Tom"/>
    <s v="1ZRJ7386D906480752;1ZRJ7386D914170367"/>
    <s v="YES"/>
    <s v="y"/>
    <m/>
    <m/>
    <s v="2025_07_01"/>
    <s v="Luxembourg"/>
    <s v="Luxembourg"/>
    <s v="41 rue du Brill, Luxembourg, L-4422 , Luxembourg"/>
    <s v="2025-06-20"/>
    <s v="boxcontentlabel_template_outbound1.docx"/>
  </r>
  <r>
    <n v="65"/>
    <s v="outbound-kit 1"/>
    <n v="2"/>
    <d v="2025-08-13T00:00:00"/>
    <x v="34"/>
    <n v="31"/>
    <s v="2025-07"/>
    <x v="5"/>
    <s v="Luxembourg (Beggen) WWTP"/>
    <s v="Luxembourg Airport"/>
    <s v="-"/>
    <s v="-"/>
    <s v="-"/>
    <m/>
    <m/>
    <m/>
    <m/>
    <s v="Remco"/>
    <s v="1ZRJ7386D934865089;1ZRJ7386D922487895"/>
    <s v="YES"/>
    <s v="y"/>
    <m/>
    <m/>
    <s v="2025_08_13"/>
    <s v="Luxembourg"/>
    <s v="Luxembourg"/>
    <s v="41 rue du Brill, Luxembourg, L-4422 , Luxembourg"/>
    <s v="2025-08-02"/>
    <s v="boxcontentlabel_template_outbound1.docx"/>
  </r>
  <r>
    <n v="66"/>
    <s v="outbound-kit 1"/>
    <n v="2"/>
    <d v="2025-08-28T00:00:00"/>
    <x v="35"/>
    <n v="33"/>
    <s v="2025-08"/>
    <x v="5"/>
    <s v="Luxembourg (Beggen) WWTP"/>
    <s v="Luxembourg Airport"/>
    <s v="-"/>
    <s v="-"/>
    <s v="-"/>
    <m/>
    <s v="Daan"/>
    <s v="Toon / Remco"/>
    <m/>
    <s v="Tom"/>
    <s v="1ZRJ7386D930968298;1ZRJ7386D923361509"/>
    <s v="YES"/>
    <s v="y"/>
    <m/>
    <m/>
    <s v="2025_08_28"/>
    <s v="Luxembourg"/>
    <s v="Luxembourg"/>
    <s v="41 rue du Brill, Luxembourg, L-4422 , Luxembourg"/>
    <s v="2025-08-17"/>
    <s v="boxcontentlabel_template_outbound1.docx"/>
  </r>
  <r>
    <n v="67"/>
    <s v="outbound-kit 1"/>
    <n v="2"/>
    <d v="2025-09-04T00:00:00"/>
    <x v="36"/>
    <n v="34"/>
    <s v="2025-08"/>
    <x v="5"/>
    <s v="Luxembourg (Beggen) WWTP"/>
    <s v="Luxembourg Airport"/>
    <s v="-"/>
    <s v="-"/>
    <s v="-"/>
    <m/>
    <s v="Daan"/>
    <s v="Toon/Remco/Tom"/>
    <m/>
    <s v="Tom"/>
    <s v="1ZRJ7386D930488691; 1ZRJ7386D927777901"/>
    <s v="YES"/>
    <s v="y"/>
    <m/>
    <m/>
    <s v="2025_09_04"/>
    <s v="Luxembourg"/>
    <s v="Luxembourg"/>
    <s v="41 rue du Brill, Luxembourg, L-4422 , Luxembourg"/>
    <s v="2025-08-24"/>
    <s v="boxcontentlabel_template_outbound1.docx"/>
  </r>
  <r>
    <n v="68"/>
    <s v="outbound-kit 1"/>
    <n v="2"/>
    <d v="2025-09-22T00:00:00"/>
    <x v="37"/>
    <n v="37"/>
    <s v="2025-09"/>
    <x v="5"/>
    <s v="Luxembourg (Beggen) WWTP"/>
    <s v="Luxembourg Airport"/>
    <s v="-"/>
    <s v="-"/>
    <s v="-"/>
    <m/>
    <m/>
    <m/>
    <m/>
    <s v="Remco"/>
    <s v="1ZRJ7386DK13003516;1ZRJ7386DK15259523"/>
    <s v="YES"/>
    <s v="y"/>
    <m/>
    <m/>
    <s v="2025_09_22"/>
    <s v="Luxembourg"/>
    <s v="Luxembourg"/>
    <s v="41 rue du Brill, Luxembourg, L-4422 , Luxembourg"/>
    <s v="2025-09-11"/>
    <s v="boxcontentlabel_template_outbound1.docx"/>
  </r>
  <r>
    <n v="69"/>
    <s v="outbound-kit 1"/>
    <n v="1"/>
    <d v="2025-06-11T00:00:00"/>
    <x v="38"/>
    <n v="22"/>
    <s v="2025-05"/>
    <x v="6"/>
    <s v="Rome WWTP"/>
    <s v="-"/>
    <s v="-"/>
    <s v="-"/>
    <s v="-"/>
    <s v="European Commission - JRC"/>
    <s v="Toon"/>
    <s v="Simon"/>
    <m/>
    <s v="Tom"/>
    <n v="1016562094"/>
    <s v="YES"/>
    <s v="y"/>
    <m/>
    <s v="1ZRJ73868615872305 failed (created by Simon), reason; stuck at customs, used import control instead of normal outbound. New T&amp;T is DHL."/>
    <s v="2025_06_11"/>
    <s v="Rome"/>
    <s v="Italy"/>
    <s v="Via dell'Equitazione 10, Rome, 00144, Italy"/>
    <s v="2025-05-31"/>
    <s v="boxcontentlabel_template_outbound1.docx"/>
  </r>
  <r>
    <n v="71"/>
    <s v="outbound-kit 1"/>
    <n v="1"/>
    <d v="2025-06-18T00:00:00"/>
    <x v="39"/>
    <n v="23"/>
    <s v="2025-06"/>
    <x v="6"/>
    <s v="Rome WWTP"/>
    <s v="-"/>
    <s v="-"/>
    <s v="-"/>
    <s v="-"/>
    <s v="European Commission - JRC"/>
    <s v="Maarten"/>
    <s v="Toon"/>
    <m/>
    <s v="Tom"/>
    <s v="1ZRJ7386D915405343"/>
    <s v="YES"/>
    <s v="y"/>
    <m/>
    <m/>
    <s v="2025_06_18"/>
    <s v="Rome"/>
    <s v="Italy"/>
    <s v="Via dell'Equitazione 10, Rome, 00144, Italy"/>
    <s v="2025-06-07"/>
    <s v="boxcontentlabel_template_outbound1.docx"/>
  </r>
  <r>
    <n v="72"/>
    <s v="outbound-kit 1"/>
    <n v="1"/>
    <d v="2025-07-02T00:00:00"/>
    <x v="40"/>
    <n v="25"/>
    <s v="2025-06"/>
    <x v="6"/>
    <s v="Rome WWTP"/>
    <s v="-"/>
    <s v="-"/>
    <s v="-"/>
    <s v="-"/>
    <s v="European Commission - JRC"/>
    <s v="Maarten"/>
    <s v="Toon/Simon"/>
    <m/>
    <s v="Tom"/>
    <s v="1ZRJ7386D919728738"/>
    <s v="YES"/>
    <s v="y"/>
    <m/>
    <m/>
    <s v="2025_07_02"/>
    <s v="Rome"/>
    <s v="Italy"/>
    <s v="Via dell'Equitazione 10, Rome, 00144, Italy"/>
    <s v="2025-06-21"/>
    <s v="boxcontentlabel_template_outbound1.docx"/>
  </r>
  <r>
    <n v="73"/>
    <s v="outbound-kit 1"/>
    <n v="1"/>
    <d v="2025-07-16T00:00:00"/>
    <x v="41"/>
    <n v="27"/>
    <s v="2025-07"/>
    <x v="6"/>
    <s v="Rome WWTP"/>
    <s v="-"/>
    <s v="-"/>
    <s v="-"/>
    <s v="-"/>
    <m/>
    <s v="Maarten"/>
    <s v="Toon/Maikel"/>
    <m/>
    <s v="Tom"/>
    <s v="1ZRJ7386D906938526"/>
    <s v="YES"/>
    <s v="y"/>
    <m/>
    <m/>
    <s v="2025_07_16"/>
    <s v="Rome"/>
    <s v="Italy"/>
    <s v="Via dell'Equitazione 10, Rome, 00144, Italy"/>
    <s v="2025-07-05"/>
    <s v="boxcontentlabel_template_outbound1.docx"/>
  </r>
  <r>
    <n v="74"/>
    <s v="outbound-kit 1"/>
    <n v="1"/>
    <d v="2025-08-06T00:00:00"/>
    <x v="42"/>
    <n v="30"/>
    <s v="2025-07"/>
    <x v="6"/>
    <s v="Rome WWTP"/>
    <s v="-"/>
    <s v="-"/>
    <s v="-"/>
    <s v="-"/>
    <m/>
    <s v="Maarten"/>
    <s v="Toon/Remco"/>
    <m/>
    <s v="Remco"/>
    <s v="1ZRJ7386D936241007"/>
    <s v="YES"/>
    <s v="y"/>
    <m/>
    <m/>
    <s v="2025_08_06"/>
    <s v="Rome"/>
    <s v="Italy"/>
    <s v="Via dell'Equitazione 10, Rome, 00144, Italy"/>
    <s v="2025-07-26"/>
    <s v="boxcontentlabel_template_outbound1.docx"/>
  </r>
  <r>
    <n v="75"/>
    <s v="outbound-kit 1"/>
    <n v="1"/>
    <d v="2025-08-20T00:00:00"/>
    <x v="43"/>
    <n v="32"/>
    <s v="2025-08"/>
    <x v="6"/>
    <s v="Rome WWTP"/>
    <s v="-"/>
    <s v="-"/>
    <s v="-"/>
    <s v="-"/>
    <m/>
    <s v="Maarten/Jelle"/>
    <s v="Toon/Daan"/>
    <m/>
    <s v="Jason"/>
    <s v="1ZRJ7386DK20555336"/>
    <s v="YES"/>
    <s v="y"/>
    <m/>
    <m/>
    <s v="2025_08_20"/>
    <s v="Rome"/>
    <s v="Italy"/>
    <s v="Via dell'Equitazione 10, Rome, 00144, Italy"/>
    <s v="2025-08-09"/>
    <s v="boxcontentlabel_template_outbound1.docx"/>
  </r>
  <r>
    <n v="76"/>
    <s v="outbound-kit 1"/>
    <n v="1"/>
    <d v="2025-09-03T00:00:00"/>
    <x v="44"/>
    <n v="34"/>
    <s v="2025-08"/>
    <x v="6"/>
    <s v="Rome WWTP"/>
    <s v="-"/>
    <s v="-"/>
    <s v="-"/>
    <s v="-"/>
    <m/>
    <s v="Daan"/>
    <s v="Toon / Remco"/>
    <m/>
    <s v="Tom"/>
    <s v="1ZRJ7386D905323478"/>
    <s v="YES"/>
    <s v="y"/>
    <m/>
    <m/>
    <s v="2025_09_03"/>
    <s v="Rome"/>
    <s v="Italy"/>
    <s v="Via dell'Equitazione 10, Rome, 00144, Italy"/>
    <s v="2025-08-23"/>
    <s v="boxcontentlabel_template_outbound1.docx"/>
  </r>
  <r>
    <n v="77"/>
    <s v="outbound-kit 1"/>
    <n v="1"/>
    <d v="2025-09-17T00:00:00"/>
    <x v="45"/>
    <n v="36"/>
    <s v="2025-09"/>
    <x v="6"/>
    <s v="Rome WWTP"/>
    <s v="-"/>
    <s v="-"/>
    <s v="-"/>
    <s v="-"/>
    <m/>
    <s v="Daan"/>
    <m/>
    <m/>
    <s v="Remco"/>
    <s v="1ZRJ7386DK30638942"/>
    <s v="YES"/>
    <s v="y"/>
    <m/>
    <m/>
    <s v="2025_09_17"/>
    <s v="Rome"/>
    <s v="Italy"/>
    <s v="Via dell'Equitazione 10, Rome, 00144, Italy"/>
    <s v="2025-09-06"/>
    <s v="boxcontentlabel_template_outbound1.docx"/>
  </r>
  <r>
    <n v="78"/>
    <s v="outbound-kit 1"/>
    <n v="1"/>
    <d v="2025-10-08T00:00:00"/>
    <x v="46"/>
    <n v="39"/>
    <s v="2025-09"/>
    <x v="6"/>
    <s v="Rome WWTP"/>
    <s v="-"/>
    <s v="-"/>
    <s v="-"/>
    <s v="-"/>
    <m/>
    <s v="Maarten"/>
    <m/>
    <m/>
    <s v="Remco"/>
    <s v="1ZRJ7386DK11611621"/>
    <s v="YES"/>
    <s v="y"/>
    <m/>
    <m/>
    <s v="2025_10_08"/>
    <s v="Rome"/>
    <s v="Italy"/>
    <s v="Via dell'Equitazione 10, Rome, 00144, Italy"/>
    <s v="2025-09-27"/>
    <s v="boxcontentlabel_template_outbound1.docx"/>
  </r>
  <r>
    <n v="79"/>
    <s v="outbound-kit 1"/>
    <n v="1"/>
    <d v="2025-10-22T00:00:00"/>
    <x v="47"/>
    <n v="41"/>
    <s v="2025-10"/>
    <x v="6"/>
    <s v="Rome WWTP"/>
    <s v="-"/>
    <s v="-"/>
    <s v="-"/>
    <s v="-"/>
    <m/>
    <m/>
    <m/>
    <m/>
    <s v="Remco"/>
    <s v="1ZRJ7386DK21165050"/>
    <s v="YES"/>
    <m/>
    <m/>
    <m/>
    <s v="2025_10_22"/>
    <s v="Rome"/>
    <s v="Italy"/>
    <s v="Via dell'Equitazione 10, Rome, 00144, Italy"/>
    <s v="2025-10-11"/>
    <s v="boxcontentlabel_template_outbound1.docx"/>
  </r>
  <r>
    <n v="80"/>
    <s v="outbound-kit 1"/>
    <n v="1"/>
    <d v="2025-11-05T00:00:00"/>
    <x v="48"/>
    <n v="43"/>
    <s v="2025-10"/>
    <x v="6"/>
    <s v="Rome WWTP"/>
    <s v="-"/>
    <s v="-"/>
    <s v="-"/>
    <s v="-"/>
    <m/>
    <m/>
    <m/>
    <m/>
    <s v="Jason"/>
    <s v="1ZRJ7679D923619794"/>
    <s v="NO"/>
    <m/>
    <m/>
    <m/>
    <s v="2025_11_05"/>
    <s v="Rome"/>
    <s v="Italy"/>
    <s v="Via dell'Equitazione 10, Rome, 00144, Italy"/>
    <s v="2025-10-25"/>
    <s v="boxcontentlabel_template_outbound1.docx"/>
  </r>
  <r>
    <n v="81"/>
    <s v="outbound-kit 1"/>
    <n v="1"/>
    <d v="2025-11-19T00:00:00"/>
    <x v="49"/>
    <n v="45"/>
    <s v="2025-11"/>
    <x v="6"/>
    <s v="Rome WWTP"/>
    <s v="-"/>
    <s v="-"/>
    <s v="-"/>
    <s v="-"/>
    <m/>
    <m/>
    <m/>
    <m/>
    <m/>
    <m/>
    <s v="NO"/>
    <m/>
    <m/>
    <m/>
    <s v="2025_11_19"/>
    <s v="Rome"/>
    <s v="Italy"/>
    <s v="Via dell'Equitazione 10, Rome, 00144, Italy"/>
    <s v="2025-11-08"/>
    <s v="boxcontentlabel_template_outbound1.docx"/>
  </r>
  <r>
    <n v="82"/>
    <s v="outbound-kit 1"/>
    <n v="1"/>
    <d v="2025-12-03T00:00:00"/>
    <x v="50"/>
    <n v="47"/>
    <s v="2025-11"/>
    <x v="6"/>
    <s v="Rome WWTP"/>
    <s v="-"/>
    <s v="-"/>
    <s v="-"/>
    <s v="-"/>
    <m/>
    <m/>
    <m/>
    <m/>
    <m/>
    <m/>
    <s v="NO"/>
    <m/>
    <m/>
    <m/>
    <s v="2025_12_03"/>
    <s v="Rome"/>
    <s v="Italy"/>
    <s v="Via dell'Equitazione 10, Rome, 00144, Italy"/>
    <s v="2025-11-22"/>
    <s v="boxcontentlabel_template_outbound1.docx"/>
  </r>
  <r>
    <n v="83"/>
    <s v="outbound-kit 1"/>
    <n v="1"/>
    <d v="2025-12-17T00:00:00"/>
    <x v="51"/>
    <n v="49"/>
    <s v="2025-12"/>
    <x v="6"/>
    <s v="Rome WWTP"/>
    <s v="-"/>
    <s v="-"/>
    <s v="-"/>
    <s v="-"/>
    <m/>
    <m/>
    <m/>
    <m/>
    <m/>
    <m/>
    <s v="NO"/>
    <m/>
    <m/>
    <m/>
    <s v="2025_12_17"/>
    <s v="Rome"/>
    <s v="Italy"/>
    <s v="Via dell'Equitazione 10, Rome, 00144, Italy"/>
    <s v="2025-12-06"/>
    <s v="boxcontentlabel_template_outbound1.docx"/>
  </r>
  <r>
    <n v="84"/>
    <s v="outbound-kit 1"/>
    <n v="1"/>
    <d v="2025-06-11T00:00:00"/>
    <x v="38"/>
    <n v="22"/>
    <s v="2025-05"/>
    <x v="7"/>
    <s v="RomeAirport"/>
    <s v="-"/>
    <s v="-"/>
    <s v="-"/>
    <s v="-"/>
    <s v="European Commission - JRC"/>
    <s v="Maarten"/>
    <s v="Maikel"/>
    <m/>
    <s v="Tom"/>
    <s v="1ZRJ7386D937952309"/>
    <s v="YES"/>
    <s v="y"/>
    <m/>
    <m/>
    <s v="2025_06_11"/>
    <s v="RomeAirport"/>
    <s v="Italy"/>
    <s v="VIA FRATELLI WRIGHT (DEPURATORE BIOLOGICO), FIUMICINO, 00054, Italy"/>
    <s v="2025-05-31"/>
    <s v="boxcontentlabel_template_outbound1.docx"/>
  </r>
  <r>
    <n v="85"/>
    <s v="outbound-kit 1"/>
    <n v="1"/>
    <d v="2025-06-18T00:00:00"/>
    <x v="39"/>
    <n v="23"/>
    <s v="2025-06"/>
    <x v="7"/>
    <s v="RomeAirport"/>
    <s v="-"/>
    <s v="-"/>
    <s v="-"/>
    <s v="-"/>
    <s v="European Commission - JRC"/>
    <s v="Maarten"/>
    <s v="Toon"/>
    <m/>
    <s v="Tom"/>
    <s v="1ZRJ7386D912816539"/>
    <s v="YES"/>
    <s v="y"/>
    <m/>
    <m/>
    <s v="2025_06_18"/>
    <s v="RomeAirport"/>
    <s v="Italy"/>
    <s v="VIA FRATELLI WRIGHT (DEPURATORE BIOLOGICO), FIUMICINO, 00054, Italy"/>
    <s v="2025-06-07"/>
    <s v="boxcontentlabel_template_outbound1.docx"/>
  </r>
  <r>
    <n v="86"/>
    <s v="outbound-kit 1"/>
    <n v="1"/>
    <d v="2025-07-02T00:00:00"/>
    <x v="40"/>
    <n v="25"/>
    <s v="2025-06"/>
    <x v="7"/>
    <s v="RomeAirport"/>
    <s v="-"/>
    <s v="-"/>
    <s v="-"/>
    <s v="-"/>
    <s v="European Commission - JRC"/>
    <s v="Maarten"/>
    <s v="Toon/Simon"/>
    <m/>
    <s v="Tom"/>
    <s v="1ZRJ7386D907005497"/>
    <s v="YES"/>
    <s v="y"/>
    <m/>
    <m/>
    <s v="2025_07_02"/>
    <s v="RomeAirport"/>
    <s v="Italy"/>
    <s v="VIA FRATELLI WRIGHT (DEPURATORE BIOLOGICO), FIUMICINO, 00054, Italy"/>
    <s v="2025-06-21"/>
    <s v="boxcontentlabel_template_outbound1.docx"/>
  </r>
  <r>
    <n v="87"/>
    <s v="outbound-kit 1"/>
    <n v="1"/>
    <d v="2025-07-16T00:00:00"/>
    <x v="41"/>
    <n v="27"/>
    <s v="2025-07"/>
    <x v="7"/>
    <s v="RomeAirport"/>
    <s v="-"/>
    <s v="-"/>
    <s v="-"/>
    <s v="-"/>
    <m/>
    <s v="Maarten"/>
    <s v="Toon/Maikel"/>
    <m/>
    <s v="Tom"/>
    <s v="1ZRJ7386D907600932"/>
    <s v="YES"/>
    <s v="y"/>
    <m/>
    <m/>
    <s v="2025_07_16"/>
    <s v="RomeAirport"/>
    <s v="Italy"/>
    <s v="VIA FRATELLI WRIGHT (DEPURATORE BIOLOGICO), FIUMICINO, 00054, Italy"/>
    <s v="2025-07-05"/>
    <s v="boxcontentlabel_template_outbound1.docx"/>
  </r>
  <r>
    <n v="88"/>
    <s v="outbound-kit 1"/>
    <n v="1"/>
    <d v="2025-08-06T00:00:00"/>
    <x v="42"/>
    <n v="30"/>
    <s v="2025-07"/>
    <x v="7"/>
    <s v="RomeAirport"/>
    <s v="-"/>
    <s v="-"/>
    <s v="-"/>
    <s v="-"/>
    <m/>
    <s v="Maarten"/>
    <s v="Toon/Remco"/>
    <m/>
    <s v="Remco"/>
    <s v="1ZRJ7386D915057158"/>
    <s v="YES"/>
    <s v="y"/>
    <m/>
    <m/>
    <s v="2025_08_06"/>
    <s v="RomeAirport"/>
    <s v="Italy"/>
    <s v="VIA FRATELLI WRIGHT (DEPURATORE BIOLOGICO), FIUMICINO, 00054, Italy"/>
    <s v="2025-07-26"/>
    <s v="boxcontentlabel_template_outbound1.docx"/>
  </r>
  <r>
    <n v="89"/>
    <s v="outbound-kit 1"/>
    <n v="1"/>
    <d v="2025-08-20T00:00:00"/>
    <x v="43"/>
    <n v="32"/>
    <s v="2025-08"/>
    <x v="7"/>
    <s v="RomeAirport"/>
    <s v="-"/>
    <s v="-"/>
    <s v="-"/>
    <s v="-"/>
    <m/>
    <s v="Maarten/Jelle"/>
    <s v="Toon/Daan"/>
    <m/>
    <s v="Jason"/>
    <s v="1ZRJ7386DK02446149"/>
    <s v="YES"/>
    <s v="y"/>
    <m/>
    <m/>
    <s v="2025_08_20"/>
    <s v="RomeAirport"/>
    <s v="Italy"/>
    <s v="VIA FRATELLI WRIGHT (DEPURATORE BIOLOGICO), FIUMICINO, 00054, Italy"/>
    <s v="2025-08-09"/>
    <s v="boxcontentlabel_template_outbound1.docx"/>
  </r>
  <r>
    <n v="90"/>
    <s v="outbound-kit 1"/>
    <n v="1"/>
    <d v="2025-09-03T00:00:00"/>
    <x v="44"/>
    <n v="34"/>
    <s v="2025-08"/>
    <x v="7"/>
    <s v="RomeAirport"/>
    <s v="-"/>
    <s v="-"/>
    <s v="-"/>
    <s v="-"/>
    <m/>
    <s v="Daan"/>
    <s v="Toon / Remco"/>
    <m/>
    <s v="Tom"/>
    <s v="1ZRJ7386DK30027227"/>
    <s v="YES"/>
    <s v="y"/>
    <m/>
    <m/>
    <s v="2025_09_03"/>
    <s v="RomeAirport"/>
    <s v="Italy"/>
    <s v="VIA FRATELLI WRIGHT (DEPURATORE BIOLOGICO), FIUMICINO, 00054, Italy"/>
    <s v="2025-08-23"/>
    <s v="boxcontentlabel_template_outbound1.docx"/>
  </r>
  <r>
    <n v="91"/>
    <s v="outbound-kit 1"/>
    <n v="1"/>
    <d v="2025-09-17T00:00:00"/>
    <x v="45"/>
    <n v="36"/>
    <s v="2025-09"/>
    <x v="7"/>
    <s v="RomeAirport"/>
    <s v="-"/>
    <s v="-"/>
    <s v="-"/>
    <s v="-"/>
    <m/>
    <s v="Daan"/>
    <m/>
    <m/>
    <s v="Remco"/>
    <s v="1ZRJ7386DK23988159"/>
    <s v="YES"/>
    <s v="y"/>
    <m/>
    <m/>
    <s v="2025_09_17"/>
    <s v="RomeAirport"/>
    <s v="Italy"/>
    <s v="VIA FRATELLI WRIGHT (DEPURATORE BIOLOGICO), FIUMICINO, 00054, Italy"/>
    <s v="2025-09-06"/>
    <s v="boxcontentlabel_template_outbound1.docx"/>
  </r>
  <r>
    <n v="92"/>
    <s v="outbound-kit 1"/>
    <n v="1"/>
    <d v="2025-10-08T00:00:00"/>
    <x v="46"/>
    <n v="39"/>
    <s v="2025-09"/>
    <x v="7"/>
    <s v="RomeAirport"/>
    <s v="-"/>
    <s v="-"/>
    <s v="-"/>
    <s v="-"/>
    <m/>
    <s v="Maarten"/>
    <m/>
    <m/>
    <s v="Remco"/>
    <s v="1ZRJ7386DK03058030"/>
    <s v="YES"/>
    <s v="y"/>
    <m/>
    <m/>
    <s v="2025_10_08"/>
    <s v="RomeAirport"/>
    <s v="Italy"/>
    <s v="VIA FRATELLI WRIGHT (DEPURATORE BIOLOGICO), FIUMICINO, 00054, Italy"/>
    <s v="2025-09-27"/>
    <s v="boxcontentlabel_template_outbound1.docx"/>
  </r>
  <r>
    <n v="93"/>
    <s v="outbound-kit 1"/>
    <n v="1"/>
    <d v="2025-10-22T00:00:00"/>
    <x v="47"/>
    <n v="41"/>
    <s v="2025-10"/>
    <x v="7"/>
    <s v="RomeAirport"/>
    <s v="-"/>
    <s v="-"/>
    <s v="-"/>
    <s v="-"/>
    <m/>
    <m/>
    <m/>
    <m/>
    <s v="Remco"/>
    <s v="1ZRJ7386DK21372568"/>
    <s v="YES"/>
    <m/>
    <m/>
    <m/>
    <s v="2025_10_22"/>
    <s v="RomeAirport"/>
    <s v="Italy"/>
    <s v="VIA FRATELLI WRIGHT (DEPURATORE BIOLOGICO), FIUMICINO, 00054, Italy"/>
    <s v="2025-10-11"/>
    <s v="boxcontentlabel_template_outbound1.docx"/>
  </r>
  <r>
    <n v="94"/>
    <s v="outbound-kit 1"/>
    <n v="1"/>
    <d v="2025-11-05T00:00:00"/>
    <x v="48"/>
    <n v="43"/>
    <s v="2025-10"/>
    <x v="7"/>
    <s v="RomeAirport"/>
    <s v="-"/>
    <s v="-"/>
    <s v="-"/>
    <s v="-"/>
    <m/>
    <m/>
    <m/>
    <m/>
    <s v="Jason"/>
    <s v="1ZRJ7679D929760585"/>
    <s v="NO"/>
    <m/>
    <m/>
    <m/>
    <s v="2025_11_05"/>
    <s v="RomeAirport"/>
    <s v="Italy"/>
    <s v="VIA FRATELLI WRIGHT (DEPURATORE BIOLOGICO), FIUMICINO, 00054, Italy"/>
    <s v="2025-10-25"/>
    <s v="boxcontentlabel_template_outbound1.docx"/>
  </r>
  <r>
    <n v="95"/>
    <s v="outbound-kit 1"/>
    <n v="1"/>
    <d v="2025-11-19T00:00:00"/>
    <x v="49"/>
    <n v="45"/>
    <s v="2025-11"/>
    <x v="7"/>
    <s v="RomeAirport"/>
    <s v="-"/>
    <s v="-"/>
    <s v="-"/>
    <s v="-"/>
    <m/>
    <m/>
    <m/>
    <m/>
    <m/>
    <m/>
    <s v="NO"/>
    <m/>
    <m/>
    <m/>
    <s v="2025_11_19"/>
    <s v="RomeAirport"/>
    <s v="Italy"/>
    <s v="VIA FRATELLI WRIGHT (DEPURATORE BIOLOGICO), FIUMICINO, 00054, Italy"/>
    <s v="2025-11-08"/>
    <s v="boxcontentlabel_template_outbound1.docx"/>
  </r>
  <r>
    <n v="96"/>
    <s v="outbound-kit 1"/>
    <n v="1"/>
    <d v="2025-12-03T00:00:00"/>
    <x v="50"/>
    <n v="47"/>
    <s v="2025-11"/>
    <x v="7"/>
    <s v="RomeAirport"/>
    <s v="-"/>
    <s v="-"/>
    <s v="-"/>
    <s v="-"/>
    <m/>
    <m/>
    <m/>
    <m/>
    <m/>
    <m/>
    <s v="NO"/>
    <m/>
    <m/>
    <m/>
    <s v="2025_12_03"/>
    <s v="RomeAirport"/>
    <s v="Italy"/>
    <s v="VIA FRATELLI WRIGHT (DEPURATORE BIOLOGICO), FIUMICINO, 00054, Italy"/>
    <s v="2025-11-22"/>
    <s v="boxcontentlabel_template_outbound1.docx"/>
  </r>
  <r>
    <n v="97"/>
    <s v="outbound-kit 1"/>
    <n v="1"/>
    <d v="2025-12-17T00:00:00"/>
    <x v="51"/>
    <n v="49"/>
    <s v="2025-12"/>
    <x v="7"/>
    <s v="RomeAirport"/>
    <s v="-"/>
    <s v="-"/>
    <s v="-"/>
    <s v="-"/>
    <m/>
    <m/>
    <m/>
    <m/>
    <m/>
    <m/>
    <s v="NO"/>
    <m/>
    <m/>
    <m/>
    <s v="2025_12_17"/>
    <s v="RomeAirport"/>
    <s v="Italy"/>
    <s v="VIA FRATELLI WRIGHT (DEPURATORE BIOLOGICO), FIUMICINO, 00054, Italy"/>
    <s v="2025-12-06"/>
    <s v="boxcontentlabel_template_outbound1.docx"/>
  </r>
  <r>
    <n v="98"/>
    <s v="outbound-kit 1"/>
    <n v="4"/>
    <d v="2025-06-17T00:00:00"/>
    <x v="15"/>
    <n v="23"/>
    <s v="2025-06"/>
    <x v="8"/>
    <s v="Prague National Institute"/>
    <s v="Prague WWTP FLOW 1"/>
    <s v="Prague WWTP FLOW 2"/>
    <s v="Prague Airport"/>
    <s v="Prague Hospital"/>
    <s v="European Commission - JRC"/>
    <s v="Toon"/>
    <s v="Maikel"/>
    <m/>
    <s v="Maikel"/>
    <s v="1ZRJ7386DK06778024;1ZRJ7386DK04720437;1ZRJ7386DK05805246;1ZRJ7386DK01168451"/>
    <s v="YES"/>
    <s v="y"/>
    <m/>
    <m/>
    <s v="2025_06_17"/>
    <s v="Prague"/>
    <s v="Czech Republic"/>
    <s v="Šrobárova 49/48, Státní zdravotní ústav, Praha, 100 00, Czech Republic"/>
    <s v="2025-06-06"/>
    <s v="boxcontentlabel_template_outbound1.docx"/>
  </r>
  <r>
    <n v="99"/>
    <s v="outbound-kit 1"/>
    <n v="4"/>
    <d v="2025-07-01T00:00:00"/>
    <x v="16"/>
    <n v="25"/>
    <s v="2025-06"/>
    <x v="8"/>
    <s v="Prague National Institute"/>
    <s v="Prague WWTP FLOW 1"/>
    <s v="Prague WWTP FLOW 2"/>
    <s v="Prague Airport"/>
    <s v="Prague Hospital"/>
    <s v="European Commission - JRC"/>
    <s v="Maarten"/>
    <s v="Toon/Simon"/>
    <m/>
    <s v="Tom"/>
    <s v="1ZRJ7386DK26826532;1ZRJ7386DK25197349;1ZRJ7386DK32562556;1ZRJ7386DK27578166"/>
    <s v="YES"/>
    <s v="y"/>
    <m/>
    <m/>
    <s v="2025_07_01"/>
    <s v="Prague"/>
    <s v="Czech Republic"/>
    <s v="Šrobárova 49/48, Státní zdravotní ústav, Praha, 100 00, Czech Republic"/>
    <s v="2025-06-20"/>
    <s v="boxcontentlabel_template_outbound1.docx"/>
  </r>
  <r>
    <n v="100"/>
    <s v="outbound-kit 1"/>
    <n v="4"/>
    <d v="2025-07-15T00:00:00"/>
    <x v="17"/>
    <n v="27"/>
    <s v="2025-07"/>
    <x v="8"/>
    <s v="Prague National Institute"/>
    <s v="Prague WWTP FLOW 1"/>
    <s v="Prague WWTP FLOW 2"/>
    <s v="Prague Airport"/>
    <s v="Prague Hospital"/>
    <m/>
    <s v="Maarten"/>
    <s v="Toon/Simon"/>
    <m/>
    <s v="Tom"/>
    <s v="1ZRJ7386D919245643;1ZRJ7386D916464859;1ZRJ7386D913978461;1ZRJ7386D900202474"/>
    <s v="YES"/>
    <s v="y"/>
    <m/>
    <m/>
    <s v="2025_07_15"/>
    <s v="Prague"/>
    <s v="Czech Republic"/>
    <s v="Šrobárova 49/48, Státní zdravotní ústav, Praha, 100 00, Czech Republic"/>
    <s v="2025-07-04"/>
    <s v="boxcontentlabel_template_outbound1.docx"/>
  </r>
  <r>
    <n v="101"/>
    <s v="outbound-kit 1"/>
    <n v="3"/>
    <d v="2025-08-05T00:00:00"/>
    <x v="18"/>
    <n v="30"/>
    <s v="2025-07"/>
    <x v="8"/>
    <s v="Prague National Institute"/>
    <s v="Prague WWTP FLOW 1"/>
    <s v="Prague WWTP FLOW 2"/>
    <s v="Prague Airport"/>
    <s v="Prague Hospital"/>
    <m/>
    <s v="Maarten"/>
    <s v="Toon/Remco"/>
    <m/>
    <s v="Remco"/>
    <s v="1ZRJ7386D937458951;1ZRJ7386D927610563;1ZRJ7386D934148578"/>
    <s v="YES"/>
    <s v="y"/>
    <m/>
    <m/>
    <s v="2025_08_05"/>
    <s v="Prague"/>
    <s v="Czech Republic"/>
    <s v="Šrobárova 49/48, Státní zdravotní ústav, Praha, 100 00, Czech Republic"/>
    <s v="2025-07-25"/>
    <s v="boxcontentlabel_template_outbound1.docx"/>
  </r>
  <r>
    <n v="102"/>
    <s v="outbound-kit 1"/>
    <n v="4"/>
    <d v="2025-08-19T00:00:00"/>
    <x v="19"/>
    <n v="32"/>
    <s v="2025-08"/>
    <x v="8"/>
    <s v="Prague National Institute"/>
    <s v="Prague WWTP FLOW 1"/>
    <s v="Prague WWTP FLOW 2"/>
    <s v="Prague Airport"/>
    <s v="Prague Hospital"/>
    <m/>
    <s v="Maarten/Jelle"/>
    <s v="Toon/Daan"/>
    <m/>
    <s v="Jason"/>
    <s v="1ZRJ7386DK33838140;1ZRJ7386DK34995353;1ZRJ7386DK33882968;1ZRJ7386DK25796979"/>
    <s v="YES"/>
    <s v="y"/>
    <m/>
    <m/>
    <s v="2025_08_19"/>
    <s v="Prague"/>
    <s v="Czech Republic"/>
    <s v="Šrobárova 49/48, Státní zdravotní ústav, Praha, 100 00, Czech Republic"/>
    <s v="2025-08-08"/>
    <s v="boxcontentlabel_template_outbound1.docx"/>
  </r>
  <r>
    <n v="103"/>
    <s v="outbound-kit 1"/>
    <n v="4"/>
    <d v="2025-09-02T00:00:00"/>
    <x v="20"/>
    <n v="34"/>
    <s v="2025-08"/>
    <x v="8"/>
    <s v="Prague National Institute"/>
    <s v="Prague WWTP FLOW 1"/>
    <s v="Prague WWTP FLOW 2"/>
    <s v="Prague Airport"/>
    <s v="Prague Hospital"/>
    <m/>
    <s v="Daan"/>
    <s v="Toon / Remco"/>
    <m/>
    <s v="Tom"/>
    <s v="1ZRJ7386DK30398345; 1ZRJ7386DK26003555; 1ZRJ7386DK26859168; 1ZRJ7386DK33061176"/>
    <s v="YES"/>
    <s v="y"/>
    <m/>
    <m/>
    <s v="2025_09_02"/>
    <s v="Prague"/>
    <s v="Czech Republic"/>
    <s v="Šrobárova 49/48, Státní zdravotní ústav, Praha, 100 00, Czech Republic"/>
    <s v="2025-08-22"/>
    <s v="boxcontentlabel_template_outbound1.docx"/>
  </r>
  <r>
    <n v="104"/>
    <s v="outbound-kit 1"/>
    <n v="4"/>
    <d v="2025-09-16T00:00:00"/>
    <x v="21"/>
    <n v="36"/>
    <s v="2025-09"/>
    <x v="8"/>
    <s v="Prague National Institute"/>
    <s v="Prague WWTP FLOW 1"/>
    <s v="Prague WWTP FLOW 2"/>
    <s v="Prague Airport"/>
    <s v="Prague Hospital"/>
    <m/>
    <s v="Daan"/>
    <s v="Remco"/>
    <m/>
    <s v="Remco"/>
    <s v="1ZRJ7386DK36482000;1ZRJ7386DK32165619;1ZRJ7386DK31915622;1ZRJ7386DK31668033"/>
    <s v="YES"/>
    <s v="y"/>
    <m/>
    <m/>
    <s v="2025_09_16"/>
    <s v="Prague"/>
    <s v="Czech Republic"/>
    <s v="Šrobárova 49/48, Státní zdravotní ústav, Praha, 100 00, Czech Republic"/>
    <s v="2025-09-05"/>
    <s v="boxcontentlabel_template_outbound1.docx"/>
  </r>
  <r>
    <n v="105"/>
    <s v="outbound-kit 1"/>
    <n v="4"/>
    <d v="2025-10-07T00:00:00"/>
    <x v="22"/>
    <n v="39"/>
    <s v="2025-09"/>
    <x v="8"/>
    <s v="Prague National Institute"/>
    <s v="Prague WWTP FLOW 1"/>
    <s v="Prague WWTP FLOW 2"/>
    <s v="Prague Airport"/>
    <s v="Prague Hospital"/>
    <m/>
    <s v="Maarten"/>
    <m/>
    <m/>
    <s v="Remco"/>
    <s v="1ZRJ7386DK35602506;1ZRJ7386DK20206114;1ZRJ7386DK29676127;1ZRJ7386DK31948534"/>
    <s v="YES"/>
    <s v="y"/>
    <m/>
    <m/>
    <s v="2025_10_07"/>
    <s v="Prague"/>
    <s v="Czech Republic"/>
    <s v="Šrobárova 49/48, Státní zdravotní ústav, Praha, 100 00, Czech Republic"/>
    <s v="2025-09-26"/>
    <s v="boxcontentlabel_template_outbound1.docx"/>
  </r>
  <r>
    <n v="106"/>
    <s v="outbound-kit 1"/>
    <n v="4"/>
    <d v="2025-10-21T00:00:00"/>
    <x v="23"/>
    <n v="41"/>
    <s v="2025-10"/>
    <x v="8"/>
    <s v="Prague National Institute"/>
    <s v="Prague WWTP FLOW 1"/>
    <s v="Prague WWTP FLOW 2"/>
    <s v="Prague Airport"/>
    <s v="Prague Hospital"/>
    <m/>
    <m/>
    <m/>
    <m/>
    <s v="Remco"/>
    <s v="1ZRJ7386DK34246617;1ZRJ7386DK33436628;1ZRJ7386DK38229030;1ZRJ7386DK33199840"/>
    <s v="YES"/>
    <m/>
    <m/>
    <m/>
    <s v="2025_10_21"/>
    <s v="Prague"/>
    <s v="Czech Republic"/>
    <s v="Šrobárova 49/48, Státní zdravotní ústav, Praha, 100 00, Czech Republic"/>
    <s v="2025-10-10"/>
    <s v="boxcontentlabel_template_outbound1.docx"/>
  </r>
  <r>
    <n v="107"/>
    <s v="outbound-kit 1"/>
    <n v="4"/>
    <d v="2025-11-04T00:00:00"/>
    <x v="24"/>
    <n v="43"/>
    <s v="2025-10"/>
    <x v="8"/>
    <s v="Prague National Institute"/>
    <s v="Prague WWTP FLOW 1"/>
    <s v="Prague WWTP FLOW 2"/>
    <s v="Prague Airport"/>
    <s v="Prague Hospital"/>
    <m/>
    <m/>
    <m/>
    <m/>
    <s v="Jason"/>
    <s v="1ZRJ7386DK09890987;1ZRJ7386DK00127792;1ZRJ7386DK01923009;1ZRJ7386DK12652611"/>
    <s v="YES"/>
    <m/>
    <m/>
    <m/>
    <s v="2025_11_04"/>
    <s v="Prague"/>
    <s v="Czech Republic"/>
    <s v="Šrobárova 49/48, Státní zdravotní ústav, Praha, 100 00, Czech Republic"/>
    <s v="2025-10-24"/>
    <s v="boxcontentlabel_template_outbound1.docx"/>
  </r>
  <r>
    <n v="108"/>
    <s v="outbound-kit 1"/>
    <n v="4"/>
    <d v="2025-11-18T00:00:00"/>
    <x v="25"/>
    <n v="45"/>
    <s v="2025-11"/>
    <x v="8"/>
    <s v="Prague National Institute"/>
    <s v="Prague WWTP FLOW 1"/>
    <s v="Prague WWTP FLOW 2"/>
    <s v="Prague Airport"/>
    <s v="Prague Hospital"/>
    <m/>
    <m/>
    <m/>
    <m/>
    <m/>
    <m/>
    <s v="NO"/>
    <m/>
    <m/>
    <m/>
    <s v="2025_11_18"/>
    <s v="Prague"/>
    <s v="Czech Republic"/>
    <s v="Šrobárova 49/48, Státní zdravotní ústav, Praha, 100 00, Czech Republic"/>
    <s v="2025-11-07"/>
    <s v="boxcontentlabel_template_outbound1.docx"/>
  </r>
  <r>
    <n v="109"/>
    <s v="outbound-kit 1"/>
    <n v="4"/>
    <d v="2025-12-02T00:00:00"/>
    <x v="26"/>
    <n v="47"/>
    <s v="2025-11"/>
    <x v="8"/>
    <s v="Prague National Institute"/>
    <s v="Prague WWTP FLOW 1"/>
    <s v="Prague WWTP FLOW 2"/>
    <s v="Prague Airport"/>
    <s v="Prague Hospital"/>
    <m/>
    <m/>
    <m/>
    <m/>
    <m/>
    <m/>
    <s v="NO"/>
    <m/>
    <m/>
    <m/>
    <s v="2025_12_02"/>
    <s v="Prague"/>
    <s v="Czech Republic"/>
    <s v="Šrobárova 49/48, Státní zdravotní ústav, Praha, 100 00, Czech Republic"/>
    <s v="2025-11-21"/>
    <s v="boxcontentlabel_template_outbound1.docx"/>
  </r>
  <r>
    <n v="110"/>
    <s v="outbound-kit 1"/>
    <n v="4"/>
    <d v="2025-12-16T00:00:00"/>
    <x v="27"/>
    <n v="49"/>
    <s v="2025-12"/>
    <x v="8"/>
    <s v="Prague National Institute"/>
    <s v="Prague WWTP FLOW 1"/>
    <s v="Prague WWTP FLOW 2"/>
    <s v="Prague Airport"/>
    <s v="Prague Hospital"/>
    <m/>
    <m/>
    <m/>
    <m/>
    <m/>
    <m/>
    <s v="NO"/>
    <m/>
    <m/>
    <m/>
    <s v="2025_12_16"/>
    <s v="Prague"/>
    <s v="Czech Republic"/>
    <s v="Šrobárova 49/48, Státní zdravotní ústav, Praha, 100 00, Czech Republic"/>
    <s v="2025-12-05"/>
    <s v="boxcontentlabel_template_outbound1.docx"/>
  </r>
  <r>
    <n v="111"/>
    <s v="outbound-kit 1"/>
    <n v="2"/>
    <d v="2025-06-17T00:00:00"/>
    <x v="15"/>
    <n v="23"/>
    <s v="2025-06"/>
    <x v="9"/>
    <s v="Larnaca WWTP"/>
    <s v="Larnaca Airport"/>
    <m/>
    <n v="0"/>
    <n v="0"/>
    <s v="European Commission - JRC"/>
    <s v="Maarten"/>
    <s v="Toon"/>
    <s v="0082_WWI_00001_Q9F_08_x000a_0082_WWI_00001_Q9F_07_x000a_0082_WWI_00001_Q9F_06_x000a_0082_WWI_00001_Q9F_05_x000a_0082_WWI_00001_Q9F_04_x000a_0082_WWI_00001_Q9F_03_x000a_0082_WWI_00001_Q9F_02_x000a_0082_WWI_00001_Q9F_01 &amp; 0082_WWI_00001_Z4M_08_x000a_0082_WWI_00001_Z4M_07_x000a_0082_WWI_00001_Z4M_06_x000a_0082_WWI_00001_Z4M_05_x000a_0082_WWI_00001_Z4M_04_x000a_0082_WWI_00001_Z4M_03_x000a_0082_WWI_00001_Z4M_02_x000a_0082_WWI_00001_Z4M_01"/>
    <s v="Tom"/>
    <s v="1ZRJ7386D334988074;1ZRJ7386D332128489"/>
    <s v="YES"/>
    <s v="y"/>
    <m/>
    <m/>
    <s v="2025_06_17"/>
    <s v="Larnaca"/>
    <s v="Cyprus"/>
    <s v="Adamantiou Korai street 12, Larnaca District Local Government Organization offices, Larnaca, 6010, Cyprus"/>
    <s v="2025-06-06"/>
    <s v="boxcontentlabel_template_outbound1.docx"/>
  </r>
  <r>
    <n v="112"/>
    <s v="outbound-kit 1"/>
    <n v="2"/>
    <d v="2025-07-01T00:00:00"/>
    <x v="16"/>
    <n v="25"/>
    <s v="2025-06"/>
    <x v="9"/>
    <s v="Larnaca WWTP"/>
    <s v="Larnaca Airport"/>
    <m/>
    <n v="0"/>
    <n v="0"/>
    <s v="European Commission - JRC"/>
    <s v="Maarten"/>
    <s v="Toon/Simon"/>
    <m/>
    <s v="Tom"/>
    <s v="1ZRJ7386D917936650;1ZRJ7386D917402262"/>
    <s v="YES"/>
    <s v="y"/>
    <m/>
    <m/>
    <s v="2025_07_01"/>
    <s v="Larnaca"/>
    <s v="Cyprus"/>
    <s v="Adamantiou Korai street 12, Larnaca District Local Government Organization offices, Larnaca, 6010, Cyprus"/>
    <s v="2025-06-20"/>
    <s v="boxcontentlabel_template_outbound1.docx"/>
  </r>
  <r>
    <n v="113"/>
    <s v="outbound-kit 1"/>
    <n v="2"/>
    <d v="2025-07-15T00:00:00"/>
    <x v="17"/>
    <n v="27"/>
    <s v="2025-07"/>
    <x v="9"/>
    <s v="Larnaca WWTP"/>
    <s v="Larnaca Airport"/>
    <m/>
    <n v="0"/>
    <n v="0"/>
    <m/>
    <s v="Maarten"/>
    <s v="Toon/Maikel"/>
    <m/>
    <s v="Tom"/>
    <s v="1ZRJ7386D909792884;1ZRJ7386D917245692"/>
    <s v="YES"/>
    <s v="y"/>
    <m/>
    <m/>
    <s v="2025_07_15"/>
    <s v="Larnaca"/>
    <s v="Cyprus"/>
    <s v="Adamantiou Korai street 12, Larnaca District Local Government Organization offices, Larnaca, 6010, Cyprus"/>
    <s v="2025-07-04"/>
    <s v="boxcontentlabel_template_outbound1.docx"/>
  </r>
  <r>
    <n v="114"/>
    <s v="outbound-kit 1"/>
    <n v="2"/>
    <d v="2025-08-05T00:00:00"/>
    <x v="18"/>
    <n v="30"/>
    <s v="2025-07"/>
    <x v="9"/>
    <s v="Larnaca WWTP"/>
    <s v="Larnaca Airport"/>
    <m/>
    <n v="0"/>
    <n v="0"/>
    <m/>
    <s v="Maarten"/>
    <s v="Toon/Remco/Jason"/>
    <m/>
    <s v="Remco"/>
    <s v="1ZRJ7386D929808981;1ZRJ7386D923967794"/>
    <s v="YES"/>
    <s v="y"/>
    <m/>
    <m/>
    <s v="2025_08_05"/>
    <s v="Larnaca"/>
    <s v="Cyprus"/>
    <s v="Adamantiou Korai street 12, Larnaca District Local Government Organization offices, Larnaca, 6010, Cyprus"/>
    <s v="2025-07-25"/>
    <s v="boxcontentlabel_template_outbound1.docx"/>
  </r>
  <r>
    <n v="115"/>
    <s v="outbound-kit 1"/>
    <n v="2"/>
    <d v="2025-08-19T00:00:00"/>
    <x v="19"/>
    <n v="32"/>
    <s v="2025-08"/>
    <x v="9"/>
    <s v="Larnaca WWTP"/>
    <s v="Larnaca Airport"/>
    <m/>
    <n v="0"/>
    <n v="0"/>
    <m/>
    <s v="Maarten/Jelle"/>
    <s v="Toon/Daan"/>
    <m/>
    <s v="Jason"/>
    <s v="1ZRJ7386D907985358;1ZRJ7386D918618966"/>
    <s v="YES"/>
    <s v="y"/>
    <m/>
    <m/>
    <s v="2025_08_19"/>
    <s v="Larnaca"/>
    <s v="Cyprus"/>
    <s v="Adamantiou Korai street 12, Larnaca District Local Government Organization offices, Larnaca, 6010, Cyprus"/>
    <s v="2025-08-08"/>
    <s v="boxcontentlabel_template_outbound1.docx"/>
  </r>
  <r>
    <n v="116"/>
    <s v="outbound-kit 1"/>
    <n v="2"/>
    <d v="2025-09-02T00:00:00"/>
    <x v="20"/>
    <n v="34"/>
    <s v="2025-08"/>
    <x v="9"/>
    <s v="Larnaca WWTP"/>
    <s v="Larnaca Airport"/>
    <m/>
    <n v="0"/>
    <n v="0"/>
    <m/>
    <s v="Daan"/>
    <s v="Toon / Remco"/>
    <m/>
    <s v="Tom"/>
    <s v="1ZRJ7386D927745589; 1ZRJ7386D926688394"/>
    <s v="YES"/>
    <s v="y"/>
    <m/>
    <m/>
    <s v="2025_09_02"/>
    <s v="Larnaca"/>
    <s v="Cyprus"/>
    <s v="Adamantiou Korai street 12, Larnaca District Local Government Organization offices, Larnaca, 6010, Cyprus"/>
    <s v="2025-08-22"/>
    <s v="boxcontentlabel_template_outbound1.docx"/>
  </r>
  <r>
    <n v="117"/>
    <s v="outbound-kit 1"/>
    <n v="2"/>
    <d v="2025-09-16T00:00:00"/>
    <x v="21"/>
    <n v="36"/>
    <s v="2025-09"/>
    <x v="9"/>
    <s v="Larnaca WWTP"/>
    <s v="Larnaca Airport"/>
    <m/>
    <n v="0"/>
    <n v="0"/>
    <m/>
    <s v="Daan"/>
    <s v="Remco"/>
    <m/>
    <s v="Remco"/>
    <s v="1ZRJ73860431998848;1ZRJ73860431724053"/>
    <s v="YES"/>
    <s v="y"/>
    <m/>
    <m/>
    <s v="2025_09_16"/>
    <s v="Larnaca"/>
    <s v="Cyprus"/>
    <s v="Adamantiou Korai street 12, Larnaca District Local Government Organization offices, Larnaca, 6010, Cyprus"/>
    <s v="2025-09-05"/>
    <s v="boxcontentlabel_template_outbound1.docx"/>
  </r>
  <r>
    <n v="118"/>
    <s v="outbound-kit 1"/>
    <n v="2"/>
    <d v="2025-10-07T00:00:00"/>
    <x v="22"/>
    <n v="39"/>
    <s v="2025-09"/>
    <x v="9"/>
    <s v="Larnaca WWTP"/>
    <s v="Larnaca Airport"/>
    <m/>
    <n v="0"/>
    <n v="0"/>
    <m/>
    <s v="Maarten"/>
    <m/>
    <m/>
    <s v="Remco"/>
    <s v="1ZRJ7386D939599340;1ZRJ7386D923444554"/>
    <s v="YES"/>
    <s v="y"/>
    <m/>
    <m/>
    <s v="2025_10_07"/>
    <s v="Larnaca"/>
    <s v="Cyprus"/>
    <s v="Adamantiou Korai street 12, Larnaca District Local Government Organization offices, Larnaca, 6010, Cyprus"/>
    <s v="2025-09-26"/>
    <s v="boxcontentlabel_template_outbound1.docx"/>
  </r>
  <r>
    <n v="119"/>
    <s v="outbound-kit 1"/>
    <n v="2"/>
    <d v="2025-10-21T00:00:00"/>
    <x v="23"/>
    <n v="41"/>
    <s v="2025-10"/>
    <x v="9"/>
    <s v="Larnaca WWTP"/>
    <s v="Larnaca Airport"/>
    <m/>
    <n v="0"/>
    <n v="0"/>
    <m/>
    <m/>
    <m/>
    <m/>
    <s v="Remco"/>
    <s v="1ZRJ7386D927969794;1ZRJ7386D920723007"/>
    <s v="YES"/>
    <m/>
    <m/>
    <s v="Zendingen retour afzender gestuurd door UPS. Opnieuw verzonden met nieuwe outbound labels, zie ID 250"/>
    <s v="2025_10_21"/>
    <s v="Larnaca"/>
    <s v="Cyprus"/>
    <s v="Adamantiou Korai street 12, Larnaca District Local Government Organization offices, Larnaca, 6010, Cyprus"/>
    <s v="2025-10-10"/>
    <s v="boxcontentlabel_template_outbound1.docx"/>
  </r>
  <r>
    <n v="120"/>
    <s v="outbound-kit 1"/>
    <n v="2"/>
    <d v="2025-11-04T00:00:00"/>
    <x v="24"/>
    <n v="43"/>
    <s v="2025-10"/>
    <x v="9"/>
    <s v="Larnaca WWTP"/>
    <s v="Larnaca Airport"/>
    <m/>
    <n v="0"/>
    <n v="0"/>
    <m/>
    <m/>
    <m/>
    <m/>
    <s v="Jason"/>
    <s v="1ZRJ7386D922342817; 1ZRJ7386D924620825"/>
    <s v="YES"/>
    <m/>
    <m/>
    <m/>
    <s v="2025_11_04"/>
    <s v="Larnaca"/>
    <s v="Cyprus"/>
    <s v="Adamantiou Korai street 12, Larnaca District Local Government Organization offices, Larnaca, 6010, Cyprus"/>
    <s v="2025-10-24"/>
    <s v="boxcontentlabel_template_outbound1.docx"/>
  </r>
  <r>
    <n v="121"/>
    <s v="outbound-kit 1"/>
    <n v="2"/>
    <d v="2025-11-18T00:00:00"/>
    <x v="25"/>
    <n v="45"/>
    <s v="2025-11"/>
    <x v="9"/>
    <s v="Larnaca WWTP"/>
    <s v="Larnaca Airport"/>
    <m/>
    <n v="0"/>
    <n v="0"/>
    <m/>
    <m/>
    <m/>
    <m/>
    <m/>
    <m/>
    <s v="NO"/>
    <m/>
    <m/>
    <m/>
    <s v="2025_11_18"/>
    <s v="Larnaca"/>
    <s v="Cyprus"/>
    <s v="Adamantiou Korai street 12, Larnaca District Local Government Organization offices, Larnaca, 6010, Cyprus"/>
    <s v="2025-11-07"/>
    <s v="boxcontentlabel_template_outbound1.docx"/>
  </r>
  <r>
    <n v="122"/>
    <s v="outbound-kit 1"/>
    <n v="2"/>
    <d v="2025-12-02T00:00:00"/>
    <x v="26"/>
    <n v="47"/>
    <s v="2025-11"/>
    <x v="9"/>
    <s v="Larnaca WWTP"/>
    <s v="Larnaca Airport"/>
    <m/>
    <n v="0"/>
    <n v="0"/>
    <m/>
    <m/>
    <m/>
    <m/>
    <m/>
    <m/>
    <s v="NO"/>
    <m/>
    <m/>
    <m/>
    <s v="2025_12_02"/>
    <s v="Larnaca"/>
    <s v="Cyprus"/>
    <s v="Adamantiou Korai street 12, Larnaca District Local Government Organization offices, Larnaca, 6010, Cyprus"/>
    <s v="2025-11-21"/>
    <s v="boxcontentlabel_template_outbound1.docx"/>
  </r>
  <r>
    <n v="123"/>
    <s v="outbound-kit 1"/>
    <n v="2"/>
    <d v="2025-12-16T00:00:00"/>
    <x v="27"/>
    <n v="49"/>
    <s v="2025-12"/>
    <x v="9"/>
    <s v="Larnaca WWTP"/>
    <s v="Larnaca Airport"/>
    <m/>
    <n v="0"/>
    <n v="0"/>
    <m/>
    <m/>
    <m/>
    <m/>
    <m/>
    <m/>
    <s v="NO"/>
    <m/>
    <m/>
    <m/>
    <s v="2025_12_16"/>
    <s v="Larnaca"/>
    <s v="Cyprus"/>
    <s v="Adamantiou Korai street 12, Larnaca District Local Government Organization offices, Larnaca, 6010, Cyprus"/>
    <s v="2025-12-05"/>
    <s v="boxcontentlabel_template_outbound1.docx"/>
  </r>
  <r>
    <n v="124"/>
    <s v="outbound-kit 1"/>
    <n v="2"/>
    <d v="2025-07-01T00:00:00"/>
    <x v="16"/>
    <n v="25"/>
    <s v="2025-06"/>
    <x v="10"/>
    <s v="Dusseldorf WWTP 2101"/>
    <s v="Dusseldorf WWTP 601"/>
    <m/>
    <n v="0"/>
    <n v="0"/>
    <m/>
    <s v="Maarten"/>
    <s v="Toon / Maikel"/>
    <m/>
    <s v="Remco"/>
    <s v="1ZRJ7386D903210370;1ZRJ7386D917856782"/>
    <s v="YES"/>
    <m/>
    <m/>
    <m/>
    <s v="2025_07_01"/>
    <s v="Dusseldorf"/>
    <s v="Germany"/>
    <s v="Auf dem Draap 15, Chemisch-Biologische Laboratorien, Dusseldorf, 40221, Germany"/>
    <s v="2025-06-20"/>
    <s v="boxcontentlabel_template_outbound1.docx"/>
  </r>
  <r>
    <n v="125"/>
    <s v="outbound-kit 1"/>
    <n v="2"/>
    <d v="2025-07-15T00:00:00"/>
    <x v="17"/>
    <n v="27"/>
    <s v="2025-07"/>
    <x v="10"/>
    <s v="Dusseldorf WWTP 2101"/>
    <s v="Dusseldorf WWTP 601"/>
    <m/>
    <n v="0"/>
    <n v="0"/>
    <m/>
    <s v="Maarten"/>
    <s v="Toon/Maikel"/>
    <m/>
    <s v="Tom"/>
    <s v="1ZRJ7386DK14496902;1ZRJ7386DK12522510"/>
    <s v="YES"/>
    <s v="y"/>
    <m/>
    <m/>
    <s v="2025_07_15"/>
    <s v="Dusseldorf"/>
    <s v="Germany"/>
    <s v="Auf dem Draap 15, Chemisch-Biologische Laboratorien, Dusseldorf, 40221, Germany"/>
    <s v="2025-07-04"/>
    <s v="boxcontentlabel_template_outbound1.docx"/>
  </r>
  <r>
    <n v="126"/>
    <s v="outbound-kit 1"/>
    <n v="2"/>
    <d v="2025-08-05T00:00:00"/>
    <x v="18"/>
    <n v="30"/>
    <s v="2025-07"/>
    <x v="10"/>
    <s v="Dusseldorf WWTP 2101"/>
    <s v="Dusseldorf WWTP 601"/>
    <m/>
    <n v="0"/>
    <n v="0"/>
    <m/>
    <m/>
    <m/>
    <m/>
    <s v="Remco"/>
    <s v="1ZRJ7386D900225100;1ZRJ7386D904298712"/>
    <s v="YES"/>
    <s v="y"/>
    <m/>
    <m/>
    <s v="2025_08_05"/>
    <s v="Dusseldorf"/>
    <s v="Germany"/>
    <s v="Auf dem Draap 15, Chemisch-Biologische Laboratorien, Dusseldorf, 40221, Germany"/>
    <s v="2025-07-25"/>
    <s v="boxcontentlabel_template_outbound1.docx"/>
  </r>
  <r>
    <n v="127"/>
    <s v="outbound-kit 1"/>
    <n v="2"/>
    <d v="2025-08-19T00:00:00"/>
    <x v="19"/>
    <n v="32"/>
    <s v="2025-08"/>
    <x v="10"/>
    <s v="Dusseldorf WWTP 2101"/>
    <s v="Dusseldorf WWTP 601"/>
    <m/>
    <n v="0"/>
    <n v="0"/>
    <m/>
    <s v="Maarten/Jelle"/>
    <s v="Toon/Daan"/>
    <m/>
    <s v="Jason"/>
    <s v="1ZRJ7386D914762978;1ZRJ7386D903073386"/>
    <s v="YES"/>
    <s v="y"/>
    <m/>
    <m/>
    <s v="2025_08_19"/>
    <s v="Dusseldorf"/>
    <s v="Germany"/>
    <s v="Auf dem Draap 15, Chemisch-Biologische Laboratorien, Dusseldorf, 40221, Germany"/>
    <s v="2025-08-08"/>
    <s v="boxcontentlabel_template_outbound1.docx"/>
  </r>
  <r>
    <n v="128"/>
    <s v="outbound-kit 1"/>
    <n v="2"/>
    <d v="2025-09-02T00:00:00"/>
    <x v="20"/>
    <n v="34"/>
    <s v="2025-08"/>
    <x v="10"/>
    <s v="Dusseldorf WWTP 2101"/>
    <s v="Dusseldorf WWTP 601"/>
    <m/>
    <n v="0"/>
    <n v="0"/>
    <m/>
    <s v="Daan"/>
    <s v="Toon / Remco"/>
    <m/>
    <s v="Tom"/>
    <s v="1ZRJ7386D931905602; 1ZRJ7386D929253213"/>
    <s v="YES"/>
    <s v="y"/>
    <m/>
    <m/>
    <s v="2025_09_02"/>
    <s v="Dusseldorf"/>
    <s v="Germany"/>
    <s v="Auf dem Draap 15, Chemisch-Biologische Laboratorien, Dusseldorf, 40221, Germany"/>
    <s v="2025-08-22"/>
    <s v="boxcontentlabel_template_outbound1.docx"/>
  </r>
  <r>
    <n v="129"/>
    <s v="outbound-kit 1"/>
    <n v="2"/>
    <d v="2025-09-16T00:00:00"/>
    <x v="21"/>
    <n v="36"/>
    <s v="2025-09"/>
    <x v="10"/>
    <s v="Dusseldorf WWTP 2101"/>
    <s v="Dusseldorf WWTP 601"/>
    <m/>
    <n v="0"/>
    <n v="0"/>
    <m/>
    <s v="Daan"/>
    <s v="Remco"/>
    <m/>
    <s v="Remco"/>
    <s v="1ZRJ7386DK25499666;1ZRJ7386DK25421677"/>
    <s v="YES"/>
    <s v="y"/>
    <m/>
    <m/>
    <s v="2025_09_16"/>
    <s v="Dusseldorf"/>
    <s v="Germany"/>
    <s v="Auf dem Draap 15, Chemisch-Biologische Laboratorien, Dusseldorf, 40221, Germany"/>
    <s v="2025-09-05"/>
    <s v="boxcontentlabel_template_outbound1.docx"/>
  </r>
  <r>
    <n v="130"/>
    <s v="outbound-kit 1"/>
    <n v="2"/>
    <d v="2025-10-07T00:00:00"/>
    <x v="22"/>
    <n v="39"/>
    <s v="2025-09"/>
    <x v="10"/>
    <s v="Dusseldorf WWTP 2101"/>
    <s v="Dusseldorf WWTP 601"/>
    <m/>
    <n v="0"/>
    <n v="0"/>
    <m/>
    <s v="Maarten"/>
    <m/>
    <m/>
    <s v="Remco"/>
    <s v="1ZRJ7386DK30140167;1ZRJ7386DK23782175"/>
    <s v="YES"/>
    <s v="y"/>
    <m/>
    <m/>
    <s v="2025_10_07"/>
    <s v="Dusseldorf"/>
    <s v="Germany"/>
    <s v="Auf dem Draap 15, Chemisch-Biologische Laboratorien, Dusseldorf, 40221, Germany"/>
    <s v="2025-09-26"/>
    <s v="boxcontentlabel_template_outbound1.docx"/>
  </r>
  <r>
    <n v="131"/>
    <s v="outbound-kit 1"/>
    <n v="2"/>
    <d v="2025-10-21T00:00:00"/>
    <x v="23"/>
    <n v="41"/>
    <s v="2025-10"/>
    <x v="10"/>
    <s v="Dusseldorf WWTP 2101"/>
    <s v="Dusseldorf WWTP 601"/>
    <m/>
    <n v="0"/>
    <n v="0"/>
    <m/>
    <m/>
    <m/>
    <m/>
    <s v="Remco"/>
    <s v="1ZRJ7386DK16607592;1ZRJ7386DK05474809"/>
    <s v="YES"/>
    <m/>
    <m/>
    <m/>
    <s v="2025_10_21"/>
    <s v="Dusseldorf"/>
    <s v="Germany"/>
    <s v="Auf dem Draap 15, Chemisch-Biologische Laboratorien, Dusseldorf, 40221, Germany"/>
    <s v="2025-10-10"/>
    <s v="boxcontentlabel_template_outbound1.docx"/>
  </r>
  <r>
    <n v="132"/>
    <s v="outbound-kit 1"/>
    <n v="2"/>
    <d v="2025-11-04T00:00:00"/>
    <x v="24"/>
    <n v="43"/>
    <s v="2025-10"/>
    <x v="10"/>
    <s v="Dusseldorf WWTP 2101"/>
    <s v="Dusseldorf WWTP 601"/>
    <m/>
    <n v="0"/>
    <n v="0"/>
    <m/>
    <m/>
    <m/>
    <m/>
    <s v="Jason"/>
    <s v="1ZRJ7386D910332627; 1ZRJ7386D903219031"/>
    <s v="YES"/>
    <m/>
    <m/>
    <m/>
    <s v="2025_11_04"/>
    <s v="Dusseldorf"/>
    <s v="Germany"/>
    <s v="Auf dem Draap 15, Chemisch-Biologische Laboratorien, Dusseldorf, 40221, Germany"/>
    <s v="2025-10-24"/>
    <s v="boxcontentlabel_template_outbound1.docx"/>
  </r>
  <r>
    <n v="133"/>
    <s v="outbound-kit 1"/>
    <n v="2"/>
    <d v="2025-11-18T00:00:00"/>
    <x v="25"/>
    <n v="45"/>
    <s v="2025-11"/>
    <x v="10"/>
    <s v="Dusseldorf WWTP 2101"/>
    <s v="Dusseldorf WWTP 601"/>
    <m/>
    <n v="0"/>
    <n v="0"/>
    <m/>
    <m/>
    <m/>
    <m/>
    <m/>
    <m/>
    <s v="NO"/>
    <m/>
    <m/>
    <m/>
    <s v="2025_11_18"/>
    <s v="Dusseldorf"/>
    <s v="Germany"/>
    <s v="Auf dem Draap 15, Chemisch-Biologische Laboratorien, Dusseldorf, 40221, Germany"/>
    <s v="2025-11-07"/>
    <s v="boxcontentlabel_template_outbound1.docx"/>
  </r>
  <r>
    <n v="134"/>
    <s v="outbound-kit 1"/>
    <n v="2"/>
    <d v="2025-12-02T00:00:00"/>
    <x v="26"/>
    <n v="47"/>
    <s v="2025-11"/>
    <x v="10"/>
    <s v="Dusseldorf WWTP 2101"/>
    <s v="Dusseldorf WWTP 601"/>
    <m/>
    <n v="0"/>
    <n v="0"/>
    <m/>
    <m/>
    <m/>
    <m/>
    <m/>
    <m/>
    <s v="NO"/>
    <m/>
    <m/>
    <m/>
    <s v="2025_12_02"/>
    <s v="Dusseldorf"/>
    <s v="Germany"/>
    <s v="Auf dem Draap 15, Chemisch-Biologische Laboratorien, Dusseldorf, 40221, Germany"/>
    <s v="2025-11-21"/>
    <s v="boxcontentlabel_template_outbound1.docx"/>
  </r>
  <r>
    <n v="135"/>
    <s v="outbound-kit 1"/>
    <n v="2"/>
    <d v="2025-12-16T00:00:00"/>
    <x v="27"/>
    <n v="49"/>
    <s v="2025-12"/>
    <x v="10"/>
    <s v="Dusseldorf WWTP 2101"/>
    <s v="Dusseldorf WWTP 601"/>
    <m/>
    <n v="0"/>
    <n v="0"/>
    <m/>
    <m/>
    <m/>
    <m/>
    <m/>
    <m/>
    <s v="NO"/>
    <m/>
    <m/>
    <m/>
    <s v="2025_12_16"/>
    <s v="Dusseldorf"/>
    <s v="Germany"/>
    <s v="Auf dem Draap 15, Chemisch-Biologische Laboratorien, Dusseldorf, 40221, Germany"/>
    <s v="2025-12-05"/>
    <s v="boxcontentlabel_template_outbound1.docx"/>
  </r>
  <r>
    <n v="136"/>
    <s v="outbound-kit 1"/>
    <n v="2"/>
    <d v="2025-07-15T00:00:00"/>
    <x v="17"/>
    <n v="27"/>
    <s v="2025-07"/>
    <x v="5"/>
    <s v="Luxembourg (Beggen) WWTP"/>
    <s v="Luxembourg Airport"/>
    <s v="-"/>
    <s v="-"/>
    <s v="-"/>
    <s v="European Commission - JRC"/>
    <s v="Maarten"/>
    <s v="Toon/Maikel/Simon"/>
    <m/>
    <s v="Tom + Remco"/>
    <s v="1ZRJ7386DK29247591;1ZRJ7386D904753050"/>
    <s v="YES"/>
    <s v="y"/>
    <m/>
    <m/>
    <s v="2025_07_15"/>
    <s v="Luxembourg"/>
    <s v="Luxembourg"/>
    <s v="41 rue du Brill, Luxembourg, L-4422 , Luxembourg"/>
    <s v="2025-07-04"/>
    <s v="boxcontentlabel_template_outbound1.docx"/>
  </r>
  <r>
    <n v="137"/>
    <s v="outbound-kit 1"/>
    <n v="3"/>
    <d v="2025-07-22T00:00:00"/>
    <x v="52"/>
    <n v="28"/>
    <s v="2025-07"/>
    <x v="11"/>
    <s v="Vilnius WWTP"/>
    <s v="Vilnius Bus Terminal"/>
    <m/>
    <n v="0"/>
    <n v="0"/>
    <m/>
    <s v="Maarten"/>
    <s v="Toon/Simon"/>
    <m/>
    <s v="Remco"/>
    <s v="1ZRJ7386D932637641;1ZRJ7386D925674856;1ZRJ7386D927642467"/>
    <s v="YES"/>
    <s v="y"/>
    <m/>
    <m/>
    <s v="2025_07_22"/>
    <s v="Vilnius"/>
    <s v="Lithuania"/>
    <s v="Zolyno 36 gatve, Vilnius, 10210, Lithuania"/>
    <s v="2025-07-11"/>
    <s v="boxcontentlabel_template_outbound1.docx"/>
  </r>
  <r>
    <n v="138"/>
    <s v="outbound-kit 1"/>
    <n v="3"/>
    <d v="2025-08-05T00:00:00"/>
    <x v="18"/>
    <n v="30"/>
    <s v="2025-07"/>
    <x v="11"/>
    <s v="Vilnius WWTP"/>
    <s v="Vilnius Bus Terminal"/>
    <m/>
    <n v="0"/>
    <n v="0"/>
    <m/>
    <s v="Maarten"/>
    <s v="Toon/Remco/Jason"/>
    <m/>
    <s v="Remco"/>
    <s v="1ZRJ7386D915482724;1ZRJ7386D904433137;1ZRJ7386D901645940"/>
    <s v="YES"/>
    <s v="y"/>
    <m/>
    <m/>
    <s v="2025_08_05"/>
    <s v="Vilnius"/>
    <s v="Lithuania"/>
    <s v="Zolyno 36 gatve, Vilnius, 10210, Lithuania"/>
    <s v="2025-07-25"/>
    <s v="boxcontentlabel_template_outbound1.docx"/>
  </r>
  <r>
    <n v="139"/>
    <s v="outbound-kit 1"/>
    <n v="3"/>
    <d v="2025-08-19T00:00:00"/>
    <x v="19"/>
    <n v="32"/>
    <s v="2025-08"/>
    <x v="11"/>
    <s v="Vilnius WWTP"/>
    <s v="Vilnius Bus Terminal"/>
    <m/>
    <n v="0"/>
    <n v="0"/>
    <m/>
    <s v="Maarten/Jelle"/>
    <s v="Toon/Daan"/>
    <m/>
    <s v="Jason"/>
    <s v="1ZRJ7386DK37073389;1ZRJ7386DK34688195;1ZRJ7386DK39857403"/>
    <s v="YES"/>
    <s v="y"/>
    <m/>
    <m/>
    <s v="2025_08_19"/>
    <s v="Vilnius"/>
    <s v="Lithuania"/>
    <s v="Zolyno 36 gatve, Vilnius, 10210, Lithuania"/>
    <s v="2025-08-08"/>
    <s v="boxcontentlabel_template_outbound1.docx"/>
  </r>
  <r>
    <n v="140"/>
    <s v="outbound-kit 1"/>
    <n v="3"/>
    <d v="2025-09-02T00:00:00"/>
    <x v="20"/>
    <n v="34"/>
    <s v="2025-08"/>
    <x v="11"/>
    <s v="Vilnius WWTP"/>
    <s v="Vilnius Bus Terminal"/>
    <m/>
    <n v="0"/>
    <n v="0"/>
    <m/>
    <s v="Daan"/>
    <s v="Toon / Remco"/>
    <m/>
    <s v="Tom"/>
    <s v="1ZRJ7386DK15275416; 1ZRJ7386DK11547424; 1ZRJ7386DK01905832"/>
    <s v="YES"/>
    <s v="y"/>
    <m/>
    <m/>
    <s v="2025_09_02"/>
    <s v="Vilnius"/>
    <s v="Lithuania"/>
    <s v="Zolyno 36 gatve, Vilnius, 10210, Lithuania"/>
    <s v="2025-08-22"/>
    <s v="boxcontentlabel_template_outbound1.docx"/>
  </r>
  <r>
    <n v="141"/>
    <s v="outbound-kit 1"/>
    <n v="3"/>
    <d v="2025-09-16T00:00:00"/>
    <x v="21"/>
    <n v="36"/>
    <s v="2025-09"/>
    <x v="11"/>
    <s v="Vilnius WWTP"/>
    <s v="Vilnius Bus Terminal"/>
    <m/>
    <n v="0"/>
    <n v="0"/>
    <m/>
    <s v="Daan"/>
    <s v="Remco"/>
    <m/>
    <s v="Remco"/>
    <s v="1ZRJ7386DK26626089;1ZRJ7386DK36888895;1ZRJ7386DK30226100"/>
    <s v="YES"/>
    <s v="y"/>
    <m/>
    <m/>
    <s v="2025_09_16"/>
    <s v="Vilnius"/>
    <s v="Lithuania"/>
    <s v="Zolyno 36 gatve, Vilnius, 10210, Lithuania"/>
    <s v="2025-09-05"/>
    <s v="boxcontentlabel_template_outbound1.docx"/>
  </r>
  <r>
    <n v="142"/>
    <s v="outbound-kit 1"/>
    <n v="3"/>
    <d v="2025-10-07T00:00:00"/>
    <x v="22"/>
    <n v="39"/>
    <s v="2025-09"/>
    <x v="11"/>
    <s v="Vilnius WWTP"/>
    <s v="Vilnius Bus Terminal"/>
    <m/>
    <n v="0"/>
    <n v="0"/>
    <m/>
    <s v="Maarten"/>
    <m/>
    <m/>
    <s v="Remco"/>
    <s v="1ZRJ7386DK31506583;1ZRJ7386DK33089398;1ZRJ7386DK34546605"/>
    <s v="YES"/>
    <s v="y"/>
    <m/>
    <m/>
    <s v="2025_10_07"/>
    <s v="Vilnius"/>
    <s v="Lithuania"/>
    <s v="Zolyno 36 gatve, Vilnius, 10210, Lithuania"/>
    <s v="2025-09-26"/>
    <s v="boxcontentlabel_template_outbound1.docx"/>
  </r>
  <r>
    <n v="143"/>
    <s v="outbound-kit 1"/>
    <n v="3"/>
    <d v="2025-10-21T00:00:00"/>
    <x v="23"/>
    <n v="41"/>
    <s v="2025-10"/>
    <x v="11"/>
    <s v="Vilnius WWTP"/>
    <s v="Vilnius Bus Terminal"/>
    <m/>
    <n v="0"/>
    <n v="0"/>
    <m/>
    <m/>
    <m/>
    <m/>
    <s v="Remco"/>
    <s v="1ZRJ7386DK17468428;1ZRJ7386DK17266833;1ZRJ7386DK08047640"/>
    <s v="YES"/>
    <m/>
    <m/>
    <m/>
    <s v="2025_10_21"/>
    <s v="Vilnius"/>
    <s v="Lithuania"/>
    <s v="Zolyno 36 gatve, Vilnius, 10210, Lithuania"/>
    <s v="2025-10-10"/>
    <s v="boxcontentlabel_template_outbound1.docx"/>
  </r>
  <r>
    <n v="144"/>
    <s v="outbound-kit 1"/>
    <n v="3"/>
    <d v="2025-11-04T00:00:00"/>
    <x v="24"/>
    <n v="43"/>
    <s v="2025-10"/>
    <x v="11"/>
    <s v="Vilnius WWTP"/>
    <s v="Vilnius Bus Terminal"/>
    <m/>
    <n v="0"/>
    <n v="0"/>
    <m/>
    <m/>
    <m/>
    <m/>
    <s v="Jason"/>
    <s v="1ZRJ7386DK23619280;1ZRJ7386DK32250099;1ZRJ7386DK32275303"/>
    <s v="YES"/>
    <m/>
    <m/>
    <m/>
    <s v="2025_11_04"/>
    <s v="Vilnius"/>
    <s v="Lithuania"/>
    <s v="Zolyno 36 gatve, Vilnius, 10210, Lithuania"/>
    <s v="2025-10-24"/>
    <s v="boxcontentlabel_template_outbound1.docx"/>
  </r>
  <r>
    <n v="145"/>
    <s v="outbound-kit 1"/>
    <n v="3"/>
    <d v="2025-11-18T00:00:00"/>
    <x v="25"/>
    <n v="45"/>
    <s v="2025-11"/>
    <x v="11"/>
    <s v="Vilnius WWTP"/>
    <s v="Vilnius Bus Terminal"/>
    <m/>
    <n v="0"/>
    <n v="0"/>
    <m/>
    <m/>
    <m/>
    <m/>
    <m/>
    <m/>
    <s v="NO"/>
    <m/>
    <m/>
    <m/>
    <s v="2025_11_18"/>
    <s v="Vilnius"/>
    <s v="Lithuania"/>
    <s v="Zolyno 36 gatve, Vilnius, 10210, Lithuania"/>
    <s v="2025-11-07"/>
    <s v="boxcontentlabel_template_outbound1.docx"/>
  </r>
  <r>
    <n v="146"/>
    <s v="outbound-kit 1"/>
    <n v="3"/>
    <d v="2025-12-02T00:00:00"/>
    <x v="26"/>
    <n v="47"/>
    <s v="2025-11"/>
    <x v="11"/>
    <s v="Vilnius WWTP"/>
    <s v="Vilnius Bus Terminal"/>
    <m/>
    <n v="0"/>
    <n v="0"/>
    <m/>
    <m/>
    <m/>
    <m/>
    <m/>
    <m/>
    <s v="NO"/>
    <m/>
    <m/>
    <m/>
    <s v="2025_12_02"/>
    <s v="Vilnius"/>
    <s v="Lithuania"/>
    <s v="Zolyno 36 gatve, Vilnius, 10210, Lithuania"/>
    <s v="2025-11-21"/>
    <s v="boxcontentlabel_template_outbound1.docx"/>
  </r>
  <r>
    <n v="147"/>
    <s v="outbound-kit 1"/>
    <n v="3"/>
    <d v="2025-12-16T00:00:00"/>
    <x v="27"/>
    <n v="49"/>
    <s v="2025-12"/>
    <x v="11"/>
    <s v="Vilnius WWTP"/>
    <s v="Vilnius Bus Terminal"/>
    <m/>
    <n v="0"/>
    <n v="0"/>
    <m/>
    <m/>
    <m/>
    <m/>
    <m/>
    <m/>
    <s v="NO"/>
    <m/>
    <m/>
    <m/>
    <s v="2025_12_16"/>
    <s v="Vilnius"/>
    <s v="Lithuania"/>
    <s v="Zolyno 36 gatve, Vilnius, 10210, Lithuania"/>
    <s v="2025-12-05"/>
    <s v="boxcontentlabel_template_outbound1.docx"/>
  </r>
  <r>
    <n v="148"/>
    <s v="outbound-kit 1"/>
    <n v="20"/>
    <d v="2025-08-13T00:00:00"/>
    <x v="34"/>
    <n v="31"/>
    <s v="2025-07"/>
    <x v="12"/>
    <s v="Funchal WWTP"/>
    <s v="Madeira, 10 locations"/>
    <m/>
    <n v="0"/>
    <n v="0"/>
    <m/>
    <s v="Maarten"/>
    <s v="Toon/Jason"/>
    <m/>
    <s v="Remco"/>
    <s v="1ZRJ7386D939585104;1ZRJ7386D920012712;1ZRJ7386D921848096;1ZRJ7386D922497286;1ZRJ7386D923066721;1ZRJ7386D923466763;1ZRJ7386D923969201;1ZRJ7386D926718048;1ZRJ7386D928147152;1ZRJ7386D930899238;1ZRJ7386D931354869;1ZRJ7386D933761184;1ZRJ7386D935492775;1ZRJ7386D935978821;1ZRJ7386D936447992;1ZRJ7386D936524872;1ZRJ7386D936580810;1ZRJ7386D939037947;1ZRJ7386D939051252;1ZRJ7386D939083138"/>
    <s v="YES"/>
    <s v="y"/>
    <m/>
    <s v="295L9IS0DN3"/>
    <s v="2025_08_13"/>
    <s v="Funchal"/>
    <s v="Portugal"/>
    <s v="R. do Matadouro 4, Funchal, 9050-100, Portugal"/>
    <s v="2025-08-02"/>
    <s v="boxcontentlabel_template_outbound1.docx"/>
  </r>
  <r>
    <n v="149"/>
    <s v="outbound-kit 1"/>
    <n v="20"/>
    <d v="2025-08-27T00:00:00"/>
    <x v="53"/>
    <n v="33"/>
    <s v="2025-08"/>
    <x v="12"/>
    <s v="Funchal WWTP"/>
    <s v="Madeira, 10 locations"/>
    <m/>
    <n v="0"/>
    <n v="0"/>
    <m/>
    <m/>
    <m/>
    <m/>
    <s v="Jason"/>
    <s v="1ZRJ7386D914763011;1ZRJ7386D903099028;1ZRJ7386D906481439;1ZRJ7386D914606244;1ZRJ7386D902609451;1ZRJ7386D912667067;1ZRJ7386D919595079;1ZRJ7386D900449486;1ZRJ7386D908126293;1ZRJ7386D908961505;1ZRJ7386D904331112;1ZRJ7386D916251123;1ZRJ7386D916977537;1ZRJ7386D902606347;1ZRJ7386D910673554;1ZRJ7386D901755161;1ZRJ7386D905067175;1ZRJ7386D908065582;1ZRJ7386D910046393;1ZRJ7386D919745602"/>
    <s v="YES"/>
    <m/>
    <m/>
    <m/>
    <s v="2025_08_27"/>
    <s v="Funchal"/>
    <s v="Portugal"/>
    <s v="R. do Matadouro 4, Funchal, 9050-100, Portugal"/>
    <s v="2025-08-16"/>
    <s v="boxcontentlabel_template_outbound1.docx"/>
  </r>
  <r>
    <n v="150"/>
    <s v="outbound-kit 1"/>
    <n v="20"/>
    <d v="2025-09-03T00:00:00"/>
    <x v="44"/>
    <n v="34"/>
    <s v="2025-08"/>
    <x v="12"/>
    <s v="Funchal WWTP"/>
    <s v="Madeira, 10 locations"/>
    <m/>
    <n v="0"/>
    <n v="0"/>
    <m/>
    <s v="Daan"/>
    <s v="Toon / Remco"/>
    <m/>
    <s v="Tom"/>
    <s v="1ZRJ7386D936563633; 1ZRJ7386D931838444; 1ZRJ7386D935841683; 1ZRJ7386D924139329; 1ZRJ7386D930395362; 1ZRJ7386D928113803; 1ZRJ7386D933067658; 1ZRJ7386D937848495; 1ZRJ7386D937579731; 1ZRJ7386D925285375; 1ZRJ7386D935429414; 1ZRJ7386D929307263; 1ZRJ7386D921489706; 1ZRJ7386D936718547; 1ZRJ7386D933777784; 1ZRJ7386D938491421; 1ZRJ7386D923053271; 1ZRJ7386D939021310; 1ZRJ7386D929171758; 1ZRJ7386D920448592"/>
    <s v="YES"/>
    <s v="y"/>
    <m/>
    <m/>
    <s v="2025_09_03"/>
    <s v="Funchal"/>
    <s v="Portugal"/>
    <s v="R. do Matadouro 4, Funchal, 9050-100, Portugal"/>
    <s v="2025-08-23"/>
    <s v="boxcontentlabel_template_outbound1.docx"/>
  </r>
  <r>
    <n v="151"/>
    <s v="outbound-kit 1"/>
    <n v="20"/>
    <d v="2025-09-17T00:00:00"/>
    <x v="45"/>
    <n v="36"/>
    <s v="2025-09"/>
    <x v="12"/>
    <s v="Funchal WWTP"/>
    <s v="Madeira, 10 locations"/>
    <m/>
    <n v="0"/>
    <n v="0"/>
    <m/>
    <s v="Daan"/>
    <m/>
    <m/>
    <s v="Remco"/>
    <s v="1ZRJ7386D906127045;1ZRJ7386D907442256;1ZRJ7386D910491867;1ZRJ7386D905291879;1ZRJ7386D912098280;1ZRJ7386D915007096;1ZRJ7386D919554309;1ZRJ7386D914315915;1ZRJ7386D916507928;1ZRJ7386D901586335;1ZRJ7386D916847141;1ZRJ7386D919026353;1ZRJ7386D915899963;1ZRJ7386D911883978;1ZRJ7386D917634388;1ZRJ7386D903647195;1ZRJ7386D917858404;1ZRJ7386D907244014;1ZRJ7386D903420027;1ZRJ7386D912242435"/>
    <s v="YES"/>
    <s v="y"/>
    <m/>
    <m/>
    <s v="2025_09_17"/>
    <s v="Funchal"/>
    <s v="Portugal"/>
    <s v="R. do Matadouro 4, Funchal, 9050-100, Portugal"/>
    <s v="2025-09-06"/>
    <s v="boxcontentlabel_template_outbound1.docx"/>
  </r>
  <r>
    <n v="152"/>
    <s v="outbound-kit 1"/>
    <n v="20"/>
    <d v="2025-10-08T00:00:00"/>
    <x v="46"/>
    <n v="39"/>
    <s v="2025-09"/>
    <x v="12"/>
    <s v="Funchal WWTP"/>
    <s v="Madeira, 10 locations"/>
    <m/>
    <n v="0"/>
    <n v="0"/>
    <m/>
    <m/>
    <m/>
    <m/>
    <s v="Remco"/>
    <s v="1ZRJ7386D938988261;1ZRJ7386D936174278;1ZRJ7386D938002682;1ZRJ7386D938649494;1ZRJ7386D934530707;1ZRJ7386D921902311;1ZRJ7386D938460320;1ZRJ7386D928940731;1ZRJ7386D934719540;1ZRJ7386D927412750;1ZRJ7386D926476363;1ZRJ7386D920806374;1ZRJ7386D934338783;1ZRJ7386D935649598;1ZRJ7386D931554803;1ZRJ7386D924710415;1ZRJ7386D935212424;1ZRJ7386D926196835;1ZRJ7386D933439649;1ZRJ7386D938956858"/>
    <s v="YES"/>
    <s v="y"/>
    <m/>
    <m/>
    <s v="2025_10_08"/>
    <s v="Funchal"/>
    <s v="Portugal"/>
    <s v="R. do Matadouro 4, Funchal, 9050-100, Portugal"/>
    <s v="2025-09-27"/>
    <s v="boxcontentlabel_template_outbound1.docx"/>
  </r>
  <r>
    <n v="153"/>
    <s v="outbound-kit 1"/>
    <n v="20"/>
    <d v="2025-10-22T00:00:00"/>
    <x v="47"/>
    <n v="41"/>
    <s v="2025-10"/>
    <x v="12"/>
    <s v="Funchal WWTP"/>
    <s v="Madeira, 10 locations"/>
    <m/>
    <n v="0"/>
    <n v="0"/>
    <m/>
    <m/>
    <m/>
    <m/>
    <s v="Remco"/>
    <s v="1ZRJ7386D901602503;1ZRJ7386D907212110;1ZRJ7386D902972120;1ZRJ7386D905138535;1ZRJ7386D913807341;1ZRJ7386D910514556;1ZRJ7386D919836166;1ZRJ7386D914988172;1ZRJ7386D907426587;1ZRJ7386D900447399;1ZRJ7386D906786600;1ZRJ7386D910220211;1ZRJ7386D911164227;1ZRJ7386D916274635;1ZRJ7386D912047441;1ZRJ7386D902418658;1ZRJ7386D910364263;1ZRJ7386D903500271;1ZRJ7386D903682683;1ZRJ7386D900607493;1zrj7679d908657227"/>
    <s v="YES"/>
    <m/>
    <m/>
    <s v="1 zending stond vast in Eindhoven. Deze opnieuw verstuurd vanaf Barneveld. Zie ID 251"/>
    <s v="2025_10_22"/>
    <s v="Funchal"/>
    <s v="Portugal"/>
    <s v="R. do Matadouro 4, Funchal, 9050-100, Portugal"/>
    <s v="2025-10-11"/>
    <s v="boxcontentlabel_template_outbound1.docx"/>
  </r>
  <r>
    <n v="154"/>
    <s v="outbound-kit 1"/>
    <n v="20"/>
    <d v="2025-11-05T00:00:00"/>
    <x v="48"/>
    <n v="43"/>
    <s v="2025-10"/>
    <x v="12"/>
    <s v="Funchal WWTP"/>
    <s v="Madeira, 10 locations"/>
    <m/>
    <n v="0"/>
    <n v="0"/>
    <m/>
    <m/>
    <m/>
    <m/>
    <s v="Jason"/>
    <s v="1ZRJ7679D900798992; 1ZRJ7679D900401007; 1ZRJ7679D902849049; 1ZRJ7679D900561086; 1ZRJ7679D915937125; 1ZRJ7679D911377167; 1ZRJ7679D900807016; 1ZRJ7679D902471054; 1ZRJ7679D904999099; 1ZRJ7679D910791130; 1ZRJ7679D902247172; 1ZRJ7679D903617029; 1ZRJ7679D910897062; 1ZRJ7679D904641107; 1ZRJ7679D907249143; 1ZRJ7679D901121184; 1ZRJ7679D910431037; 1ZRJ7679D909727079; 1ZRJ7679D901087114; 1ZRJ7679D906911151"/>
    <s v="NO"/>
    <m/>
    <m/>
    <m/>
    <s v="2025_11_05"/>
    <s v="Funchal"/>
    <s v="Portugal"/>
    <s v="R. do Matadouro 4, Funchal, 9050-100, Portugal"/>
    <s v="2025-10-25"/>
    <s v="boxcontentlabel_template_outbound1.docx"/>
  </r>
  <r>
    <n v="155"/>
    <s v="outbound-kit 1"/>
    <n v="20"/>
    <d v="2025-11-19T00:00:00"/>
    <x v="49"/>
    <n v="45"/>
    <s v="2025-11"/>
    <x v="12"/>
    <s v="Funchal WWTP"/>
    <s v="Madeira, 10 locations"/>
    <m/>
    <n v="0"/>
    <n v="0"/>
    <m/>
    <m/>
    <m/>
    <m/>
    <m/>
    <m/>
    <s v="NO"/>
    <m/>
    <m/>
    <m/>
    <s v="2025_11_19"/>
    <s v="Funchal"/>
    <s v="Portugal"/>
    <s v="R. do Matadouro 4, Funchal, 9050-100, Portugal"/>
    <s v="2025-11-08"/>
    <s v="boxcontentlabel_template_outbound1.docx"/>
  </r>
  <r>
    <n v="156"/>
    <s v="outbound-kit 1"/>
    <n v="20"/>
    <d v="2025-12-03T00:00:00"/>
    <x v="50"/>
    <n v="47"/>
    <s v="2025-11"/>
    <x v="12"/>
    <s v="Funchal WWTP"/>
    <s v="Madeira, 10 locations"/>
    <m/>
    <n v="0"/>
    <n v="0"/>
    <m/>
    <m/>
    <m/>
    <m/>
    <m/>
    <m/>
    <s v="NO"/>
    <m/>
    <m/>
    <m/>
    <s v="2025_12_03"/>
    <s v="Funchal"/>
    <s v="Portugal"/>
    <s v="R. do Matadouro 4, Funchal, 9050-100, Portugal"/>
    <s v="2025-11-22"/>
    <s v="boxcontentlabel_template_outbound1.docx"/>
  </r>
  <r>
    <n v="157"/>
    <s v="outbound-kit 1"/>
    <n v="20"/>
    <d v="2025-12-17T00:00:00"/>
    <x v="51"/>
    <n v="49"/>
    <s v="2025-12"/>
    <x v="12"/>
    <s v="Funchal WWTP"/>
    <s v="Madeira, 10 locations"/>
    <m/>
    <n v="0"/>
    <n v="0"/>
    <m/>
    <m/>
    <m/>
    <m/>
    <m/>
    <m/>
    <s v="NO"/>
    <m/>
    <m/>
    <m/>
    <s v="2025_12_17"/>
    <s v="Funchal"/>
    <s v="Portugal"/>
    <s v="R. do Matadouro 4, Funchal, 9050-100, Portugal"/>
    <s v="2025-12-06"/>
    <s v="boxcontentlabel_template_outbound1.docx"/>
  </r>
  <r>
    <n v="158"/>
    <s v="outbound-kit 1"/>
    <n v="1"/>
    <d v="2025-08-18T00:00:00"/>
    <x v="5"/>
    <n v="32"/>
    <s v="2025-08"/>
    <x v="13"/>
    <s v="Uppsala WWTP"/>
    <s v="-"/>
    <m/>
    <s v="-"/>
    <s v="-"/>
    <m/>
    <s v="Maarten/Jelle"/>
    <s v="Toon/Daan"/>
    <m/>
    <s v="Jason"/>
    <s v="1ZRJ7386DK25637015"/>
    <s v="YES"/>
    <s v="y"/>
    <m/>
    <m/>
    <s v="2025_08_18"/>
    <s v="Uppsala"/>
    <s v="Sweden"/>
    <s v="Gerda Nilssons väg 5, Uppsala, 756 51, Sweden"/>
    <s v="2025-08-07"/>
    <s v="boxcontentlabel_template_outbound1.docx"/>
  </r>
  <r>
    <n v="159"/>
    <s v="outbound-kit 1"/>
    <n v="1"/>
    <d v="2025-09-01T00:00:00"/>
    <x v="6"/>
    <n v="34"/>
    <s v="2025-08"/>
    <x v="13"/>
    <s v="Uppsala WWTP"/>
    <s v="-"/>
    <m/>
    <s v="-"/>
    <s v="-"/>
    <m/>
    <s v="Daan"/>
    <s v="Toon / Remco"/>
    <m/>
    <s v="Tom"/>
    <s v="1ZRJ7386DK01646649"/>
    <s v="YES"/>
    <s v="y"/>
    <m/>
    <m/>
    <s v="2025_09_01"/>
    <s v="Uppsala"/>
    <s v="Sweden"/>
    <s v="Gerda Nilssons väg 5, Uppsala, 756 51, Sweden"/>
    <s v="2025-08-21"/>
    <s v="boxcontentlabel_template_outbound1.docx"/>
  </r>
  <r>
    <n v="160"/>
    <s v="outbound-kit 1"/>
    <n v="1"/>
    <d v="2025-09-15T00:00:00"/>
    <x v="7"/>
    <n v="36"/>
    <s v="2025-09"/>
    <x v="13"/>
    <s v="Uppsala WWTP"/>
    <s v="-"/>
    <m/>
    <s v="-"/>
    <s v="-"/>
    <m/>
    <s v="Daan"/>
    <s v="Remco"/>
    <m/>
    <s v="Remco"/>
    <s v="1ZRJ7386DK24493717"/>
    <s v="YES"/>
    <s v="y"/>
    <m/>
    <m/>
    <s v="2025_09_15"/>
    <s v="Uppsala"/>
    <s v="Sweden"/>
    <s v="Gerda Nilssons väg 5, Uppsala, 756 51, Sweden"/>
    <s v="2025-09-04"/>
    <s v="boxcontentlabel_template_outbound1.docx"/>
  </r>
  <r>
    <n v="161"/>
    <s v="outbound-kit 1"/>
    <n v="1"/>
    <d v="2025-10-06T00:00:00"/>
    <x v="8"/>
    <n v="39"/>
    <s v="2025-09"/>
    <x v="13"/>
    <s v="Uppsala WWTP"/>
    <s v="-"/>
    <m/>
    <s v="-"/>
    <s v="-"/>
    <m/>
    <s v="Maarten"/>
    <m/>
    <m/>
    <s v="Remco"/>
    <s v="1ZRJ7386DK25734213"/>
    <s v="YES"/>
    <s v="y"/>
    <m/>
    <m/>
    <s v="2025_10_06"/>
    <s v="Uppsala"/>
    <s v="Sweden"/>
    <s v="Gerda Nilssons väg 5, Uppsala, 756 51, Sweden"/>
    <s v="2025-09-25"/>
    <s v="boxcontentlabel_template_outbound1.docx"/>
  </r>
  <r>
    <n v="162"/>
    <s v="outbound-kit 1"/>
    <n v="1"/>
    <d v="2025-10-20T00:00:00"/>
    <x v="9"/>
    <n v="41"/>
    <s v="2025-10"/>
    <x v="13"/>
    <s v="Uppsala WWTP"/>
    <s v="-"/>
    <m/>
    <s v="-"/>
    <s v="-"/>
    <m/>
    <m/>
    <m/>
    <m/>
    <s v="Remco"/>
    <s v="1ZRJ7386DK22387087"/>
    <s v="YES"/>
    <m/>
    <m/>
    <m/>
    <s v="2025_10_20"/>
    <s v="Uppsala"/>
    <s v="Sweden"/>
    <s v="Gerda Nilssons väg 5, Uppsala, 756 51, Sweden"/>
    <s v="2025-10-09"/>
    <s v="boxcontentlabel_template_outbound1.docx"/>
  </r>
  <r>
    <n v="163"/>
    <s v="outbound-kit 1"/>
    <n v="1"/>
    <d v="2025-11-03T00:00:00"/>
    <x v="10"/>
    <n v="43"/>
    <s v="2025-10"/>
    <x v="13"/>
    <s v="Uppsala WWTP"/>
    <s v="-"/>
    <m/>
    <s v="-"/>
    <s v="-"/>
    <m/>
    <m/>
    <m/>
    <m/>
    <s v="Jason"/>
    <s v="1ZRJ7386D908876572"/>
    <s v="YES"/>
    <m/>
    <m/>
    <m/>
    <s v="2025_11_03"/>
    <s v="Uppsala"/>
    <s v="Sweden"/>
    <s v="Gerda Nilssons väg 5, Uppsala, 756 51, Sweden"/>
    <s v="2025-10-23"/>
    <s v="boxcontentlabel_template_outbound1.docx"/>
  </r>
  <r>
    <n v="164"/>
    <s v="outbound-kit 1"/>
    <n v="1"/>
    <d v="2025-11-17T00:00:00"/>
    <x v="11"/>
    <n v="45"/>
    <s v="2025-11"/>
    <x v="13"/>
    <s v="Uppsala WWTP"/>
    <s v="-"/>
    <m/>
    <s v="-"/>
    <s v="-"/>
    <m/>
    <m/>
    <m/>
    <m/>
    <m/>
    <m/>
    <s v="NO"/>
    <m/>
    <m/>
    <m/>
    <s v="2025_11_17"/>
    <s v="Uppsala"/>
    <s v="Sweden"/>
    <s v="Gerda Nilssons väg 5, Uppsala, 756 51, Sweden"/>
    <s v="2025-11-06"/>
    <s v="boxcontentlabel_template_outbound1.docx"/>
  </r>
  <r>
    <n v="165"/>
    <s v="outbound-kit 1"/>
    <n v="1"/>
    <d v="2025-12-01T00:00:00"/>
    <x v="12"/>
    <n v="47"/>
    <s v="2025-11"/>
    <x v="13"/>
    <s v="Uppsala WWTP"/>
    <s v="-"/>
    <m/>
    <s v="-"/>
    <s v="-"/>
    <m/>
    <m/>
    <m/>
    <m/>
    <m/>
    <m/>
    <s v="NO"/>
    <m/>
    <m/>
    <m/>
    <s v="2025_12_01"/>
    <s v="Uppsala"/>
    <s v="Sweden"/>
    <s v="Gerda Nilssons väg 5, Uppsala, 756 51, Sweden"/>
    <s v="2025-11-20"/>
    <s v="boxcontentlabel_template_outbound1.docx"/>
  </r>
  <r>
    <n v="166"/>
    <s v="outbound-kit 1"/>
    <n v="1"/>
    <d v="2025-12-15T00:00:00"/>
    <x v="13"/>
    <n v="49"/>
    <s v="2025-12"/>
    <x v="13"/>
    <s v="Uppsala WWTP"/>
    <s v="-"/>
    <m/>
    <s v="-"/>
    <s v="-"/>
    <m/>
    <m/>
    <m/>
    <m/>
    <m/>
    <m/>
    <s v="NO"/>
    <m/>
    <m/>
    <m/>
    <s v="2025_12_15"/>
    <s v="Uppsala"/>
    <s v="Sweden"/>
    <s v="Gerda Nilssons väg 5, Uppsala, 756 51, Sweden"/>
    <s v="2025-12-04"/>
    <s v="boxcontentlabel_template_outbound1.docx"/>
  </r>
  <r>
    <n v="167"/>
    <s v="outbound-kit 1"/>
    <n v="1"/>
    <d v="2025-08-19T00:00:00"/>
    <x v="19"/>
    <n v="32"/>
    <s v="2025-08"/>
    <x v="14"/>
    <s v="Cluj-SCBI"/>
    <s v="-"/>
    <m/>
    <s v="-"/>
    <s v="-"/>
    <m/>
    <s v="Maarten/Jelle"/>
    <s v="Toon/Daan"/>
    <m/>
    <s v="Jason"/>
    <s v="1ZRJ7386DK10046191"/>
    <s v="YES"/>
    <s v="y"/>
    <m/>
    <m/>
    <s v="2025_08_19"/>
    <s v="Cluj-SCBI"/>
    <s v="Romania"/>
    <s v="Strada Iuliu Moldovan 23, Cluj-Napoca, 400003, Romania"/>
    <s v="2025-08-08"/>
    <s v="boxcontentlabel_template_outbound1.docx"/>
  </r>
  <r>
    <n v="168"/>
    <s v="outbound-kit 1"/>
    <n v="1"/>
    <d v="2025-09-02T00:00:00"/>
    <x v="20"/>
    <n v="34"/>
    <s v="2025-08"/>
    <x v="14"/>
    <s v="Cluj-SCBI"/>
    <s v="-"/>
    <m/>
    <s v="-"/>
    <s v="-"/>
    <m/>
    <s v="Daan"/>
    <s v="Toon / Remco"/>
    <m/>
    <s v="Tom"/>
    <s v="1ZRJ7386DK15505855"/>
    <s v="YES"/>
    <s v="y"/>
    <m/>
    <m/>
    <s v="2025_09_02"/>
    <s v="Cluj-SCBI"/>
    <s v="Romania"/>
    <s v="Strada Iuliu Moldovan 23, Cluj-Napoca, 400003, Romania"/>
    <s v="2025-08-22"/>
    <s v="boxcontentlabel_template_outbound1.docx"/>
  </r>
  <r>
    <n v="169"/>
    <s v="outbound-kit 1"/>
    <n v="1"/>
    <d v="2025-09-16T00:00:00"/>
    <x v="21"/>
    <n v="36"/>
    <s v="2025-09"/>
    <x v="14"/>
    <s v="Cluj-SCBI"/>
    <s v="-"/>
    <m/>
    <s v="-"/>
    <s v="-"/>
    <m/>
    <s v="Daan"/>
    <s v="Remco"/>
    <m/>
    <s v="Remco"/>
    <s v="1ZRJ7386DK22987723"/>
    <s v="YES"/>
    <s v="y"/>
    <m/>
    <m/>
    <s v="2025_09_16"/>
    <s v="Cluj-SCBI"/>
    <s v="Romania"/>
    <s v="Strada Iuliu Moldovan 23, Cluj-Napoca, 400003, Romania"/>
    <s v="2025-09-05"/>
    <s v="boxcontentlabel_template_outbound1.docx"/>
  </r>
  <r>
    <n v="170"/>
    <s v="outbound-kit 1"/>
    <n v="1"/>
    <d v="2025-10-07T00:00:00"/>
    <x v="22"/>
    <n v="39"/>
    <s v="2025-09"/>
    <x v="14"/>
    <s v="Cluj-SCBI"/>
    <s v="-"/>
    <m/>
    <s v="-"/>
    <s v="-"/>
    <m/>
    <s v="Maarten"/>
    <m/>
    <m/>
    <s v="Remco"/>
    <s v="1ZRJ7386DK17282002"/>
    <s v="YES"/>
    <s v="y"/>
    <m/>
    <m/>
    <s v="2025_10_07"/>
    <s v="Cluj-SCBI"/>
    <s v="Romania"/>
    <s v="Strada Iuliu Moldovan 23, Cluj-Napoca, 400003, Romania"/>
    <s v="2025-09-26"/>
    <s v="boxcontentlabel_template_outbound1.docx"/>
  </r>
  <r>
    <n v="171"/>
    <s v="outbound-kit 1"/>
    <n v="1"/>
    <d v="2025-10-21T00:00:00"/>
    <x v="23"/>
    <n v="41"/>
    <s v="2025-10"/>
    <x v="14"/>
    <s v="Cluj-SCBI"/>
    <s v="-"/>
    <m/>
    <s v="-"/>
    <s v="-"/>
    <m/>
    <m/>
    <m/>
    <m/>
    <s v="Remco"/>
    <s v="1ZRJ7386DK04652378"/>
    <s v="YES"/>
    <m/>
    <m/>
    <m/>
    <s v="2025_10_21"/>
    <s v="Cluj-SCBI"/>
    <s v="Romania"/>
    <s v="Strada Iuliu Moldovan 23, Cluj-Napoca, 400003, Romania"/>
    <s v="2025-10-10"/>
    <s v="boxcontentlabel_template_outbound1.docx"/>
  </r>
  <r>
    <n v="172"/>
    <s v="outbound-kit 1"/>
    <n v="1"/>
    <d v="2025-11-04T00:00:00"/>
    <x v="24"/>
    <n v="43"/>
    <s v="2025-10"/>
    <x v="14"/>
    <s v="Cluj-SCBI"/>
    <s v="-"/>
    <m/>
    <s v="-"/>
    <s v="-"/>
    <m/>
    <m/>
    <m/>
    <m/>
    <s v="Jason"/>
    <s v="1ZRJ7386D935533257"/>
    <s v="YES"/>
    <m/>
    <m/>
    <m/>
    <s v="2025_11_04"/>
    <s v="Cluj-SCBI"/>
    <s v="Romania"/>
    <s v="Strada Iuliu Moldovan 23, Cluj-Napoca, 400003, Romania"/>
    <s v="2025-10-24"/>
    <s v="boxcontentlabel_template_outbound1.docx"/>
  </r>
  <r>
    <n v="173"/>
    <s v="outbound-kit 1"/>
    <n v="1"/>
    <d v="2025-11-18T00:00:00"/>
    <x v="25"/>
    <n v="45"/>
    <s v="2025-11"/>
    <x v="14"/>
    <s v="Cluj-SCBI"/>
    <s v="-"/>
    <m/>
    <s v="-"/>
    <s v="-"/>
    <m/>
    <m/>
    <m/>
    <m/>
    <m/>
    <m/>
    <s v="NO"/>
    <m/>
    <m/>
    <m/>
    <s v="2025_11_18"/>
    <s v="Cluj-SCBI"/>
    <s v="Romania"/>
    <s v="Strada Iuliu Moldovan 23, Cluj-Napoca, 400003, Romania"/>
    <s v="2025-11-07"/>
    <s v="boxcontentlabel_template_outbound1.docx"/>
  </r>
  <r>
    <n v="174"/>
    <s v="outbound-kit 1"/>
    <n v="1"/>
    <d v="2025-12-02T00:00:00"/>
    <x v="26"/>
    <n v="47"/>
    <s v="2025-11"/>
    <x v="14"/>
    <s v="Cluj-SCBI"/>
    <s v="-"/>
    <m/>
    <s v="-"/>
    <s v="-"/>
    <m/>
    <m/>
    <m/>
    <m/>
    <m/>
    <m/>
    <s v="NO"/>
    <m/>
    <m/>
    <m/>
    <s v="2025_12_02"/>
    <s v="Cluj-SCBI"/>
    <s v="Romania"/>
    <s v="Strada Iuliu Moldovan 23, Cluj-Napoca, 400003, Romania"/>
    <s v="2025-11-21"/>
    <s v="boxcontentlabel_template_outbound1.docx"/>
  </r>
  <r>
    <n v="175"/>
    <s v="outbound-kit 1"/>
    <n v="1"/>
    <d v="2025-12-16T00:00:00"/>
    <x v="27"/>
    <n v="49"/>
    <s v="2025-12"/>
    <x v="14"/>
    <s v="Cluj-SCBI"/>
    <s v="-"/>
    <m/>
    <s v="-"/>
    <s v="-"/>
    <m/>
    <m/>
    <m/>
    <m/>
    <m/>
    <m/>
    <s v="NO"/>
    <m/>
    <m/>
    <m/>
    <s v="2025_12_16"/>
    <s v="Cluj-SCBI"/>
    <s v="Romania"/>
    <s v="Strada Iuliu Moldovan 23, Cluj-Napoca, 400003, Romania"/>
    <s v="2025-12-05"/>
    <s v="boxcontentlabel_template_outbound1.docx"/>
  </r>
  <r>
    <n v="176"/>
    <s v="outbound-kit 1"/>
    <n v="1"/>
    <d v="2025-08-19T00:00:00"/>
    <x v="19"/>
    <n v="32"/>
    <s v="2025-08"/>
    <x v="15"/>
    <s v="Cluj-MNC"/>
    <s v="-"/>
    <m/>
    <s v="-"/>
    <s v="-"/>
    <m/>
    <s v="Maarten/Jelle"/>
    <s v="Toon/Daan"/>
    <m/>
    <s v="Jason"/>
    <s v="1ZRJ7386DK38523024"/>
    <s v="YES"/>
    <s v="y"/>
    <m/>
    <m/>
    <s v="2025_08_19"/>
    <s v="Cluj-MNC"/>
    <s v="Romania"/>
    <s v="Strada Tăbăcarilor 11, Cluj-Napoca, 400139, Romania"/>
    <s v="2025-08-08"/>
    <s v="boxcontentlabel_template_outbound1.docx"/>
  </r>
  <r>
    <n v="177"/>
    <s v="outbound-kit 1"/>
    <n v="1"/>
    <d v="2025-09-02T00:00:00"/>
    <x v="20"/>
    <n v="34"/>
    <s v="2025-08"/>
    <x v="15"/>
    <s v="Cluj-MNC"/>
    <s v="-"/>
    <m/>
    <s v="-"/>
    <s v="-"/>
    <m/>
    <s v="Daan"/>
    <s v="Toon / Remco"/>
    <m/>
    <s v="Tom"/>
    <s v="1ZRJ7386DK19259463"/>
    <s v="YES"/>
    <s v="y"/>
    <m/>
    <m/>
    <s v="2025_09_02"/>
    <s v="Cluj-MNC"/>
    <s v="Romania"/>
    <s v="Strada Tăbăcarilor 11, Cluj-Napoca, 400139, Romania"/>
    <s v="2025-08-22"/>
    <s v="boxcontentlabel_template_outbound1.docx"/>
  </r>
  <r>
    <n v="178"/>
    <s v="outbound-kit 1"/>
    <n v="1"/>
    <d v="2025-09-16T00:00:00"/>
    <x v="21"/>
    <n v="36"/>
    <s v="2025-09"/>
    <x v="15"/>
    <s v="Cluj-MNC"/>
    <s v="-"/>
    <m/>
    <s v="-"/>
    <s v="-"/>
    <m/>
    <s v="Daan"/>
    <s v="Remco"/>
    <m/>
    <s v="Remco"/>
    <s v="1ZRJ7386DK20044138"/>
    <s v="YES"/>
    <s v="y"/>
    <m/>
    <m/>
    <s v="2025_09_16"/>
    <s v="Cluj-MNC"/>
    <s v="Romania"/>
    <s v="Strada Tăbăcarilor 11, Cluj-Napoca, 400139, Romania"/>
    <s v="2025-09-05"/>
    <s v="boxcontentlabel_template_outbound1.docx"/>
  </r>
  <r>
    <n v="179"/>
    <s v="outbound-kit 1"/>
    <n v="1"/>
    <d v="2025-10-07T00:00:00"/>
    <x v="22"/>
    <n v="39"/>
    <s v="2025-09"/>
    <x v="15"/>
    <s v="Cluj-MNC"/>
    <s v="-"/>
    <m/>
    <s v="-"/>
    <s v="-"/>
    <m/>
    <s v="Maarten"/>
    <m/>
    <m/>
    <s v="Remco"/>
    <s v="1ZRJ7386DK17771617"/>
    <s v="YES"/>
    <s v="y"/>
    <m/>
    <m/>
    <s v="2025_10_07"/>
    <s v="Cluj-MNC"/>
    <s v="Romania"/>
    <s v="Strada Tăbăcarilor 11, Cluj-Napoca, 400139, Romania"/>
    <s v="2025-09-26"/>
    <s v="boxcontentlabel_template_outbound1.docx"/>
  </r>
  <r>
    <n v="180"/>
    <s v="outbound-kit 1"/>
    <n v="1"/>
    <d v="2025-10-21T00:00:00"/>
    <x v="23"/>
    <n v="41"/>
    <s v="2025-10"/>
    <x v="15"/>
    <s v="Cluj-MNC"/>
    <s v="-"/>
    <m/>
    <s v="-"/>
    <s v="-"/>
    <m/>
    <m/>
    <m/>
    <m/>
    <s v="Remco"/>
    <s v="1ZRJ7386DK02178788"/>
    <s v="YES"/>
    <m/>
    <m/>
    <m/>
    <s v="2025_10_21"/>
    <s v="Cluj-MNC"/>
    <s v="Romania"/>
    <s v="Strada Tăbăcarilor 11, Cluj-Napoca, 400139, Romania"/>
    <s v="2025-10-10"/>
    <s v="boxcontentlabel_template_outbound1.docx"/>
  </r>
  <r>
    <n v="181"/>
    <s v="outbound-kit 1"/>
    <n v="1"/>
    <d v="2025-11-04T00:00:00"/>
    <x v="24"/>
    <n v="43"/>
    <s v="2025-10"/>
    <x v="15"/>
    <s v="Cluj-MNC"/>
    <s v="-"/>
    <m/>
    <s v="-"/>
    <s v="-"/>
    <m/>
    <m/>
    <m/>
    <m/>
    <s v="Jason"/>
    <s v="1ZRJ7386D923516860"/>
    <s v="YES"/>
    <m/>
    <m/>
    <m/>
    <s v="2025_11_04"/>
    <s v="Cluj-MNC"/>
    <s v="Romania"/>
    <s v="Strada Tăbăcarilor 11, Cluj-Napoca, 400139, Romania"/>
    <s v="2025-10-24"/>
    <s v="boxcontentlabel_template_outbound1.docx"/>
  </r>
  <r>
    <n v="182"/>
    <s v="outbound-kit 1"/>
    <n v="1"/>
    <d v="2025-11-18T00:00:00"/>
    <x v="25"/>
    <n v="45"/>
    <s v="2025-11"/>
    <x v="15"/>
    <s v="Cluj-MNC"/>
    <s v="-"/>
    <m/>
    <s v="-"/>
    <s v="-"/>
    <m/>
    <m/>
    <m/>
    <m/>
    <m/>
    <m/>
    <s v="NO"/>
    <m/>
    <m/>
    <m/>
    <s v="2025_11_18"/>
    <s v="Cluj-MNC"/>
    <s v="Romania"/>
    <s v="Strada Tăbăcarilor 11, Cluj-Napoca, 400139, Romania"/>
    <s v="2025-11-07"/>
    <s v="boxcontentlabel_template_outbound1.docx"/>
  </r>
  <r>
    <n v="183"/>
    <s v="outbound-kit 1"/>
    <n v="1"/>
    <d v="2025-12-02T00:00:00"/>
    <x v="26"/>
    <n v="47"/>
    <s v="2025-11"/>
    <x v="15"/>
    <s v="Cluj-MNC"/>
    <s v="-"/>
    <m/>
    <s v="-"/>
    <s v="-"/>
    <m/>
    <m/>
    <m/>
    <m/>
    <m/>
    <m/>
    <s v="NO"/>
    <m/>
    <m/>
    <m/>
    <s v="2025_12_02"/>
    <s v="Cluj-MNC"/>
    <s v="Romania"/>
    <s v="Strada Tăbăcarilor 11, Cluj-Napoca, 400139, Romania"/>
    <s v="2025-11-21"/>
    <s v="boxcontentlabel_template_outbound1.docx"/>
  </r>
  <r>
    <n v="184"/>
    <s v="outbound-kit 1"/>
    <n v="1"/>
    <d v="2025-12-16T00:00:00"/>
    <x v="27"/>
    <n v="49"/>
    <s v="2025-12"/>
    <x v="15"/>
    <s v="Cluj-MNC"/>
    <s v="-"/>
    <m/>
    <s v="-"/>
    <s v="-"/>
    <m/>
    <m/>
    <m/>
    <m/>
    <m/>
    <m/>
    <s v="NO"/>
    <m/>
    <m/>
    <m/>
    <s v="2025_12_16"/>
    <s v="Cluj-MNC"/>
    <s v="Romania"/>
    <s v="Strada Tăbăcarilor 11, Cluj-Napoca, 400139, Romania"/>
    <s v="2025-12-05"/>
    <s v="boxcontentlabel_template_outbound1.docx"/>
  </r>
  <r>
    <n v="185"/>
    <s v="outbound-kit 1"/>
    <n v="1"/>
    <d v="2025-08-18T00:00:00"/>
    <x v="5"/>
    <n v="32"/>
    <s v="2025-08"/>
    <x v="16"/>
    <s v="Aachen WWTP"/>
    <s v="Aachen Hospital"/>
    <m/>
    <n v="0"/>
    <n v="0"/>
    <m/>
    <m/>
    <m/>
    <m/>
    <s v="Jason"/>
    <s v="1ZRJ7386D924051431"/>
    <s v="YES"/>
    <s v="y"/>
    <m/>
    <m/>
    <s v="2025_08_18"/>
    <s v="Aachen"/>
    <s v="Germany"/>
    <s v="Krefelder Str. 299, Aachen, 52070, Germany"/>
    <s v="2025-08-07"/>
    <s v="boxcontentlabel_template_outbound1.docx"/>
  </r>
  <r>
    <n v="186"/>
    <s v="outbound-kit 1"/>
    <n v="2"/>
    <d v="2025-09-01T00:00:00"/>
    <x v="6"/>
    <n v="34"/>
    <s v="2025-08"/>
    <x v="16"/>
    <s v="Aachen WWTP"/>
    <s v="Aachen Hospital"/>
    <m/>
    <n v="0"/>
    <n v="0"/>
    <m/>
    <s v="Daan"/>
    <s v="Toon / Remco"/>
    <m/>
    <s v="Tom"/>
    <s v="1ZRJ7386D930125117; 1ZRJ7386D920155121"/>
    <s v="YES"/>
    <s v="y"/>
    <m/>
    <m/>
    <s v="2025_09_01"/>
    <s v="Aachen"/>
    <s v="Germany"/>
    <s v="Krefelder Str. 299, Aachen, 52070, Germany"/>
    <s v="2025-08-21"/>
    <s v="boxcontentlabel_template_outbound1.docx"/>
  </r>
  <r>
    <n v="187"/>
    <s v="outbound-kit 1"/>
    <n v="2"/>
    <d v="2025-09-15T00:00:00"/>
    <x v="7"/>
    <n v="36"/>
    <s v="2025-09"/>
    <x v="16"/>
    <s v="Aachen WWTP"/>
    <s v="Aachen Hospital"/>
    <m/>
    <n v="0"/>
    <n v="0"/>
    <m/>
    <s v="Daan"/>
    <s v="Toon"/>
    <m/>
    <s v="Remco"/>
    <s v="1ZRJ7386DK12353882;1ZRJ7386DK18846697"/>
    <s v="YES"/>
    <s v="y"/>
    <m/>
    <m/>
    <s v="2025_09_15"/>
    <s v="Aachen"/>
    <s v="Germany"/>
    <s v="Krefelder Str. 299, Aachen, 52070, Germany"/>
    <s v="2025-09-04"/>
    <s v="boxcontentlabel_template_outbound1.docx"/>
  </r>
  <r>
    <n v="188"/>
    <s v="outbound-kit 1"/>
    <n v="2"/>
    <d v="2025-10-06T00:00:00"/>
    <x v="8"/>
    <n v="39"/>
    <s v="2025-09"/>
    <x v="16"/>
    <s v="Aachen WWTP"/>
    <s v="Aachen Hospital"/>
    <m/>
    <n v="0"/>
    <n v="0"/>
    <m/>
    <s v="Maarten"/>
    <m/>
    <m/>
    <s v="Remco"/>
    <s v="1ZRJ7386DK17329953;1ZRJ7386DK08507563"/>
    <s v="YES"/>
    <s v="y"/>
    <m/>
    <m/>
    <s v="2025_10_06"/>
    <s v="Aachen"/>
    <s v="Germany"/>
    <s v="Krefelder Str. 299, Aachen, 52070, Germany"/>
    <s v="2025-09-25"/>
    <s v="boxcontentlabel_template_outbound1.docx"/>
  </r>
  <r>
    <n v="189"/>
    <s v="outbound-kit 1"/>
    <n v="2"/>
    <d v="2025-10-20T00:00:00"/>
    <x v="9"/>
    <n v="41"/>
    <s v="2025-10"/>
    <x v="16"/>
    <s v="Aachen WWTP"/>
    <s v="Aachen Hospital"/>
    <m/>
    <n v="0"/>
    <n v="0"/>
    <m/>
    <m/>
    <m/>
    <m/>
    <s v="Remco"/>
    <s v="1ZRJ7386DK09356411;1ZRJ7D924867104"/>
    <s v="YES"/>
    <m/>
    <m/>
    <m/>
    <s v="2025_10_20"/>
    <s v="Aachen"/>
    <s v="Germany"/>
    <s v="Krefelder Str. 299, Aachen, 52070, Germany"/>
    <s v="2025-10-09"/>
    <s v="boxcontentlabel_template_outbound1.docx"/>
  </r>
  <r>
    <n v="190"/>
    <s v="outbound-kit 1"/>
    <n v="2"/>
    <d v="2025-11-03T00:00:00"/>
    <x v="10"/>
    <n v="43"/>
    <s v="2025-10"/>
    <x v="16"/>
    <s v="Aachen WWTP"/>
    <s v="Aachen Hospital"/>
    <m/>
    <n v="0"/>
    <n v="0"/>
    <m/>
    <m/>
    <m/>
    <m/>
    <s v="Jason"/>
    <s v="1ZRJ7386D938049990; 1ZRJ7386D930051205"/>
    <s v="YES"/>
    <m/>
    <m/>
    <m/>
    <s v="2025_11_03"/>
    <s v="Aachen"/>
    <s v="Germany"/>
    <s v="Krefelder Str. 299, Aachen, 52070, Germany"/>
    <s v="2025-10-23"/>
    <s v="boxcontentlabel_template_outbound1.docx"/>
  </r>
  <r>
    <n v="191"/>
    <s v="outbound-kit 1"/>
    <n v="2"/>
    <d v="2025-11-17T00:00:00"/>
    <x v="11"/>
    <n v="45"/>
    <s v="2025-11"/>
    <x v="16"/>
    <s v="Aachen WWTP"/>
    <s v="Aachen Hospital"/>
    <m/>
    <n v="0"/>
    <n v="0"/>
    <m/>
    <m/>
    <m/>
    <m/>
    <m/>
    <m/>
    <s v="NO"/>
    <m/>
    <m/>
    <m/>
    <s v="2025_11_17"/>
    <s v="Aachen"/>
    <s v="Germany"/>
    <s v="Krefelder Str. 299, Aachen, 52070, Germany"/>
    <s v="2025-11-06"/>
    <s v="boxcontentlabel_template_outbound1.docx"/>
  </r>
  <r>
    <n v="192"/>
    <s v="outbound-kit 1"/>
    <n v="2"/>
    <d v="2025-12-01T00:00:00"/>
    <x v="12"/>
    <n v="47"/>
    <s v="2025-11"/>
    <x v="16"/>
    <s v="Aachen WWTP"/>
    <s v="Aachen Hospital"/>
    <m/>
    <n v="0"/>
    <n v="0"/>
    <m/>
    <m/>
    <m/>
    <m/>
    <m/>
    <m/>
    <s v="NO"/>
    <m/>
    <m/>
    <m/>
    <s v="2025_12_01"/>
    <s v="Aachen"/>
    <s v="Germany"/>
    <s v="Krefelder Str. 299, Aachen, 52070, Germany"/>
    <s v="2025-11-20"/>
    <s v="boxcontentlabel_template_outbound1.docx"/>
  </r>
  <r>
    <n v="193"/>
    <s v="outbound-kit 1"/>
    <n v="2"/>
    <d v="2025-12-15T00:00:00"/>
    <x v="13"/>
    <n v="49"/>
    <s v="2025-12"/>
    <x v="16"/>
    <s v="Aachen WWTP"/>
    <s v="Aachen Hospital"/>
    <m/>
    <n v="0"/>
    <n v="0"/>
    <m/>
    <m/>
    <m/>
    <m/>
    <m/>
    <m/>
    <s v="NO"/>
    <m/>
    <m/>
    <m/>
    <s v="2025_12_15"/>
    <s v="Aachen"/>
    <s v="Germany"/>
    <s v="Krefelder Str. 299, Aachen, 52070, Germany"/>
    <s v="2025-12-04"/>
    <s v="boxcontentlabel_template_outbound1.docx"/>
  </r>
  <r>
    <n v="194"/>
    <s v="outbound-kit 2"/>
    <n v="4"/>
    <d v="2025-09-03T00:00:00"/>
    <x v="44"/>
    <n v="34"/>
    <s v="2025-08"/>
    <x v="12"/>
    <s v="Funchal WWTP"/>
    <s v="Madeira, 10 locations"/>
    <m/>
    <n v="0"/>
    <n v="0"/>
    <m/>
    <s v="Daan"/>
    <s v="Toon / Remco"/>
    <m/>
    <s v="Tom"/>
    <s v="1ZRJ7386D936435834; 1ZRJ7386D921038649; 1ZRJ7386D930315859; 1ZRJ7386D926123467"/>
    <s v="YES"/>
    <s v="y"/>
    <m/>
    <m/>
    <s v="2025_09_03"/>
    <s v="Funchal"/>
    <s v="Portugal"/>
    <s v="R. do Matadouro 4, Funchal, 9050-100, Portugal"/>
    <s v="2025-08-23"/>
    <s v="boxcontentlabel_template_outbound2.docx"/>
  </r>
  <r>
    <n v="195"/>
    <s v="outbound-kit 2"/>
    <n v="4"/>
    <d v="2025-09-17T00:00:00"/>
    <x v="45"/>
    <n v="36"/>
    <s v="2025-09"/>
    <x v="12"/>
    <s v="Funchal WWTP"/>
    <s v="Madeira, 10 locations"/>
    <m/>
    <n v="0"/>
    <n v="0"/>
    <m/>
    <s v="Daan"/>
    <m/>
    <m/>
    <s v="Remco"/>
    <s v="1ZRJ7386D921948228;1ZRJ7386D929524635;1ZRJ7386D935439449;1ZRJ7386D920908657"/>
    <s v="YES"/>
    <s v="y"/>
    <m/>
    <m/>
    <s v="2025_09_17"/>
    <s v="Funchal"/>
    <s v="Portugal"/>
    <s v="R. do Matadouro 4, Funchal, 9050-100, Portugal"/>
    <s v="2025-09-06"/>
    <s v="boxcontentlabel_template_outbound2.docx"/>
  </r>
  <r>
    <n v="196"/>
    <s v="outbound-kit 2"/>
    <n v="4"/>
    <d v="2025-10-08T00:00:00"/>
    <x v="46"/>
    <n v="39"/>
    <s v="2025-09"/>
    <x v="12"/>
    <s v="Funchal WWTP"/>
    <s v="Madeira, 10 locations"/>
    <m/>
    <n v="0"/>
    <n v="0"/>
    <m/>
    <m/>
    <m/>
    <m/>
    <s v="Remco"/>
    <s v="1ZRJ7386D928604461;1ZRJ7386D933678471;1ZRJ7386D936514883;1ZRJ7386D920089695"/>
    <s v="YES"/>
    <s v="y"/>
    <m/>
    <m/>
    <s v="2025_10_08"/>
    <s v="Funchal"/>
    <s v="Portugal"/>
    <s v="R. do Matadouro 4, Funchal, 9050-100, Portugal"/>
    <s v="2025-09-27"/>
    <s v="boxcontentlabel_template_outbound2.docx"/>
  </r>
  <r>
    <n v="197"/>
    <s v="outbound-kit 2"/>
    <n v="4"/>
    <d v="2025-10-22T00:00:00"/>
    <x v="47"/>
    <n v="41"/>
    <s v="2025-10"/>
    <x v="12"/>
    <s v="Funchal WWTP"/>
    <s v="Madeira, 10 locations"/>
    <m/>
    <n v="0"/>
    <n v="0"/>
    <m/>
    <m/>
    <m/>
    <m/>
    <s v="Remco"/>
    <s v="1ZRJ7386D909410705;1ZRJ7386D912268319;1ZRJ7386D903996326;1ZRJ7386D901650738"/>
    <s v="YES"/>
    <m/>
    <m/>
    <m/>
    <s v="2025_10_22"/>
    <s v="Funchal"/>
    <s v="Portugal"/>
    <s v="R. do Matadouro 4, Funchal, 9050-100, Portugal"/>
    <s v="2025-10-11"/>
    <s v="boxcontentlabel_template_outbound2.docx"/>
  </r>
  <r>
    <n v="198"/>
    <s v="outbound-kit 2"/>
    <n v="4"/>
    <d v="2025-11-05T00:00:00"/>
    <x v="48"/>
    <n v="43"/>
    <s v="2025-10"/>
    <x v="12"/>
    <s v="Funchal WWTP"/>
    <s v="Madeira, 10 locations"/>
    <m/>
    <n v="0"/>
    <n v="0"/>
    <m/>
    <m/>
    <m/>
    <m/>
    <s v="Jason"/>
    <s v="1ZRJ7679D925502843; 1ZRJ7679D909599191"/>
    <s v="NO"/>
    <m/>
    <m/>
    <m/>
    <s v="2025_11_05"/>
    <s v="Funchal"/>
    <s v="Portugal"/>
    <s v="R. do Matadouro 4, Funchal, 9050-100, Portugal"/>
    <s v="2025-10-25"/>
    <s v="boxcontentlabel_template_outbound2.docx"/>
  </r>
  <r>
    <n v="199"/>
    <s v="outbound-kit 2"/>
    <n v="4"/>
    <d v="2025-11-19T00:00:00"/>
    <x v="49"/>
    <n v="45"/>
    <s v="2025-11"/>
    <x v="12"/>
    <s v="Funchal WWTP"/>
    <s v="Madeira, 10 locations"/>
    <m/>
    <n v="0"/>
    <n v="0"/>
    <m/>
    <m/>
    <m/>
    <m/>
    <m/>
    <m/>
    <s v="NO"/>
    <m/>
    <m/>
    <m/>
    <s v="2025_11_19"/>
    <s v="Funchal"/>
    <s v="Portugal"/>
    <s v="R. do Matadouro 4, Funchal, 9050-100, Portugal"/>
    <s v="2025-11-08"/>
    <s v="boxcontentlabel_template_outbound2.docx"/>
  </r>
  <r>
    <n v="200"/>
    <s v="outbound-kit 2"/>
    <n v="4"/>
    <d v="2025-12-03T00:00:00"/>
    <x v="50"/>
    <n v="47"/>
    <s v="2025-11"/>
    <x v="12"/>
    <s v="Funchal WWTP"/>
    <s v="Madeira, 10 locations"/>
    <m/>
    <n v="0"/>
    <n v="0"/>
    <m/>
    <m/>
    <m/>
    <m/>
    <m/>
    <m/>
    <s v="NO"/>
    <m/>
    <m/>
    <m/>
    <s v="2025_12_03"/>
    <s v="Funchal"/>
    <s v="Portugal"/>
    <s v="R. do Matadouro 4, Funchal, 9050-100, Portugal"/>
    <s v="2025-11-22"/>
    <s v="boxcontentlabel_template_outbound2.docx"/>
  </r>
  <r>
    <n v="201"/>
    <s v="outbound-kit 2"/>
    <n v="4"/>
    <d v="2025-12-17T00:00:00"/>
    <x v="51"/>
    <n v="49"/>
    <s v="2025-12"/>
    <x v="12"/>
    <s v="Funchal WWTP"/>
    <s v="Madeira, 10 locations"/>
    <m/>
    <n v="0"/>
    <n v="0"/>
    <m/>
    <m/>
    <m/>
    <m/>
    <m/>
    <m/>
    <s v="NO"/>
    <m/>
    <m/>
    <m/>
    <s v="2025_12_17"/>
    <s v="Funchal"/>
    <s v="Portugal"/>
    <s v="R. do Matadouro 4, Funchal, 9050-100, Portugal"/>
    <s v="2025-12-06"/>
    <s v="boxcontentlabel_template_outbound2.docx"/>
  </r>
  <r>
    <n v="202"/>
    <s v="outbound-kit 2"/>
    <n v="2"/>
    <d v="2025-08-31T00:00:00"/>
    <x v="6"/>
    <n v="34"/>
    <s v="2025-08"/>
    <x v="0"/>
    <s v="Berlin (Schoenefeld) WWTP"/>
    <s v="Berlin Airport"/>
    <m/>
    <s v="-"/>
    <s v="-"/>
    <m/>
    <s v="Daan"/>
    <s v="Toon / Remco"/>
    <m/>
    <s v="Tom"/>
    <s v="1ZRJ7386DK08689733;1ZRJ7386DK10126541"/>
    <s v="YES"/>
    <s v="y"/>
    <m/>
    <m/>
    <s v="2025_08_31"/>
    <s v="Berlin"/>
    <s v="Germany"/>
    <s v="Strasse am Klarwerk 4, Klarwerk Wassmannsdorf, Schoenefeld, 12529, Germany"/>
    <s v="2025-08-21"/>
    <s v="boxcontentlabel_template_outbound2.docx"/>
  </r>
  <r>
    <n v="203"/>
    <s v="outbound-kit 2"/>
    <n v="2"/>
    <d v="2025-09-14T00:00:00"/>
    <x v="7"/>
    <n v="36"/>
    <s v="2025-09"/>
    <x v="0"/>
    <s v="Berlin (Schoenefeld) WWTP"/>
    <s v="Berlin Airport"/>
    <m/>
    <s v="-"/>
    <s v="-"/>
    <m/>
    <s v="Daan"/>
    <s v="Toon"/>
    <m/>
    <s v="Remco"/>
    <s v="1ZRJ7386DK29131938;1ZRJ7386DK20798744"/>
    <s v="YES"/>
    <s v="y"/>
    <m/>
    <m/>
    <s v="2025_09_14"/>
    <s v="Berlin"/>
    <s v="Germany"/>
    <s v="Strasse am Klarwerk 4, Klarwerk Wassmannsdorf, Schoenefeld, 12529, Germany"/>
    <s v="2025-09-04"/>
    <s v="boxcontentlabel_template_outbound2.docx"/>
  </r>
  <r>
    <n v="204"/>
    <s v="outbound-kit 2"/>
    <n v="2"/>
    <d v="2025-10-05T00:00:00"/>
    <x v="8"/>
    <n v="39"/>
    <s v="2025-09"/>
    <x v="0"/>
    <s v="Berlin (Schoenefeld) WWTP"/>
    <s v="Berlin Airport"/>
    <m/>
    <s v="-"/>
    <s v="-"/>
    <m/>
    <s v="Maarten"/>
    <m/>
    <m/>
    <s v="Remco"/>
    <s v="1ZRJ7386DK27630072;1ZRJ7386DK39020459"/>
    <s v="YES"/>
    <s v="y"/>
    <m/>
    <m/>
    <s v="2025_10_05"/>
    <s v="Berlin"/>
    <s v="Germany"/>
    <s v="Strasse am Klarwerk 4, Klarwerk Wassmannsdorf, Schoenefeld, 12529, Germany"/>
    <s v="2025-09-25"/>
    <s v="boxcontentlabel_template_outbound2.docx"/>
  </r>
  <r>
    <n v="205"/>
    <s v="outbound-kit 2"/>
    <n v="2"/>
    <d v="2025-10-19T00:00:00"/>
    <x v="9"/>
    <n v="41"/>
    <s v="2025-10"/>
    <x v="0"/>
    <s v="Berlin (Schoenefeld) WWTP"/>
    <s v="Berlin Airport"/>
    <m/>
    <s v="-"/>
    <s v="-"/>
    <m/>
    <m/>
    <m/>
    <m/>
    <s v="Remco"/>
    <s v="1ZRJ7386DK17410480;1ZRJ7386DK00127292"/>
    <s v="YES"/>
    <m/>
    <m/>
    <m/>
    <s v="2025_10_19"/>
    <s v="Berlin"/>
    <s v="Germany"/>
    <s v="Strasse am Klarwerk 4, Klarwerk Wassmannsdorf, Schoenefeld, 12529, Germany"/>
    <s v="2025-10-09"/>
    <s v="boxcontentlabel_template_outbound2.docx"/>
  </r>
  <r>
    <n v="206"/>
    <s v="outbound-kit 2"/>
    <n v="2"/>
    <d v="2025-11-02T00:00:00"/>
    <x v="10"/>
    <n v="43"/>
    <s v="2025-10"/>
    <x v="0"/>
    <s v="Berlin (Schoenefeld) WWTP"/>
    <s v="Berlin Airport"/>
    <m/>
    <s v="-"/>
    <s v="-"/>
    <m/>
    <m/>
    <m/>
    <m/>
    <s v="Jason"/>
    <s v="1ZRJ7386D922828767; 1ZRJ7386D921734771"/>
    <s v="YES"/>
    <m/>
    <m/>
    <m/>
    <s v="2025_11_02"/>
    <s v="Berlin"/>
    <s v="Germany"/>
    <s v="Strasse am Klarwerk 4, Klarwerk Wassmannsdorf, Schoenefeld, 12529, Germany"/>
    <s v="2025-10-23"/>
    <s v="boxcontentlabel_template_outbound2.docx"/>
  </r>
  <r>
    <n v="207"/>
    <s v="outbound-kit 2"/>
    <n v="2"/>
    <d v="2025-11-16T00:00:00"/>
    <x v="11"/>
    <n v="45"/>
    <s v="2025-11"/>
    <x v="0"/>
    <s v="Berlin (Schoenefeld) WWTP"/>
    <s v="Berlin Airport"/>
    <m/>
    <s v="-"/>
    <s v="-"/>
    <m/>
    <m/>
    <m/>
    <m/>
    <m/>
    <m/>
    <s v="NO"/>
    <m/>
    <m/>
    <m/>
    <s v="2025_11_16"/>
    <s v="Berlin"/>
    <s v="Germany"/>
    <s v="Strasse am Klarwerk 4, Klarwerk Wassmannsdorf, Schoenefeld, 12529, Germany"/>
    <s v="2025-11-06"/>
    <s v="boxcontentlabel_template_outbound2.docx"/>
  </r>
  <r>
    <n v="208"/>
    <s v="outbound-kit 2"/>
    <n v="2"/>
    <d v="2025-11-30T00:00:00"/>
    <x v="12"/>
    <n v="47"/>
    <s v="2025-11"/>
    <x v="0"/>
    <s v="Berlin (Schoenefeld) WWTP"/>
    <s v="Berlin Airport"/>
    <m/>
    <s v="-"/>
    <s v="-"/>
    <m/>
    <m/>
    <m/>
    <m/>
    <m/>
    <m/>
    <s v="NO"/>
    <m/>
    <m/>
    <m/>
    <s v="2025_11_30"/>
    <s v="Berlin"/>
    <s v="Germany"/>
    <s v="Strasse am Klarwerk 4, Klarwerk Wassmannsdorf, Schoenefeld, 12529, Germany"/>
    <s v="2025-11-20"/>
    <s v="boxcontentlabel_template_outbound2.docx"/>
  </r>
  <r>
    <n v="209"/>
    <s v="outbound-kit 2"/>
    <n v="2"/>
    <d v="2025-12-14T00:00:00"/>
    <x v="13"/>
    <n v="49"/>
    <s v="2025-12"/>
    <x v="0"/>
    <s v="Berlin (Schoenefeld) WWTP"/>
    <s v="Berlin Airport"/>
    <m/>
    <s v="-"/>
    <s v="-"/>
    <m/>
    <m/>
    <m/>
    <m/>
    <m/>
    <m/>
    <s v="NO"/>
    <m/>
    <m/>
    <m/>
    <s v="2025_12_14"/>
    <s v="Berlin"/>
    <s v="Germany"/>
    <s v="Strasse am Klarwerk 4, Klarwerk Wassmannsdorf, Schoenefeld, 12529, Germany"/>
    <s v="2025-12-04"/>
    <s v="boxcontentlabel_template_outbound2.docx"/>
  </r>
  <r>
    <n v="210"/>
    <s v="outbound-kit 1"/>
    <n v="1"/>
    <d v="2025-09-01T00:00:00"/>
    <x v="6"/>
    <n v="34"/>
    <s v="2025-08"/>
    <x v="17"/>
    <s v="Bologna WWTP"/>
    <n v="0"/>
    <m/>
    <n v="0"/>
    <n v="0"/>
    <m/>
    <s v="Daan"/>
    <s v="Toon / Remco"/>
    <m/>
    <s v="Tom"/>
    <s v="1ZRJ7386D901931372"/>
    <s v="YES"/>
    <s v="y"/>
    <m/>
    <m/>
    <s v="2025_09_01"/>
    <s v="Bologna"/>
    <s v="Italy"/>
    <s v="VIA SHAKESPEARE 29, Bologna, 40128, Italy"/>
    <s v="2025-08-21"/>
    <s v="boxcontentlabel_template_outbound1.docx"/>
  </r>
  <r>
    <n v="211"/>
    <s v="outbound-kit 1"/>
    <n v="1"/>
    <d v="2025-09-15T00:00:00"/>
    <x v="7"/>
    <n v="36"/>
    <s v="2025-09"/>
    <x v="17"/>
    <s v="Bologna WWTP"/>
    <n v="0"/>
    <m/>
    <n v="0"/>
    <n v="0"/>
    <m/>
    <s v="Daan"/>
    <s v="Toon"/>
    <m/>
    <s v="Remco"/>
    <s v="1ZRJ7386DK00737909"/>
    <s v="YES"/>
    <s v="y"/>
    <m/>
    <m/>
    <s v="2025_09_15"/>
    <s v="Bologna"/>
    <s v="Italy"/>
    <s v="VIA SHAKESPEARE 29, Bologna, 40128, Italy"/>
    <s v="2025-09-04"/>
    <s v="boxcontentlabel_template_outbound1.docx"/>
  </r>
  <r>
    <n v="212"/>
    <s v="outbound-kit 1"/>
    <n v="1"/>
    <d v="2025-10-06T00:00:00"/>
    <x v="8"/>
    <n v="39"/>
    <s v="2025-09"/>
    <x v="17"/>
    <s v="Bologna WWTP"/>
    <n v="0"/>
    <m/>
    <n v="0"/>
    <n v="0"/>
    <m/>
    <s v="Maarten"/>
    <s v="Daan"/>
    <m/>
    <s v="Remco"/>
    <s v="1ZRJ7386DK13355575"/>
    <s v="YES"/>
    <s v="y"/>
    <m/>
    <m/>
    <s v="2025_10_06"/>
    <s v="Bologna"/>
    <s v="Italy"/>
    <s v="VIA SHAKESPEARE 29, Bologna, 40128, Italy"/>
    <s v="2025-09-25"/>
    <s v="boxcontentlabel_template_outbound1.docx"/>
  </r>
  <r>
    <n v="213"/>
    <s v="outbound-kit 1"/>
    <n v="1"/>
    <d v="2025-10-20T00:00:00"/>
    <x v="9"/>
    <n v="41"/>
    <s v="2025-10"/>
    <x v="17"/>
    <s v="Bologna WWTP"/>
    <n v="0"/>
    <m/>
    <n v="0"/>
    <n v="0"/>
    <m/>
    <m/>
    <m/>
    <m/>
    <s v="Remco"/>
    <s v="1ZRJ7386DK18127544"/>
    <s v="YES"/>
    <m/>
    <m/>
    <m/>
    <s v="2025_10_20"/>
    <s v="Bologna"/>
    <s v="Italy"/>
    <s v="VIA SHAKESPEARE 29, Bologna, 40128, Italy"/>
    <s v="2025-10-09"/>
    <s v="boxcontentlabel_template_outbound1.docx"/>
  </r>
  <r>
    <n v="214"/>
    <s v="outbound-kit 1"/>
    <n v="1"/>
    <d v="2025-11-03T00:00:00"/>
    <x v="10"/>
    <n v="43"/>
    <s v="2025-10"/>
    <x v="17"/>
    <s v="Bologna WWTP"/>
    <n v="0"/>
    <m/>
    <n v="0"/>
    <n v="0"/>
    <m/>
    <m/>
    <m/>
    <m/>
    <s v="Jason"/>
    <s v="1ZRJ7386D917807745"/>
    <s v="YES"/>
    <m/>
    <m/>
    <m/>
    <s v="2025_11_03"/>
    <s v="Bologna"/>
    <s v="Italy"/>
    <s v="VIA SHAKESPEARE 29, Bologna, 40128, Italy"/>
    <s v="2025-10-23"/>
    <s v="boxcontentlabel_template_outbound1.docx"/>
  </r>
  <r>
    <n v="215"/>
    <s v="outbound-kit 1"/>
    <n v="1"/>
    <d v="2025-11-17T00:00:00"/>
    <x v="11"/>
    <n v="45"/>
    <s v="2025-11"/>
    <x v="17"/>
    <s v="Bologna WWTP"/>
    <n v="0"/>
    <m/>
    <n v="0"/>
    <n v="0"/>
    <m/>
    <m/>
    <m/>
    <m/>
    <m/>
    <m/>
    <s v="NO"/>
    <m/>
    <m/>
    <m/>
    <s v="2025_11_17"/>
    <s v="Bologna"/>
    <s v="Italy"/>
    <s v="VIA SHAKESPEARE 29, Bologna, 40128, Italy"/>
    <s v="2025-11-06"/>
    <s v="boxcontentlabel_template_outbound1.docx"/>
  </r>
  <r>
    <n v="216"/>
    <s v="outbound-kit 1"/>
    <n v="1"/>
    <d v="2025-12-01T00:00:00"/>
    <x v="12"/>
    <n v="47"/>
    <s v="2025-11"/>
    <x v="17"/>
    <s v="Bologna WWTP"/>
    <n v="0"/>
    <m/>
    <n v="0"/>
    <n v="0"/>
    <m/>
    <m/>
    <m/>
    <m/>
    <m/>
    <m/>
    <s v="NO"/>
    <m/>
    <m/>
    <m/>
    <s v="2025_12_01"/>
    <s v="Bologna"/>
    <s v="Italy"/>
    <s v="VIA SHAKESPEARE 29, Bologna, 40128, Italy"/>
    <s v="2025-11-20"/>
    <s v="boxcontentlabel_template_outbound1.docx"/>
  </r>
  <r>
    <n v="217"/>
    <s v="outbound-kit 1"/>
    <n v="1"/>
    <d v="2025-12-15T00:00:00"/>
    <x v="13"/>
    <n v="49"/>
    <s v="2025-12"/>
    <x v="17"/>
    <s v="Bologna WWTP"/>
    <n v="0"/>
    <m/>
    <n v="0"/>
    <n v="0"/>
    <m/>
    <m/>
    <m/>
    <m/>
    <m/>
    <m/>
    <s v="NO"/>
    <m/>
    <m/>
    <m/>
    <s v="2025_12_15"/>
    <s v="Bologna"/>
    <s v="Italy"/>
    <s v="VIA SHAKESPEARE 29, Bologna, 40128, Italy"/>
    <s v="2025-12-04"/>
    <s v="boxcontentlabel_template_outbound1.docx"/>
  </r>
  <r>
    <n v="218"/>
    <s v="outbound-kit1 URGENT"/>
    <n v="1"/>
    <d v="2025-09-02T00:00:00"/>
    <x v="20"/>
    <n v="34"/>
    <s v="2025-08"/>
    <x v="14"/>
    <s v="Cluj-SCBI"/>
    <s v="-"/>
    <m/>
    <s v="-"/>
    <s v="-"/>
    <m/>
    <s v="Daan"/>
    <s v="Toon"/>
    <m/>
    <s v="Tom"/>
    <s v="1ZRJ7386D921698409"/>
    <s v="YES"/>
    <s v="y"/>
    <m/>
    <m/>
    <s v="2025_09_02"/>
    <s v="Cluj-SCBI"/>
    <s v="Romania"/>
    <s v="Strada Iuliu Moldovan 23, Cluj-Napoca, 400003, Romania"/>
    <s v="2025-08-22"/>
    <s v="boxcontentlabel_template_outbound1.docx"/>
  </r>
  <r>
    <n v="219"/>
    <s v="outbound-kit1 URGENT"/>
    <n v="1"/>
    <d v="2025-09-02T00:00:00"/>
    <x v="20"/>
    <n v="34"/>
    <s v="2025-08"/>
    <x v="15"/>
    <s v="Cluj-MNC"/>
    <s v="-"/>
    <m/>
    <s v="-"/>
    <s v="-"/>
    <m/>
    <s v="Daan"/>
    <s v="Toon"/>
    <m/>
    <s v="Tom"/>
    <s v="1ZRJ7386D929318019"/>
    <s v="NO"/>
    <s v="y"/>
    <m/>
    <m/>
    <s v="2025_09_02"/>
    <s v="Cluj-MNC"/>
    <s v="Romania"/>
    <s v="Strada Tăbăcarilor 11, Cluj-Napoca, 400139, Romania"/>
    <s v="2025-08-22"/>
    <s v="boxcontentlabel_template_outbound1.docx"/>
  </r>
  <r>
    <n v="220"/>
    <s v="outbound-kit 1"/>
    <n v="2"/>
    <d v="2025-09-23T00:00:00"/>
    <x v="54"/>
    <n v="37"/>
    <s v="2025-09"/>
    <x v="18"/>
    <s v="Àthens WWTP"/>
    <s v="Athens Airport"/>
    <m/>
    <s v="-"/>
    <s v="-"/>
    <m/>
    <m/>
    <m/>
    <m/>
    <s v="Remco"/>
    <s v="1ZRJ7386DK25644025;1ZRJ7386DK20212438"/>
    <s v="YES"/>
    <s v="y"/>
    <m/>
    <m/>
    <s v="2025_09_23"/>
    <s v="Àthens"/>
    <s v="Greece"/>
    <s v="Zografou, 4ος όροφος, εργαστήριο αριθμός 8, Athens,  157 71, Greece"/>
    <s v="2025-09-12"/>
    <s v="boxcontentlabel_template_outbound1.docx"/>
  </r>
  <r>
    <n v="221"/>
    <s v="outbound-kit 1"/>
    <n v="2"/>
    <d v="2025-10-08T00:00:00"/>
    <x v="46"/>
    <n v="39"/>
    <s v="2025-09"/>
    <x v="18"/>
    <s v="Àthens WWTP"/>
    <s v="Athens Airport"/>
    <m/>
    <s v="-"/>
    <s v="-"/>
    <m/>
    <s v="Maarten"/>
    <m/>
    <m/>
    <s v="Remco"/>
    <s v="1ZRJ7386DK07407244;1ZRJ7386DK08050458"/>
    <s v="YES"/>
    <s v="y"/>
    <m/>
    <m/>
    <s v="2025_10_08"/>
    <s v="Àthens"/>
    <s v="Greece"/>
    <s v="Zografou, 4ος όροφος, εργαστήριο αριθμός 8, Athens,  157 71, Greece"/>
    <s v="2025-09-27"/>
    <s v="boxcontentlabel_template_outbound1.docx"/>
  </r>
  <r>
    <n v="222"/>
    <s v="outbound-kit 1"/>
    <n v="2"/>
    <d v="2025-10-22T00:00:00"/>
    <x v="47"/>
    <n v="41"/>
    <s v="2025-10"/>
    <x v="18"/>
    <s v="Àthens WWTP"/>
    <s v="Athens Airport"/>
    <m/>
    <s v="-"/>
    <s v="-"/>
    <m/>
    <m/>
    <m/>
    <m/>
    <s v="Remco"/>
    <s v="1ZRJ7386DK27599741;1ZRJ7386DK31540956"/>
    <s v="YES"/>
    <m/>
    <m/>
    <m/>
    <s v="2025_10_22"/>
    <s v="Àthens"/>
    <s v="Greece"/>
    <s v="Zografou, 4ος όροφος, εργαστήριο αριθμός 8, Athens,  157 71, Greece"/>
    <s v="2025-10-11"/>
    <s v="boxcontentlabel_template_outbound1.docx"/>
  </r>
  <r>
    <n v="223"/>
    <s v="outbound-kit 1"/>
    <n v="2"/>
    <d v="2025-11-05T00:00:00"/>
    <x v="48"/>
    <n v="43"/>
    <s v="2025-10"/>
    <x v="18"/>
    <s v="Àthens WWTP"/>
    <s v="Athens Airport"/>
    <m/>
    <s v="-"/>
    <s v="-"/>
    <m/>
    <m/>
    <m/>
    <m/>
    <s v="Jason"/>
    <s v="1ZRJ7679D936367569; 1ZRJ7679D930651173; 1ZRJ7679D901767219; 1ZRJ7679D909281201"/>
    <s v="NO"/>
    <m/>
    <m/>
    <m/>
    <s v="2025_11_05"/>
    <s v="Àthens"/>
    <s v="Greece"/>
    <s v="Zografou, 4ος όροφος, εργαστήριο αριθμός 8, Athens,  157 71, Greece"/>
    <s v="2025-10-25"/>
    <s v="boxcontentlabel_template_outbound1.docx"/>
  </r>
  <r>
    <n v="224"/>
    <s v="outbound-kit 1"/>
    <n v="2"/>
    <d v="2025-11-19T00:00:00"/>
    <x v="49"/>
    <n v="45"/>
    <s v="2025-11"/>
    <x v="18"/>
    <s v="Àthens WWTP"/>
    <s v="Athens Airport"/>
    <m/>
    <s v="-"/>
    <s v="-"/>
    <m/>
    <m/>
    <m/>
    <m/>
    <m/>
    <m/>
    <s v="NO"/>
    <m/>
    <m/>
    <m/>
    <s v="2025_11_19"/>
    <s v="Àthens"/>
    <s v="Greece"/>
    <s v="Zografou, 4ος όροφος, εργαστήριο αριθμός 8, Athens,  157 71, Greece"/>
    <s v="2025-11-08"/>
    <s v="boxcontentlabel_template_outbound1.docx"/>
  </r>
  <r>
    <n v="225"/>
    <s v="outbound-kit 1"/>
    <n v="2"/>
    <d v="2025-12-03T00:00:00"/>
    <x v="50"/>
    <n v="47"/>
    <s v="2025-11"/>
    <x v="18"/>
    <s v="Àthens WWTP"/>
    <s v="Athens Airport"/>
    <m/>
    <s v="-"/>
    <s v="-"/>
    <m/>
    <m/>
    <m/>
    <m/>
    <m/>
    <m/>
    <s v="NO"/>
    <m/>
    <m/>
    <m/>
    <s v="2025_12_03"/>
    <s v="Àthens"/>
    <s v="Greece"/>
    <s v="Zografou, 4ος όροφος, εργαστήριο αριθμός 8, Athens,  157 71, Greece"/>
    <s v="2025-11-22"/>
    <s v="boxcontentlabel_template_outbound1.docx"/>
  </r>
  <r>
    <n v="226"/>
    <s v="outbound-kit 1"/>
    <n v="2"/>
    <d v="2025-12-17T00:00:00"/>
    <x v="51"/>
    <n v="49"/>
    <s v="2025-12"/>
    <x v="18"/>
    <s v="Àthens WWTP"/>
    <s v="Athens Airport"/>
    <m/>
    <s v="-"/>
    <s v="-"/>
    <m/>
    <m/>
    <m/>
    <m/>
    <m/>
    <m/>
    <s v="NO"/>
    <m/>
    <m/>
    <m/>
    <s v="2025_12_17"/>
    <s v="Àthens"/>
    <s v="Greece"/>
    <s v="Zografou, 4ος όροφος, εργαστήριο αριθμός 8, Athens,  157 71, Greece"/>
    <s v="2025-12-06"/>
    <s v="boxcontentlabel_template_outbound1.docx"/>
  </r>
  <r>
    <n v="227"/>
    <s v="outbound-kit 1"/>
    <n v="2"/>
    <d v="2025-09-24T00:00:00"/>
    <x v="55"/>
    <n v="37"/>
    <s v="2025-09"/>
    <x v="19"/>
    <s v="Heraklion WWTP"/>
    <s v="Heraklion Airport"/>
    <m/>
    <s v="-"/>
    <s v="-"/>
    <m/>
    <m/>
    <m/>
    <m/>
    <s v="Jason"/>
    <s v="1ZRJ7386D921618905; 1ZRJ7386D930158510"/>
    <s v="YES"/>
    <s v="y"/>
    <m/>
    <m/>
    <s v="2025_09_24"/>
    <s v="Heraklion"/>
    <s v="Greece"/>
    <s v="Andrea Kalokerinou 13, Pteryga 3D, Giofirakia, 715 00, Greece"/>
    <s v="2025-09-13"/>
    <s v="boxcontentlabel_template_outbound1.docx"/>
  </r>
  <r>
    <n v="228"/>
    <s v="outbound-kit 1"/>
    <n v="2"/>
    <d v="2025-10-09T00:00:00"/>
    <x v="56"/>
    <n v="39"/>
    <s v="2025-09"/>
    <x v="19"/>
    <s v="Heraklion WWTP"/>
    <s v="Heraklion Airport"/>
    <m/>
    <s v="-"/>
    <s v="-"/>
    <m/>
    <s v="Maarten"/>
    <m/>
    <m/>
    <s v="Remco"/>
    <s v="1ZRJ7386DK28204521;1ZRJ7386DK37292937"/>
    <s v="YES"/>
    <s v="y"/>
    <m/>
    <s v="zending stond 2 weken vast in Athene, ging niet geleverd worden voor sampling date. Met spoed 2 nieuwe boxen uitgestuurd via DHL, zie ID 252"/>
    <s v="2025_10_09"/>
    <s v="Heraklion"/>
    <s v="Greece"/>
    <s v="Andrea Kalokerinou 13, Pteryga 3D, Giofirakia, 715 00, Greece"/>
    <s v="2025-09-28"/>
    <s v="boxcontentlabel_template_outbound1.docx"/>
  </r>
  <r>
    <n v="229"/>
    <s v="outbound-kit 1"/>
    <n v="2"/>
    <d v="2025-10-23T00:00:00"/>
    <x v="57"/>
    <n v="41"/>
    <s v="2025-10"/>
    <x v="19"/>
    <s v="Heraklion WWTP"/>
    <s v="Heraklion Airport"/>
    <m/>
    <s v="-"/>
    <s v="-"/>
    <m/>
    <m/>
    <m/>
    <m/>
    <s v="Remco"/>
    <n v="6696852702"/>
    <s v="YES"/>
    <m/>
    <m/>
    <m/>
    <s v="2025_10_23"/>
    <s v="Heraklion"/>
    <s v="Greece"/>
    <s v="Andrea Kalokerinou 13, Pteryga 3D, Giofirakia, 715 00, Greece"/>
    <s v="2025-10-12"/>
    <s v="boxcontentlabel_template_outbound1.docx"/>
  </r>
  <r>
    <n v="230"/>
    <s v="outbound-kit 1"/>
    <n v="2"/>
    <d v="2025-11-06T00:00:00"/>
    <x v="58"/>
    <n v="43"/>
    <s v="2025-10"/>
    <x v="19"/>
    <s v="Heraklion WWTP"/>
    <s v="Heraklion Airport"/>
    <m/>
    <s v="-"/>
    <s v="-"/>
    <m/>
    <m/>
    <m/>
    <m/>
    <s v="Remco"/>
    <n v="1094950861"/>
    <s v="NO"/>
    <m/>
    <m/>
    <m/>
    <s v="2025_11_06"/>
    <s v="Heraklion"/>
    <s v="Greece"/>
    <s v="Andrea Kalokerinou 13, Pteryga 3D, Giofirakia, 715 00, Greece"/>
    <s v="2025-10-26"/>
    <s v="boxcontentlabel_template_outbound1.docx"/>
  </r>
  <r>
    <n v="231"/>
    <s v="outbound-kit 1"/>
    <n v="2"/>
    <d v="2025-11-20T00:00:00"/>
    <x v="59"/>
    <n v="45"/>
    <s v="2025-11"/>
    <x v="19"/>
    <s v="Heraklion WWTP"/>
    <s v="Heraklion Airport"/>
    <m/>
    <s v="-"/>
    <s v="-"/>
    <m/>
    <m/>
    <m/>
    <m/>
    <m/>
    <m/>
    <s v="NO"/>
    <m/>
    <m/>
    <m/>
    <s v="2025_11_20"/>
    <s v="Heraklion"/>
    <s v="Greece"/>
    <s v="Andrea Kalokerinou 13, Pteryga 3D, Giofirakia, 715 00, Greece"/>
    <s v="2025-11-09"/>
    <s v="boxcontentlabel_template_outbound1.docx"/>
  </r>
  <r>
    <n v="232"/>
    <s v="outbound-kit 1"/>
    <n v="2"/>
    <d v="2025-12-04T00:00:00"/>
    <x v="60"/>
    <n v="47"/>
    <s v="2025-11"/>
    <x v="19"/>
    <s v="Heraklion WWTP"/>
    <s v="Heraklion Airport"/>
    <m/>
    <s v="-"/>
    <s v="-"/>
    <m/>
    <m/>
    <m/>
    <m/>
    <m/>
    <m/>
    <s v="NO"/>
    <m/>
    <m/>
    <m/>
    <s v="2025_12_04"/>
    <s v="Heraklion"/>
    <s v="Greece"/>
    <s v="Andrea Kalokerinou 13, Pteryga 3D, Giofirakia, 715 00, Greece"/>
    <s v="2025-11-23"/>
    <s v="boxcontentlabel_template_outbound1.docx"/>
  </r>
  <r>
    <n v="233"/>
    <s v="outbound-kit 1"/>
    <n v="2"/>
    <d v="2025-12-16T00:00:00"/>
    <x v="27"/>
    <n v="49"/>
    <s v="2025-12"/>
    <x v="19"/>
    <s v="Heraklion WWTP"/>
    <s v="Heraklion Airport"/>
    <m/>
    <s v="-"/>
    <s v="-"/>
    <m/>
    <m/>
    <m/>
    <m/>
    <m/>
    <m/>
    <s v="NO"/>
    <m/>
    <m/>
    <m/>
    <s v="2025_12_16"/>
    <s v="Heraklion"/>
    <s v="Greece"/>
    <s v="Andrea Kalokerinou 13, Pteryga 3D, Giofirakia, 715 00, Greece"/>
    <s v="2025-12-05"/>
    <s v="boxcontentlabel_template_outbound1.docx"/>
  </r>
  <r>
    <n v="234"/>
    <s v="outbound-kit 1"/>
    <n v="2"/>
    <d v="2025-09-24T00:00:00"/>
    <x v="55"/>
    <n v="37"/>
    <s v="2025-09"/>
    <x v="20"/>
    <s v="Riga WWTP"/>
    <s v="-"/>
    <m/>
    <s v="-"/>
    <s v="-"/>
    <m/>
    <m/>
    <m/>
    <m/>
    <s v="Remco"/>
    <s v="1ZRJ7386D918546856;1ZRJ7386D908540460"/>
    <s v="YES"/>
    <s v="y"/>
    <m/>
    <m/>
    <s v="2025_09_24"/>
    <s v="Riga"/>
    <s v="Latvia"/>
    <s v="Pilsonu iela 13, Zemgales priekšpilsēta, Rīga, LV-1002, Latvia"/>
    <s v="2025-09-13"/>
    <s v="boxcontentlabel_template_outbound1.docx"/>
  </r>
  <r>
    <n v="235"/>
    <s v="outbound-kit 1"/>
    <n v="1"/>
    <d v="2025-10-06T00:00:00"/>
    <x v="8"/>
    <n v="39"/>
    <s v="2025-09"/>
    <x v="21"/>
    <s v="Wien WWTP"/>
    <s v="-"/>
    <m/>
    <s v="-"/>
    <s v="-"/>
    <m/>
    <m/>
    <m/>
    <m/>
    <s v="Remco"/>
    <s v="1ZRJ7386D914444473"/>
    <s v="YES"/>
    <s v="y"/>
    <m/>
    <m/>
    <s v="2025_10_06"/>
    <s v="Wien"/>
    <s v="Austria"/>
    <s v="Währinger Gürtel 18-20, Wien, 1090, Austria"/>
    <s v="2025-09-25"/>
    <s v="boxcontentlabel_template_outbound1.docx"/>
  </r>
  <r>
    <n v="236"/>
    <s v="outbound-kit 1"/>
    <n v="1"/>
    <d v="2025-10-20T00:00:00"/>
    <x v="9"/>
    <n v="41"/>
    <s v="2025-10"/>
    <x v="21"/>
    <s v="Wien WWTP"/>
    <s v="-"/>
    <m/>
    <s v="-"/>
    <s v="-"/>
    <m/>
    <m/>
    <m/>
    <m/>
    <s v="Remco"/>
    <s v="1ZRJ7679DK00400986"/>
    <s v="YES"/>
    <m/>
    <m/>
    <m/>
    <s v="2025_10_20"/>
    <s v="Wien"/>
    <s v="Austria"/>
    <s v="Währinger Gürtel 18-20, Wien, 1090, Austria"/>
    <s v="2025-10-09"/>
    <s v="boxcontentlabel_template_outbound1.docx"/>
  </r>
  <r>
    <n v="237"/>
    <s v="outbound-kit 1"/>
    <n v="1"/>
    <d v="2025-11-03T00:00:00"/>
    <x v="10"/>
    <n v="43"/>
    <s v="2025-10"/>
    <x v="21"/>
    <s v="Wien WWTP"/>
    <s v="-"/>
    <m/>
    <s v="-"/>
    <s v="-"/>
    <m/>
    <m/>
    <m/>
    <m/>
    <s v="Jason"/>
    <s v="1ZRJ7386D938083185"/>
    <s v="YES"/>
    <m/>
    <m/>
    <m/>
    <s v="2025_11_03"/>
    <s v="Wien"/>
    <s v="Austria"/>
    <s v="Währinger Gürtel 18-20, Wien, 1090, Austria"/>
    <s v="2025-10-23"/>
    <s v="boxcontentlabel_template_outbound1.docx"/>
  </r>
  <r>
    <n v="238"/>
    <s v="outbound-kit 1"/>
    <n v="1"/>
    <d v="2025-11-17T00:00:00"/>
    <x v="11"/>
    <n v="45"/>
    <s v="2025-11"/>
    <x v="21"/>
    <s v="Wien WWTP"/>
    <s v="-"/>
    <m/>
    <s v="-"/>
    <s v="-"/>
    <m/>
    <m/>
    <m/>
    <m/>
    <m/>
    <m/>
    <s v="NO"/>
    <m/>
    <m/>
    <m/>
    <s v="2025_11_17"/>
    <s v="Wien"/>
    <s v="Austria"/>
    <s v="Währinger Gürtel 18-20, Wien, 1090, Austria"/>
    <s v="2025-11-06"/>
    <s v="boxcontentlabel_template_outbound1.docx"/>
  </r>
  <r>
    <n v="239"/>
    <s v="outbound-kit 1"/>
    <n v="1"/>
    <d v="2025-12-01T00:00:00"/>
    <x v="12"/>
    <n v="47"/>
    <s v="2025-11"/>
    <x v="21"/>
    <s v="Wien WWTP"/>
    <s v="-"/>
    <m/>
    <s v="-"/>
    <s v="-"/>
    <m/>
    <m/>
    <m/>
    <m/>
    <m/>
    <m/>
    <s v="NO"/>
    <m/>
    <m/>
    <m/>
    <s v="2025_12_01"/>
    <s v="Wien"/>
    <s v="Austria"/>
    <s v="Währinger Gürtel 18-20, Wien, 1090, Austria"/>
    <s v="2025-11-20"/>
    <s v="boxcontentlabel_template_outbound1.docx"/>
  </r>
  <r>
    <n v="240"/>
    <s v="outbound-kit 1"/>
    <n v="1"/>
    <d v="2025-12-15T00:00:00"/>
    <x v="13"/>
    <n v="49"/>
    <s v="2025-12"/>
    <x v="21"/>
    <s v="Wien WWTP"/>
    <s v="-"/>
    <m/>
    <s v="-"/>
    <s v="-"/>
    <m/>
    <m/>
    <m/>
    <m/>
    <m/>
    <m/>
    <s v="NO"/>
    <m/>
    <m/>
    <m/>
    <s v="2025_12_15"/>
    <s v="Wien"/>
    <s v="Austria"/>
    <s v="Währinger Gürtel 18-20, Wien, 1090, Austria"/>
    <s v="2025-12-04"/>
    <s v="boxcontentlabel_template_outbound1.docx"/>
  </r>
  <r>
    <n v="241"/>
    <s v="outbound-kit 1"/>
    <n v="2"/>
    <d v="2025-10-08T00:00:00"/>
    <x v="46"/>
    <n v="39"/>
    <s v="2025-09"/>
    <x v="5"/>
    <s v="Luxembourg (Beggen) WWTP"/>
    <s v="Luxembourg Airport"/>
    <m/>
    <s v="-"/>
    <s v="-"/>
    <m/>
    <m/>
    <m/>
    <m/>
    <s v="Jason"/>
    <s v="1ZRJ7679D923783704; 1ZRJ7679D938796511"/>
    <s v="YES"/>
    <s v="y"/>
    <m/>
    <m/>
    <s v="2025_10_08"/>
    <s v="Luxembourg"/>
    <s v="Luxembourg"/>
    <s v="41 rue du Brill, Luxembourg, L-4422 , Luxembourg"/>
    <s v="2025-09-27"/>
    <s v="boxcontentlabel_template_outbound1.docx"/>
  </r>
  <r>
    <n v="242"/>
    <s v="outbound-kit 1"/>
    <n v="2"/>
    <d v="2025-10-21T00:00:00"/>
    <x v="23"/>
    <n v="41"/>
    <s v="2025-10"/>
    <x v="5"/>
    <s v="Luxembourg (Beggen) WWTP"/>
    <s v="Luxembourg Airport"/>
    <m/>
    <s v="-"/>
    <s v="-"/>
    <m/>
    <m/>
    <m/>
    <m/>
    <s v="Jason"/>
    <s v="1ZRJ7386D910978903; 1ZRJ7386D917484513"/>
    <s v="YES"/>
    <m/>
    <m/>
    <m/>
    <s v="2025_10_21"/>
    <s v="Luxembourg"/>
    <s v="Luxembourg"/>
    <s v="41 rue du Brill, Luxembourg, L-4422 , Luxembourg"/>
    <s v="2025-10-10"/>
    <s v="boxcontentlabel_template_outbound1.docx"/>
  </r>
  <r>
    <n v="243"/>
    <s v="outbound-kit 1"/>
    <n v="2"/>
    <d v="2025-11-06T00:00:00"/>
    <x v="58"/>
    <n v="43"/>
    <s v="2025-10"/>
    <x v="5"/>
    <s v="Luxembourg (Beggen) WWTP"/>
    <s v="Luxembourg Airport"/>
    <m/>
    <s v="-"/>
    <s v="-"/>
    <m/>
    <m/>
    <m/>
    <m/>
    <s v="Jason"/>
    <s v="1ZRJ7679D921336227; 1ZRJ7679D939834638"/>
    <s v="NO"/>
    <m/>
    <m/>
    <m/>
    <s v="2025_11_06"/>
    <s v="Luxembourg"/>
    <s v="Luxembourg"/>
    <s v="41 rue du Brill, Luxembourg, L-4422 , Luxembourg"/>
    <s v="2025-10-26"/>
    <s v="boxcontentlabel_template_outbound1.docx"/>
  </r>
  <r>
    <n v="244"/>
    <s v="outbound-kit 1"/>
    <n v="2"/>
    <d v="2025-11-21T00:00:00"/>
    <x v="61"/>
    <n v="45"/>
    <s v="2025-11"/>
    <x v="5"/>
    <s v="Luxembourg (Beggen) WWTP"/>
    <s v="Luxembourg Airport"/>
    <m/>
    <s v="-"/>
    <s v="-"/>
    <m/>
    <m/>
    <m/>
    <m/>
    <m/>
    <m/>
    <s v="NO"/>
    <m/>
    <m/>
    <m/>
    <s v="2025_11_21"/>
    <s v="Luxembourg"/>
    <s v="Luxembourg"/>
    <s v="41 rue du Brill, Luxembourg, L-4422 , Luxembourg"/>
    <s v="2025-11-10"/>
    <s v="boxcontentlabel_template_outbound1.docx"/>
  </r>
  <r>
    <n v="245"/>
    <s v="outbound-kit 1"/>
    <n v="2"/>
    <d v="2025-12-02T00:00:00"/>
    <x v="26"/>
    <n v="47"/>
    <s v="2025-11"/>
    <x v="5"/>
    <s v="Luxembourg (Beggen) WWTP"/>
    <s v="Luxembourg Airport"/>
    <m/>
    <s v="-"/>
    <s v="-"/>
    <m/>
    <m/>
    <m/>
    <m/>
    <m/>
    <m/>
    <s v="NO"/>
    <m/>
    <m/>
    <m/>
    <s v="2025_12_02"/>
    <s v="Luxembourg"/>
    <s v="Luxembourg"/>
    <s v="41 rue du Brill, Luxembourg, L-4422 , Luxembourg"/>
    <s v="2025-11-21"/>
    <s v="boxcontentlabel_template_outbound1.docx"/>
  </r>
  <r>
    <n v="246"/>
    <s v="outbound-kit 1"/>
    <n v="2"/>
    <d v="2025-12-17T00:00:00"/>
    <x v="51"/>
    <n v="49"/>
    <s v="2025-12"/>
    <x v="5"/>
    <s v="Luxembourg (Beggen) WWTP"/>
    <s v="Luxembourg Airport"/>
    <m/>
    <s v="-"/>
    <s v="-"/>
    <m/>
    <m/>
    <m/>
    <m/>
    <m/>
    <m/>
    <s v="NO"/>
    <m/>
    <m/>
    <m/>
    <s v="2025_12_17"/>
    <s v="Luxembourg"/>
    <s v="Luxembourg"/>
    <s v="41 rue du Brill, Luxembourg, L-4422 , Luxembourg"/>
    <s v="2025-12-06"/>
    <s v="boxcontentlabel_template_outbound1.docx"/>
  </r>
  <r>
    <n v="247"/>
    <s v="outbound-kit1 URGENT"/>
    <n v="1"/>
    <d v="2025-10-07T00:00:00"/>
    <x v="22"/>
    <n v="39"/>
    <s v="2025-09"/>
    <x v="15"/>
    <s v="Cluj-MNC"/>
    <s v="-"/>
    <m/>
    <s v="-"/>
    <s v="-"/>
    <m/>
    <m/>
    <m/>
    <m/>
    <s v="Remco"/>
    <s v="1ZRJ7679D932581745"/>
    <s v="NO"/>
    <s v="y"/>
    <m/>
    <m/>
    <s v="2025_10_07"/>
    <s v="Cluj-MNC"/>
    <s v="Romania"/>
    <s v="Strada Tăbăcarilor 11, Cluj-Napoca, 400139, Romania"/>
    <s v="2025-09-26"/>
    <s v="boxcontentlabel_template_outbound1.docx"/>
  </r>
  <r>
    <n v="248"/>
    <s v="outbound-kit 1"/>
    <n v="1"/>
    <d v="2025-10-06T00:00:00"/>
    <x v="8"/>
    <n v="39"/>
    <s v="2025-09"/>
    <x v="20"/>
    <s v="Riga WWTP"/>
    <s v="-"/>
    <m/>
    <s v="-"/>
    <s v="-"/>
    <m/>
    <m/>
    <m/>
    <m/>
    <s v="Remco"/>
    <s v="1ZRJ7679D928105759"/>
    <s v="NO"/>
    <s v="y"/>
    <m/>
    <m/>
    <s v="2025_10_06"/>
    <s v="Riga"/>
    <s v="Latvia"/>
    <s v="Pilsonu iela 13, Zemgales priekšpilsēta, Rīga, LV-1002, Latvia"/>
    <s v="2025-09-25"/>
    <s v="boxcontentlabel_template_outbound1.docx"/>
  </r>
  <r>
    <n v="249"/>
    <s v="outbound-kit 1"/>
    <n v="2"/>
    <d v="2025-10-21T00:00:00"/>
    <x v="23"/>
    <n v="41"/>
    <s v="2025-10"/>
    <x v="1"/>
    <s v="Munich WWTP"/>
    <s v="Munich Airport"/>
    <m/>
    <s v="-"/>
    <s v="-"/>
    <m/>
    <m/>
    <m/>
    <m/>
    <s v="Remco"/>
    <s v="1ZRJ7679D921644662;1ZRJ7679D929166272"/>
    <s v="NO"/>
    <m/>
    <m/>
    <m/>
    <s v="2025_10_21"/>
    <s v="Munich"/>
    <s v="Germany"/>
    <s v="Leopoldstrasse 5, Institut fuer Infektions- und Tropenmedizin, Munich, 80802, Germany"/>
    <s v="2025-10-10"/>
    <s v="boxcontentlabel_template_outbound1.docx"/>
  </r>
  <r>
    <n v="250"/>
    <s v="outbound-kit 1"/>
    <n v="2"/>
    <d v="2025-10-21T00:00:00"/>
    <x v="23"/>
    <n v="41"/>
    <s v="2025-10"/>
    <x v="9"/>
    <s v="Larnaca WWTP"/>
    <s v="Larnaca Airport"/>
    <m/>
    <n v="0"/>
    <n v="0"/>
    <m/>
    <m/>
    <m/>
    <m/>
    <s v="Remco"/>
    <s v="1ZRJ76790425153681;1ZRJ76790438730890"/>
    <s v="YES"/>
    <m/>
    <m/>
    <m/>
    <s v="2025_10_21"/>
    <s v="Larnaca"/>
    <s v="Cyprus"/>
    <s v="Adamantiou Korai street 12, Larnaca District Local Government Organization offices, Larnaca, 6010, Cyprus"/>
    <s v="2025-10-10"/>
    <s v="boxcontentlabel_template_outbound1.docx"/>
  </r>
  <r>
    <n v="251"/>
    <s v="outbound-kit 1"/>
    <n v="1"/>
    <d v="2025-10-22T00:00:00"/>
    <x v="47"/>
    <n v="41"/>
    <s v="2025-10"/>
    <x v="12"/>
    <s v="Funchal WWTP"/>
    <s v="Madeira, 10 locations"/>
    <m/>
    <n v="0"/>
    <n v="0"/>
    <m/>
    <s v="Maarten"/>
    <s v="Toon"/>
    <m/>
    <s v="Tom"/>
    <s v="1ZRJ7679D908657227"/>
    <s v="YES"/>
    <m/>
    <m/>
    <m/>
    <s v="2025_10_22"/>
    <s v="Funchal"/>
    <s v="Portugal"/>
    <s v="R. do Matadouro 4, Funchal, 9050-100, Portugal"/>
    <s v="2025-10-11"/>
    <s v="boxcontentlabel_template_outbound1.docx"/>
  </r>
  <r>
    <n v="252"/>
    <s v="outbound-kit 1"/>
    <n v="2"/>
    <d v="2025-10-09T00:00:00"/>
    <x v="56"/>
    <n v="39"/>
    <s v="2025-09"/>
    <x v="19"/>
    <s v="Heraklion WWTP"/>
    <s v="Heraklion Airport"/>
    <m/>
    <s v="-"/>
    <s v="-"/>
    <m/>
    <s v="Maarten"/>
    <m/>
    <m/>
    <s v="Remco"/>
    <n v="8449595910"/>
    <s v="YES"/>
    <m/>
    <m/>
    <m/>
    <s v="2025_10_09"/>
    <s v="Heraklion"/>
    <s v="Greece"/>
    <s v="Andrea Kalokerinou 13, Pteryga 3D, Giofirakia, 715 00, Greece"/>
    <s v="2025-09-28"/>
    <s v="boxcontentlabel_template_outbound1.docx"/>
  </r>
  <r>
    <n v="253"/>
    <s v="outbound-kit 1"/>
    <n v="1"/>
    <d v="2025-10-27T00:00:00"/>
    <x v="31"/>
    <n v="42"/>
    <s v="2025-10"/>
    <x v="20"/>
    <s v="Riga WWTP"/>
    <s v="-"/>
    <m/>
    <s v="-"/>
    <s v="-"/>
    <m/>
    <m/>
    <m/>
    <m/>
    <m/>
    <m/>
    <s v="NO"/>
    <m/>
    <m/>
    <m/>
    <s v="2025_10_27"/>
    <s v="Riga"/>
    <s v="Latvia"/>
    <s v="Pilsonu iela 13, Zemgales priekšpilsēta, Rīga, LV-1002, Latvia"/>
    <s v="2025-10-16"/>
    <s v="boxcontentlabel_template_outbound1.docx"/>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4">
  <r>
    <n v="1"/>
    <s v="3rd-party-sample-UPS"/>
    <n v="1"/>
    <d v="2025-06-08T00:00:00"/>
    <x v="0"/>
    <n v="24"/>
    <s v="25-06"/>
    <x v="0"/>
    <s v="Osaka Expo"/>
    <s v="-"/>
    <n v="0.58333333333333337"/>
    <s v="European Commission - JRC"/>
    <m/>
    <s v="1ZRJ73868609184105"/>
    <m/>
    <s v="2995CHFL8C5"/>
    <s v="0082_WWI_00001_V2L_01;0082_WWI_00001_V2L_02;0082_WWI_00001_V2L_03;0082_WWI_00001_V2L_04;0082_WWI_00001_V2L_05;0082_WWI_00001_V2L_06;0082_WWI_00001_V2L_07;0082_WWI_00001_V2L_08"/>
    <s v="YES"/>
    <s v="y"/>
    <m/>
    <m/>
    <s v="2025_06_08"/>
    <s v="Osaka"/>
    <s v="Japan"/>
    <n v="22"/>
    <s v="1-3-3 Nakamichi, Higashinari-ku, Osaka, 537-0025, Japan"/>
    <s v="Via E. Fermi 2749, T.P. 120, Directorate D Sustainable Resources, Ispra, 21027, Italy"/>
    <n v="92"/>
    <s v="Pick-up service of hypothetic package as defined in the Tech. Specs. and delivery to lots_x000a_2 and 3 contractors according to Scenario 4"/>
    <s v="YES"/>
    <s v="Non-EuropeEU"/>
  </r>
  <r>
    <n v="2"/>
    <s v="3rd-party-sample-UPS"/>
    <n v="1"/>
    <d v="2025-06-28T00:00:00"/>
    <x v="1"/>
    <n v="27"/>
    <s v="25-07"/>
    <x v="0"/>
    <s v="Osaka Expo"/>
    <s v="-"/>
    <n v="0.58333333333333337"/>
    <s v="European Commission - JRC"/>
    <s v="Tom"/>
    <s v="1ZRJ73868634634125"/>
    <s v="Tom &amp; Remco"/>
    <s v="298JPHONKIB; 298K21432J0"/>
    <s v="0082_WWI_00002_V2L_01"/>
    <s v="YES"/>
    <s v="y"/>
    <m/>
    <s v="1st collection failed on 01/07. 2nd collection scheduled for 02/07 09-12 new ID 298K21432J0"/>
    <s v="2025_06_28"/>
    <s v="Osaka"/>
    <s v="Japan"/>
    <n v="25"/>
    <s v="1-3-3 Nakamichi, Higashinari-ku, Osaka, 537-0025, Japan"/>
    <s v="Via E. Fermi 2749, T.P. 120, Directorate D Sustainable Resources, Ispra, 21027, Italy"/>
    <n v="92"/>
    <s v="Pick-up service of hypothetic package as defined in the Tech. Specs. and delivery to lots_x000a_2 and 3 contractors according to Scenario 4"/>
    <s v="YES"/>
    <s v="Non-EuropeEU"/>
  </r>
  <r>
    <n v="3"/>
    <s v="3rd-party-sample-UPS"/>
    <n v="1"/>
    <d v="2025-07-26T00:00:00"/>
    <x v="2"/>
    <n v="31"/>
    <s v="25-07"/>
    <x v="0"/>
    <s v="Osaka Expo"/>
    <s v="-"/>
    <n v="0.58333333333333337"/>
    <s v="European Commission - JRC"/>
    <s v="Remco"/>
    <s v="1ZRJ73868637936900"/>
    <s v="Remco"/>
    <s v="29Z70HAR8LD"/>
    <s v="0082_WWI_00003_V2L_01"/>
    <s v="YES"/>
    <s v="y"/>
    <m/>
    <m/>
    <s v="2025_07_26"/>
    <s v="Osaka"/>
    <s v="Japan"/>
    <n v="29"/>
    <s v="1-3-3 Nakamichi, Higashinari-ku, Osaka, 537-0025, Japan"/>
    <s v="Via E. Fermi 2749, T.P. 120, Directorate D Sustainable Resources, Ispra, 21027, Italy"/>
    <n v="92"/>
    <s v="Pick-up service of hypothetic package as defined in the Tech. Specs. and delivery to lots_x000a_2 and 3 contractors according to Scenario 4"/>
    <s v="YES"/>
    <s v="Non-EuropeEU"/>
  </r>
  <r>
    <n v="4"/>
    <s v="3rd-party-sample-UPS"/>
    <n v="1"/>
    <d v="2025-08-30T00:00:00"/>
    <x v="3"/>
    <n v="36"/>
    <s v="25-09"/>
    <x v="0"/>
    <s v="Osaka Expo"/>
    <s v="-"/>
    <n v="0.58333333333333337"/>
    <s v="Instituto Superior Tecnico"/>
    <s v="Tom"/>
    <s v="1ZRJ76798610046313"/>
    <s v="Tom"/>
    <s v="29O892QCKL4"/>
    <s v="0082_WWI_00004_V2L_01"/>
    <s v="YES"/>
    <s v="y"/>
    <m/>
    <m/>
    <s v="2025_08_30"/>
    <s v="Osaka"/>
    <s v="Japan"/>
    <n v="34"/>
    <s v="1-3-3 Nakamichi, Higashinari-ku, Osaka, 537-0025, Japan"/>
    <s v="Av. Rovisco Pais 1, Laboratorio de Analises de Agua, Lisbon, 1049-001, Portugal"/>
    <n v="92"/>
    <s v="Pick-up service of hypothetic package as defined in the Tech. Specs. and delivery to lots_x000a_2 and 3 contractors according to Scenario 4"/>
    <s v="YES"/>
    <s v="Non-EuropeEU"/>
  </r>
  <r>
    <n v="5"/>
    <s v="3rd-party-sample-UPS"/>
    <n v="1"/>
    <d v="2025-09-27T00:00:00"/>
    <x v="4"/>
    <n v="40"/>
    <s v="25-09"/>
    <x v="0"/>
    <s v="Osaka Expo"/>
    <s v="-"/>
    <n v="0.58333333333333337"/>
    <s v="Instituto Superior Tecnico"/>
    <s v="Remco"/>
    <s v="1ZRJ76798604230456"/>
    <s v="Remco"/>
    <s v="29H9CCMLM0I"/>
    <s v="0082_WWI_00005_V2L_01"/>
    <s v="YES"/>
    <s v="y"/>
    <m/>
    <m/>
    <s v="2025_09_27"/>
    <s v="Osaka"/>
    <s v="Japan"/>
    <n v="38"/>
    <s v="1-3-3 Nakamichi, Higashinari-ku, Osaka, 537-0025, Japan"/>
    <s v="Av. Rovisco Pais 1, Laboratorio de Analises de Agua, Lisbon, 1049-001, Portugal"/>
    <n v="92"/>
    <s v="Pick-up service of hypothetic package as defined in the Tech. Specs. and delivery to lots_x000a_2 and 3 contractors according to Scenario 4"/>
    <s v="YES"/>
    <s v="Non-EuropeEU"/>
  </r>
  <r>
    <n v="6"/>
    <s v="3rd-party-sample-UPS"/>
    <n v="1"/>
    <d v="2025-10-25T00:00:00"/>
    <x v="5"/>
    <n v="44"/>
    <s v="25-10"/>
    <x v="0"/>
    <s v="Osaka Expo"/>
    <s v="-"/>
    <n v="0.58333333333333337"/>
    <s v="Instituto Superior Tecnico"/>
    <s v="Jason"/>
    <s v="1ZRJ73868618914880"/>
    <m/>
    <m/>
    <m/>
    <s v="NO"/>
    <m/>
    <m/>
    <m/>
    <s v="2025_10_25"/>
    <s v="Osaka"/>
    <s v="Japan"/>
    <n v="42"/>
    <s v="1-3-3 Nakamichi, Higashinari-ku, Osaka, 537-0025, Japan"/>
    <s v="Av. Rovisco Pais 1, Laboratorio de Analises de Agua, Lisbon, 1049-001, Portugal"/>
    <n v="92"/>
    <s v="Pick-up service of hypothetic package as defined in the Tech. Specs. and delivery to lots_x000a_2 and 3 contractors according to Scenario 4"/>
    <s v="YES"/>
    <s v="Non-EuropeEU"/>
  </r>
  <r>
    <n v="7"/>
    <s v="3rd-party-sample-UPS"/>
    <n v="1"/>
    <d v="2025-06-01T00:00:00"/>
    <x v="6"/>
    <n v="23"/>
    <s v="25-06"/>
    <x v="1"/>
    <s v="Berlin (Schoenefeld) WWTP"/>
    <s v="Berlin Airport"/>
    <n v="0.58333333333333337"/>
    <s v="European Commission - JRC"/>
    <m/>
    <s v="1ZRJ73868609872139"/>
    <m/>
    <s v="Extern opgehaald"/>
    <m/>
    <s v="YES"/>
    <s v="y"/>
    <s v="Yes"/>
    <s v="Waybill niet gebruikt. Samples zijn samengevoegd met doos van waybill eindigend op 4946"/>
    <s v="2025_06_01"/>
    <s v="Berlin"/>
    <s v="Germany"/>
    <n v="21"/>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8"/>
    <s v="3rd-party-sample-UPS"/>
    <n v="1"/>
    <d v="2025-06-15T00:00:00"/>
    <x v="7"/>
    <n v="25"/>
    <s v="25-06"/>
    <x v="1"/>
    <s v="Berlin (Schoenefeld) WWTP"/>
    <s v="Berlin Airport"/>
    <n v="0.58333333333333337"/>
    <s v="European Commission - JRC"/>
    <s v="Tom"/>
    <s v="1ZRJ73868628409925"/>
    <m/>
    <s v="29FJI0A1L19 (failed); 2965M5KE85O (failed); 29K5MNJ1B39 (failed); 29XJAJA64J9 (failed)"/>
    <s v="0082_WWI_00002_T8P_08_x000a_0082_WWI_00002_T8P_07_x000a_0082_WWI_00002_T8P_06_x000a_0082_WWI_00002_T8P_05_x000a_0082_WWI_00002_T8P_04_x000a_0082_WWI_00002_T8P_03_x000a_0082_WWI_00002_T8P_02_x000a_0082_WWI_00002_T8P_01"/>
    <s v="YES"/>
    <s v="y"/>
    <m/>
    <m/>
    <s v="2025_06_15"/>
    <s v="Berlin"/>
    <s v="Germany"/>
    <n v="23"/>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9"/>
    <s v="3rd-party-sample-UPS"/>
    <n v="1"/>
    <d v="2025-06-29T00:00:00"/>
    <x v="8"/>
    <n v="27"/>
    <s v="25-06"/>
    <x v="1"/>
    <s v="Berlin (Schoenefeld) WWTP"/>
    <s v="Berlin Airport"/>
    <n v="0.58333333333333337"/>
    <s v="European Commission - JRC"/>
    <s v="Tom"/>
    <s v="1ZRJ73868619146173"/>
    <s v="Tom"/>
    <s v="2925NJRL8DA"/>
    <s v="0082_WWI_00003_H2N_01"/>
    <s v="YES"/>
    <s v="y"/>
    <m/>
    <m/>
    <s v="2025_06_29"/>
    <s v="Berlin"/>
    <s v="Germany"/>
    <n v="25"/>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10"/>
    <s v="3rd-party-sample-UPS"/>
    <n v="1"/>
    <d v="2025-07-13T00:00:00"/>
    <x v="9"/>
    <n v="29"/>
    <s v="25-07"/>
    <x v="1"/>
    <s v="Berlin (Schoenefeld) WWTP"/>
    <s v="Berlin Airport"/>
    <n v="0.58333333333333337"/>
    <s v="European Commission - JRC"/>
    <s v="Tom &amp; Jason"/>
    <s v="1ZRJ73868621047490"/>
    <s v="Remco"/>
    <s v="29Q6G8MNDCJ"/>
    <s v="0082_WWI_00004_T8P_01"/>
    <s v="YES"/>
    <s v="y"/>
    <m/>
    <m/>
    <s v="2025_07_13"/>
    <s v="Berlin"/>
    <s v="Germany"/>
    <n v="27"/>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11"/>
    <s v="3rd-party-sample-UPS"/>
    <n v="1"/>
    <d v="2025-08-03T00:00:00"/>
    <x v="10"/>
    <n v="32"/>
    <s v="25-08"/>
    <x v="1"/>
    <s v="Berlin (Schoenefeld) WWTP"/>
    <s v="Berlin Airport"/>
    <n v="0.58333333333333337"/>
    <s v="Instituto Superior Tecnico"/>
    <s v="Remco"/>
    <s v="1ZRJ73868611642767"/>
    <s v="Remco/Jason"/>
    <s v="29P769PA3KE"/>
    <m/>
    <s v="YES"/>
    <s v="y"/>
    <m/>
    <m/>
    <s v="2025_08_03"/>
    <s v="Berlin"/>
    <s v="Germany"/>
    <n v="30"/>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12"/>
    <s v="3rd-party-sample-UPS"/>
    <n v="1"/>
    <d v="2025-08-17T00:00:00"/>
    <x v="11"/>
    <n v="34"/>
    <s v="25-08"/>
    <x v="1"/>
    <s v="Berlin (Schoenefeld) WWTP"/>
    <s v="Berlin Airport"/>
    <n v="0.58333333333333337"/>
    <s v="Instituto Superior Tecnico"/>
    <s v="Tom"/>
    <s v="1ZRJ76798600006018"/>
    <s v="Jason"/>
    <s v="29G7O0A5SOD"/>
    <s v="0082_WWI_00006_H2N_01"/>
    <s v="YES"/>
    <s v="y"/>
    <m/>
    <m/>
    <s v="2025_08_17"/>
    <s v="Berlin"/>
    <s v="Germany"/>
    <n v="32"/>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13"/>
    <s v="3rd-party-sample-UPS"/>
    <n v="1"/>
    <d v="2025-08-31T00:00:00"/>
    <x v="12"/>
    <n v="36"/>
    <s v="25-09"/>
    <x v="1"/>
    <s v="Berlin (Schoenefeld) WWTP"/>
    <s v="Berlin Airport"/>
    <n v="0.58333333333333337"/>
    <s v="Instituto Superior Tecnico"/>
    <s v="Tom"/>
    <s v="1ZRJ76798610736121"/>
    <s v="Tom"/>
    <s v="29SLS7F9IHK"/>
    <s v="0082_WWI_00007_H2N_01"/>
    <s v="YES"/>
    <s v="y"/>
    <m/>
    <m/>
    <s v="2025_08_31"/>
    <s v="Berlin"/>
    <s v="Germany"/>
    <n v="34"/>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14"/>
    <s v="3rd-party-sample-UPS"/>
    <n v="1"/>
    <d v="2025-09-14T00:00:00"/>
    <x v="13"/>
    <n v="38"/>
    <s v="25-09"/>
    <x v="1"/>
    <s v="Berlin (Schoenefeld) WWTP"/>
    <s v="Berlin Airport"/>
    <n v="0.58333333333333337"/>
    <s v="Instituto Superior Tecnico"/>
    <s v="Tom"/>
    <s v="1ZRJ76798603248341"/>
    <s v="Jason"/>
    <s v="29N8J422HMG"/>
    <s v="0082_WWI_00008_T8P_01"/>
    <s v="YES"/>
    <s v="y"/>
    <m/>
    <m/>
    <s v="2025_09_14"/>
    <s v="Berlin"/>
    <s v="Germany"/>
    <n v="36"/>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15"/>
    <s v="3rd-party-sample-UPS"/>
    <n v="1"/>
    <d v="2025-10-05T00:00:00"/>
    <x v="14"/>
    <n v="41"/>
    <s v="25-10"/>
    <x v="1"/>
    <s v="Berlin (Schoenefeld) WWTP"/>
    <s v="Berlin Airport"/>
    <n v="0.58333333333333337"/>
    <s v="Instituto Superior Tecnico"/>
    <s v="Remco"/>
    <s v="1ZRJ76798605600483"/>
    <s v="Jason"/>
    <s v="29TNC2PDP6H"/>
    <s v="0082_WWI_00009_T8P_01"/>
    <s v="YES"/>
    <s v="y"/>
    <m/>
    <m/>
    <s v="2025_10_05"/>
    <s v="Berlin"/>
    <s v="Germany"/>
    <n v="39"/>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16"/>
    <s v="3rd-party-sample-UPS"/>
    <n v="1"/>
    <d v="2025-10-19T00:00:00"/>
    <x v="15"/>
    <n v="43"/>
    <s v="25-10"/>
    <x v="1"/>
    <s v="Berlin (Schoenefeld) WWTP"/>
    <s v="Berlin Airport"/>
    <n v="0.58333333333333337"/>
    <s v="Instituto Superior Tecnico"/>
    <s v="Tom"/>
    <s v="1ZRJ76798639360974"/>
    <s v="Tom"/>
    <s v="29VNNA4F4PO"/>
    <m/>
    <s v="YES"/>
    <m/>
    <m/>
    <m/>
    <s v="2025_10_19"/>
    <s v="Berlin"/>
    <s v="Germany"/>
    <n v="41"/>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17"/>
    <s v="3rd-party-sample-UPS"/>
    <n v="1"/>
    <d v="2025-11-02T00:00:00"/>
    <x v="16"/>
    <n v="45"/>
    <s v="25-11"/>
    <x v="1"/>
    <s v="Berlin (Schoenefeld) WWTP"/>
    <s v="Berlin Airport"/>
    <n v="0.58333333333333337"/>
    <s v="Instituto Superior Tecnico"/>
    <s v="Jason"/>
    <s v="1ZRJ73868638350915"/>
    <m/>
    <m/>
    <m/>
    <s v="YES"/>
    <m/>
    <m/>
    <m/>
    <s v="2025_11_02"/>
    <s v="Berlin"/>
    <s v="Germany"/>
    <n v="43"/>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NO"/>
    <s v="EUEU"/>
  </r>
  <r>
    <n v="18"/>
    <s v="3rd-party-sample-UPS"/>
    <n v="1"/>
    <d v="2025-11-16T00:00:00"/>
    <x v="17"/>
    <n v="47"/>
    <s v="25-11"/>
    <x v="1"/>
    <s v="Berlin (Schoenefeld) WWTP"/>
    <s v="Berlin Airport"/>
    <n v="0.58333333333333337"/>
    <m/>
    <m/>
    <m/>
    <m/>
    <m/>
    <m/>
    <s v="NO"/>
    <m/>
    <m/>
    <m/>
    <s v="2025_11_16"/>
    <s v="Berlin"/>
    <s v="Germany"/>
    <n v="45"/>
    <s v="Strasse am Klarwerk 4, Klarwerk Wassmannsdorf, Schoenefeld, 12529, Germany"/>
    <n v="0"/>
    <s v=""/>
    <s v=""/>
    <s v="NO"/>
    <s v="EU"/>
  </r>
  <r>
    <n v="19"/>
    <s v="3rd-party-sample-UPS"/>
    <n v="1"/>
    <d v="2025-11-30T00:00:00"/>
    <x v="18"/>
    <n v="49"/>
    <s v="25-12"/>
    <x v="1"/>
    <s v="Berlin (Schoenefeld) WWTP"/>
    <s v="Berlin Airport"/>
    <n v="0.58333333333333337"/>
    <m/>
    <m/>
    <m/>
    <m/>
    <m/>
    <m/>
    <s v="NO"/>
    <m/>
    <m/>
    <m/>
    <s v="2025_11_30"/>
    <s v="Berlin"/>
    <s v="Germany"/>
    <n v="47"/>
    <s v="Strasse am Klarwerk 4, Klarwerk Wassmannsdorf, Schoenefeld, 12529, Germany"/>
    <n v="0"/>
    <s v=""/>
    <s v=""/>
    <s v="NO"/>
    <s v="EU"/>
  </r>
  <r>
    <n v="20"/>
    <s v="3rd-party-sample-UPS"/>
    <n v="1"/>
    <d v="2025-12-14T00:00:00"/>
    <x v="19"/>
    <n v="51"/>
    <s v="25-12"/>
    <x v="1"/>
    <s v="Berlin (Schoenefeld) WWTP"/>
    <s v="Berlin Airport"/>
    <n v="0.58333333333333337"/>
    <m/>
    <m/>
    <m/>
    <m/>
    <m/>
    <m/>
    <s v="NO"/>
    <m/>
    <m/>
    <m/>
    <s v="2025_12_14"/>
    <s v="Berlin"/>
    <s v="Germany"/>
    <n v="49"/>
    <s v="Strasse am Klarwerk 4, Klarwerk Wassmannsdorf, Schoenefeld, 12529, Germany"/>
    <n v="0"/>
    <s v=""/>
    <s v=""/>
    <s v="NO"/>
    <s v="EU"/>
  </r>
  <r>
    <n v="21"/>
    <s v="3rd-party-sample-UPS"/>
    <n v="1"/>
    <d v="2025-06-03T00:00:00"/>
    <x v="20"/>
    <n v="23"/>
    <s v="25-06"/>
    <x v="2"/>
    <s v="Munich WWTP"/>
    <s v="Munich Airport"/>
    <n v="0.58333333333333337"/>
    <s v="European Commission - JRC"/>
    <m/>
    <s v="1ZRJ73868613065815"/>
    <m/>
    <s v="2955459GH6H "/>
    <s v="0082_WWI_00001_C7K_01;0082_WWI_00001_C7K_02;0082_WWI_00001_C7K_03;0082_WWI_00001_C7K_04;0082_WWI_00001_C7K_05;0082_WWI_00001_C7K_06;0082_WWI_00001_C7K_07;0082_WWI_00001_C7K_08"/>
    <s v="YES"/>
    <s v="y"/>
    <m/>
    <m/>
    <s v="2025_06_03"/>
    <s v="Munich"/>
    <s v="Germany"/>
    <n v="21"/>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22"/>
    <s v="3rd-party-sample-UPS"/>
    <n v="1"/>
    <d v="2025-06-17T00:00:00"/>
    <x v="21"/>
    <n v="25"/>
    <s v="25-06"/>
    <x v="2"/>
    <s v="Munich WWTP"/>
    <s v="Munich Airport"/>
    <n v="0.58333333333333337"/>
    <s v="European Commission - JRC"/>
    <s v="Tom"/>
    <s v="1ZRJ73868627401961"/>
    <m/>
    <s v="29FJAD95759"/>
    <s v="0082_WWI_00002_C7K_08_x000a_0082_WWI_00002_C7K_07_x000a_0082_WWI_00002_C7K_06_x000a_0082_WWI_00002_C7K_05_x000a_0082_WWI_00002_C7K_04_x000a_0082_WWI_00002_C7K_03_x000a_0082_WWI_00002_C7K_02_x000a_0082_WWI_00002_C7K_01"/>
    <s v="YES"/>
    <s v="y"/>
    <m/>
    <m/>
    <s v="2025_06_17"/>
    <s v="Munich"/>
    <s v="Germany"/>
    <n v="23"/>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23"/>
    <s v="3rd-party-sample-UPS"/>
    <n v="1"/>
    <d v="2025-07-01T00:00:00"/>
    <x v="22"/>
    <n v="27"/>
    <s v="25-07"/>
    <x v="2"/>
    <s v="Munich WWTP"/>
    <s v="Munich Airport"/>
    <n v="0.58333333333333337"/>
    <s v="European Commission - JRC"/>
    <s v="Remco"/>
    <s v="1ZRJ73868624287396"/>
    <s v="Remco"/>
    <s v="29K62KJ7ARR"/>
    <s v="0082_WWI_00003_C7K_01"/>
    <s v="YES"/>
    <s v="y"/>
    <m/>
    <m/>
    <s v="2025_07_01"/>
    <s v="Munich"/>
    <s v="Germany"/>
    <n v="25"/>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24"/>
    <s v="3rd-party-sample-UPS"/>
    <n v="1"/>
    <d v="2025-07-15T00:00:00"/>
    <x v="23"/>
    <n v="29"/>
    <s v="25-07"/>
    <x v="2"/>
    <s v="Munich WWTP"/>
    <s v="Munich Airport"/>
    <n v="0.58333333333333337"/>
    <s v="European Commission - JRC"/>
    <s v="Tom"/>
    <s v="1ZRJ73868615968980"/>
    <s v="Remco"/>
    <s v="29RKALEBLCH"/>
    <s v="0082_WWI_00004_S5G_01"/>
    <s v="YES"/>
    <s v="y"/>
    <m/>
    <m/>
    <s v="2025_07_15"/>
    <s v="Munich"/>
    <s v="Germany"/>
    <n v="27"/>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25"/>
    <s v="3rd-party-sample-UPS"/>
    <n v="1"/>
    <d v="2025-08-05T00:00:00"/>
    <x v="24"/>
    <n v="32"/>
    <s v="25-08"/>
    <x v="2"/>
    <s v="Munich WWTP"/>
    <s v="Munich Airport"/>
    <n v="0.58333333333333337"/>
    <s v="Instituto Superior Tecnico"/>
    <s v="Remco"/>
    <s v="1ZRJ73868634084612"/>
    <s v="Remco/Jason"/>
    <s v="29RL0KH3C9L"/>
    <m/>
    <s v="YES"/>
    <s v="y"/>
    <m/>
    <s v="Pick-up cancelled"/>
    <s v="2025_08_05"/>
    <s v="Munich"/>
    <s v="Germany"/>
    <n v="30"/>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26"/>
    <s v="3rd-party-sample-UPS"/>
    <n v="1"/>
    <d v="2025-08-19T00:00:00"/>
    <x v="25"/>
    <n v="34"/>
    <s v="25-08"/>
    <x v="2"/>
    <s v="Munich WWTP"/>
    <s v="Munich Airport"/>
    <n v="0.58333333333333337"/>
    <s v="Instituto Superior Tecnico"/>
    <s v="Tom"/>
    <s v="1ZRJ76798628467862"/>
    <s v="Jason"/>
    <s v="29LLI54Q0QN"/>
    <s v="0082_WWI_00006_S5G_01"/>
    <s v="YES"/>
    <s v="y"/>
    <m/>
    <m/>
    <s v="2025_08_19"/>
    <s v="Munich"/>
    <s v="Germany"/>
    <n v="32"/>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27"/>
    <s v="3rd-party-sample-UPS"/>
    <n v="1"/>
    <d v="2025-09-02T00:00:00"/>
    <x v="26"/>
    <n v="36"/>
    <s v="25-09"/>
    <x v="2"/>
    <s v="Munich WWTP"/>
    <s v="Munich Airport"/>
    <n v="0.58333333333333337"/>
    <s v="Instituto Superior Tecnico"/>
    <s v="Tom"/>
    <s v="1ZRJ76798612966218"/>
    <s v="Tom"/>
    <s v="29J89DG6F4M"/>
    <s v="0082_WWI_00007_C7K_01"/>
    <s v="YES"/>
    <s v="y"/>
    <m/>
    <m/>
    <s v="2025_09_02"/>
    <s v="Munich"/>
    <s v="Germany"/>
    <n v="34"/>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28"/>
    <s v="3rd-party-sample-UPS"/>
    <n v="1"/>
    <d v="2025-09-16T00:00:00"/>
    <x v="27"/>
    <n v="38"/>
    <s v="25-09"/>
    <x v="2"/>
    <s v="Munich WWTP"/>
    <s v="Munich Airport"/>
    <n v="0.58333333333333337"/>
    <s v="Instituto Superior Tecnico"/>
    <s v="Tom"/>
    <s v="1ZRJ76798627495084"/>
    <s v="Jason"/>
    <s v="294MD7F9L4P"/>
    <s v="0082_WWI_00008_C7K_01"/>
    <s v="YES"/>
    <s v="y"/>
    <m/>
    <m/>
    <s v="2025_09_16"/>
    <s v="Munich"/>
    <s v="Germany"/>
    <n v="36"/>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29"/>
    <s v="3rd-party-sample-UPS"/>
    <n v="1"/>
    <d v="2025-10-07T00:00:00"/>
    <x v="28"/>
    <n v="41"/>
    <s v="25-10"/>
    <x v="2"/>
    <s v="Munich WWTP"/>
    <s v="Munich Airport"/>
    <n v="0.58333333333333337"/>
    <s v="Instituto Superior Tecnico"/>
    <s v="Remco"/>
    <s v="1ZRJ76798614496562"/>
    <s v="Tom"/>
    <s v="2969JDFFLFG"/>
    <s v="0082_WWI_00009_C7K_01"/>
    <s v="YES"/>
    <s v="y"/>
    <m/>
    <m/>
    <s v="2025_10_07"/>
    <s v="Munich"/>
    <s v="Germany"/>
    <n v="39"/>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30"/>
    <s v="3rd-party-sample-UPS"/>
    <n v="1"/>
    <d v="2025-10-21T00:00:00"/>
    <x v="29"/>
    <n v="43"/>
    <s v="25-10"/>
    <x v="2"/>
    <s v="Munich WWTP"/>
    <s v="Munich Airport"/>
    <n v="0.58333333333333337"/>
    <s v="Instituto Superior Tecnico"/>
    <s v="Tom"/>
    <s v="1ZRJ76798610910834"/>
    <m/>
    <m/>
    <m/>
    <s v="YES"/>
    <m/>
    <m/>
    <m/>
    <s v="2025_10_21"/>
    <s v="Munich"/>
    <s v="Germany"/>
    <n v="41"/>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31"/>
    <s v="3rd-party-sample-UPS"/>
    <n v="1"/>
    <d v="2025-11-04T00:00:00"/>
    <x v="30"/>
    <n v="45"/>
    <s v="25-11"/>
    <x v="2"/>
    <s v="Munich WWTP"/>
    <s v="Munich Airport"/>
    <n v="0.58333333333333337"/>
    <s v="Instituto Superior Tecnico"/>
    <s v="Remco"/>
    <s v="1ZRJ73868632800341"/>
    <m/>
    <m/>
    <m/>
    <s v="YES"/>
    <m/>
    <m/>
    <m/>
    <s v="2025_11_04"/>
    <s v="Munich"/>
    <s v="Germany"/>
    <n v="43"/>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NO"/>
    <s v="EUEU"/>
  </r>
  <r>
    <n v="32"/>
    <s v="3rd-party-sample-UPS"/>
    <n v="1"/>
    <d v="2025-11-18T00:00:00"/>
    <x v="31"/>
    <n v="47"/>
    <s v="25-11"/>
    <x v="2"/>
    <s v="Munich WWTP"/>
    <s v="Munich Airport"/>
    <n v="0.58333333333333337"/>
    <m/>
    <m/>
    <m/>
    <m/>
    <m/>
    <m/>
    <s v="NO"/>
    <m/>
    <m/>
    <m/>
    <s v="2025_11_18"/>
    <s v="Munich"/>
    <s v="Germany"/>
    <n v="45"/>
    <s v="Leopoldstrasse 5, Institut fuer Infektions- und Tropenmedizin, Munich, 80802, Germany"/>
    <n v="0"/>
    <s v=""/>
    <s v=""/>
    <s v="NO"/>
    <s v="EU"/>
  </r>
  <r>
    <n v="33"/>
    <s v="3rd-party-sample-UPS"/>
    <n v="1"/>
    <d v="2025-12-02T00:00:00"/>
    <x v="32"/>
    <n v="49"/>
    <s v="25-12"/>
    <x v="2"/>
    <s v="Munich WWTP"/>
    <s v="Munich Airport"/>
    <n v="0.58333333333333337"/>
    <m/>
    <m/>
    <m/>
    <m/>
    <m/>
    <m/>
    <s v="NO"/>
    <m/>
    <m/>
    <m/>
    <s v="2025_12_02"/>
    <s v="Munich"/>
    <s v="Germany"/>
    <n v="47"/>
    <s v="Leopoldstrasse 5, Institut fuer Infektions- und Tropenmedizin, Munich, 80802, Germany"/>
    <n v="0"/>
    <s v=""/>
    <s v=""/>
    <s v="NO"/>
    <s v="EU"/>
  </r>
  <r>
    <n v="34"/>
    <s v="3rd-party-sample-UPS"/>
    <n v="1"/>
    <d v="2025-12-16T00:00:00"/>
    <x v="33"/>
    <n v="51"/>
    <s v="25-12"/>
    <x v="2"/>
    <s v="Munich WWTP"/>
    <s v="Munich Airport"/>
    <n v="0.58333333333333337"/>
    <m/>
    <m/>
    <m/>
    <m/>
    <m/>
    <m/>
    <s v="NO"/>
    <m/>
    <m/>
    <m/>
    <s v="2025_12_16"/>
    <s v="Munich"/>
    <s v="Germany"/>
    <n v="49"/>
    <s v="Leopoldstrasse 5, Institut fuer Infektions- und Tropenmedizin, Munich, 80802, Germany"/>
    <n v="0"/>
    <s v=""/>
    <s v=""/>
    <s v="NO"/>
    <s v="EU"/>
  </r>
  <r>
    <n v="35"/>
    <s v="3rd-party-sample-UPS"/>
    <n v="1"/>
    <d v="2025-06-03T00:00:00"/>
    <x v="20"/>
    <n v="23"/>
    <s v="25-06"/>
    <x v="3"/>
    <s v="Frankfurt WWTP"/>
    <s v="Frankfurt Airport"/>
    <n v="0.58333333333333337"/>
    <s v="European Commission - JRC"/>
    <m/>
    <s v="1ZRJ73868615808205"/>
    <m/>
    <s v="29V54GAF9R6 "/>
    <s v="0082_WWI_00001_Y9B_01;0082_WWI_00001_Y9B_02;0082_WWI_00001_Y9B_03;0082_WWI_00001_Y9B_04;0082_WWI_00001_Y9B_05;0082_WWI_00001_Y9B_06;0082_WWI_00001_Y9B_07;0082_WWI_00001_Y9B_08"/>
    <s v="YES"/>
    <s v="y"/>
    <m/>
    <m/>
    <s v="2025_06_03"/>
    <s v="Frankfurt"/>
    <s v="Germany"/>
    <n v="21"/>
    <s v="Goldsteinstraße 160, Gebäude 71 , Frankfurt am Main , 60528, Germany"/>
    <s v="Via E. Fermi 2749, T.P. 120, Directorate D Sustainable Resources, Ispra, 21027, Italy"/>
    <n v="89"/>
    <s v="Pick-up service of hypothetic package as defined in the Tech. Specs. and delivery to lots_x000a_2 and 3 contractors according to Scenario 1"/>
    <s v="YES"/>
    <s v="EUEU"/>
  </r>
  <r>
    <n v="36"/>
    <s v="3rd-party-sample-UPS"/>
    <n v="1"/>
    <d v="2025-06-17T00:00:00"/>
    <x v="21"/>
    <n v="25"/>
    <s v="25-06"/>
    <x v="3"/>
    <s v="Frankfurt WWTP"/>
    <s v="Frankfurt Airport"/>
    <n v="0.58333333333333337"/>
    <s v="European Commission - JRC"/>
    <s v="Tom"/>
    <s v="1ZRJ73868605376405"/>
    <m/>
    <s v="29K5G6AOG65"/>
    <s v="0082_WWI_00002_F3W_08_x000a_0082_WWI_00002_F3W_07_x000a_0082_WWI_00002_F3W_06_x000a_0082_WWI_00002_F3W_05_x000a_0082_WWI_00002_F3W_04_x000a_0082_WWI_00002_F3W_03_x000a_0082_WWI_00002_F3W_02_x000a_0082_WWI_00002_F3W_01"/>
    <s v="YES"/>
    <s v="y"/>
    <m/>
    <m/>
    <s v="2025_06_17"/>
    <s v="Frankfurt"/>
    <s v="Germany"/>
    <n v="23"/>
    <s v="Goldsteinstraße 160, Gebäude 71 , Frankfurt am Main , 60528, Germany"/>
    <s v="Via E. Fermi 2749, T.P. 120, Directorate D Sustainable Resources, Ispra, 21027, Italy"/>
    <n v="89"/>
    <s v="Pick-up service of hypothetic package as defined in the Tech. Specs. and delivery to lots_x000a_2 and 3 contractors according to Scenario 1"/>
    <s v="YES"/>
    <s v="EUEU"/>
  </r>
  <r>
    <n v="37"/>
    <s v="3rd-party-sample-UPS"/>
    <n v="1"/>
    <d v="2025-07-01T00:00:00"/>
    <x v="22"/>
    <n v="27"/>
    <s v="25-07"/>
    <x v="3"/>
    <s v="Frankfurt WWTP"/>
    <s v="Frankfurt Airport"/>
    <n v="0.58333333333333337"/>
    <s v="European Commission - JRC"/>
    <s v="Remco"/>
    <s v="1ZRJ73868627602637"/>
    <s v="Remco"/>
    <s v="29SJP1N6ID4"/>
    <s v="0082_WWI_00002_T8P_08;0082_WWI_00002_T8P_07;0082_WWI_00002_T8P_06;0082_WWI_00002_T8P_05;0082_WWI_00002_T8P_04;0082_WWI_00002_T8P_03;0082_WWI_00002_T8P_02;0082_WWI_00002_T8P_01"/>
    <s v="YES"/>
    <s v="y"/>
    <m/>
    <m/>
    <s v="2025_07_01"/>
    <s v="Frankfurt"/>
    <s v="Germany"/>
    <n v="25"/>
    <s v="Goldsteinstraße 160, Gebäude 71 , Frankfurt am Main , 60528, Germany"/>
    <s v="Via E. Fermi 2749, T.P. 120, Directorate D Sustainable Resources, Ispra, 21027, Italy"/>
    <n v="89"/>
    <s v="Pick-up service of hypothetic package as defined in the Tech. Specs. and delivery to lots_x000a_2 and 3 contractors according to Scenario 1"/>
    <s v="YES"/>
    <s v="EUEU"/>
  </r>
  <r>
    <n v="38"/>
    <s v="3rd-party-sample-UPS"/>
    <n v="1"/>
    <d v="2025-07-15T00:00:00"/>
    <x v="23"/>
    <n v="29"/>
    <s v="25-07"/>
    <x v="3"/>
    <s v="Frankfurt WWTP"/>
    <s v="Frankfurt Airport"/>
    <n v="0.58333333333333337"/>
    <s v="European Commission - JRC"/>
    <s v="Tom"/>
    <s v="1ZRJ73868633764371"/>
    <s v="Remco"/>
    <s v="297KA8QI69P"/>
    <s v="0082_WWI_00004_F3W_01"/>
    <s v="YES"/>
    <s v="y"/>
    <m/>
    <m/>
    <s v="2025_07_15"/>
    <s v="Frankfurt"/>
    <s v="Germany"/>
    <n v="27"/>
    <s v="Goldsteinstraße 160, Gebäude 71 , Frankfurt am Main , 60528, Germany"/>
    <s v="Via E. Fermi 2749, T.P. 120, Directorate D Sustainable Resources, Ispra, 21027, Italy"/>
    <n v="89"/>
    <s v="Pick-up service of hypothetic package as defined in the Tech. Specs. and delivery to lots_x000a_2 and 3 contractors according to Scenario 1"/>
    <s v="YES"/>
    <s v="EUEU"/>
  </r>
  <r>
    <n v="39"/>
    <s v="3rd-party-sample-UPS"/>
    <n v="1"/>
    <d v="2025-08-05T00:00:00"/>
    <x v="24"/>
    <n v="32"/>
    <s v="25-08"/>
    <x v="3"/>
    <s v="Frankfurt WWTP"/>
    <s v="Frankfurt Airport"/>
    <n v="0.58333333333333337"/>
    <s v="Instituto Superior Tecnico"/>
    <s v="Remco"/>
    <s v="1ZRJ73868629107035"/>
    <s v="Remco/Jason"/>
    <s v="29FL0J7AS9I"/>
    <m/>
    <s v="YES"/>
    <s v="y"/>
    <m/>
    <m/>
    <s v="2025_08_05"/>
    <s v="Frankfurt"/>
    <s v="Germany"/>
    <n v="30"/>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YES"/>
    <s v="EUEU"/>
  </r>
  <r>
    <n v="40"/>
    <s v="3rd-party-sample-UPS"/>
    <n v="1"/>
    <d v="2025-08-19T00:00:00"/>
    <x v="25"/>
    <n v="34"/>
    <s v="25-08"/>
    <x v="3"/>
    <s v="Frankfurt WWTP"/>
    <s v="Frankfurt Airport"/>
    <n v="0.58333333333333337"/>
    <s v="Instituto Superior Tecnico"/>
    <s v="Tom"/>
    <s v="1ZRJ76798628049831"/>
    <s v="Tom"/>
    <s v="29VLN30OPEE"/>
    <s v="0082_WWI_00006_F3W_01"/>
    <s v="YES"/>
    <s v="y"/>
    <m/>
    <s v="First collection attempt failed"/>
    <s v="2025_08_19"/>
    <s v="Frankfurt"/>
    <s v="Germany"/>
    <n v="32"/>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YES"/>
    <s v="EUEU"/>
  </r>
  <r>
    <n v="41"/>
    <s v="3rd-party-sample-UPS"/>
    <n v="1"/>
    <d v="2025-09-02T00:00:00"/>
    <x v="26"/>
    <n v="36"/>
    <s v="25-09"/>
    <x v="3"/>
    <s v="Frankfurt WWTP"/>
    <s v="Frankfurt Airport"/>
    <n v="0.58333333333333337"/>
    <s v="Instituto Superior Tecnico"/>
    <s v="Tom"/>
    <s v="1ZRJ76798602598297"/>
    <s v="Tom"/>
    <s v="294M3271QI9"/>
    <s v="0082_WWI_00007_F3W_01"/>
    <s v="YES"/>
    <s v="y"/>
    <m/>
    <m/>
    <s v="2025_09_02"/>
    <s v="Frankfurt"/>
    <s v="Germany"/>
    <n v="34"/>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YES"/>
    <s v="EUEU"/>
  </r>
  <r>
    <n v="42"/>
    <s v="3rd-party-sample-UPS"/>
    <n v="1"/>
    <d v="2025-09-16T00:00:00"/>
    <x v="27"/>
    <n v="38"/>
    <s v="25-09"/>
    <x v="3"/>
    <s v="Frankfurt WWTP"/>
    <s v="Frankfurt Airport"/>
    <n v="0.58333333333333337"/>
    <s v="Instituto Superior Tecnico"/>
    <s v="Tom"/>
    <s v="1ZRJ76798607840381"/>
    <s v="Jason"/>
    <s v="29F8M1577OQ"/>
    <s v="0082_WWI_00008_F3W_01"/>
    <s v="YES"/>
    <s v="y"/>
    <m/>
    <m/>
    <s v="2025_09_16"/>
    <s v="Frankfurt"/>
    <s v="Germany"/>
    <n v="36"/>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YES"/>
    <s v="EUEU"/>
  </r>
  <r>
    <n v="43"/>
    <s v="3rd-party-sample-UPS"/>
    <n v="1"/>
    <d v="2025-10-07T00:00:00"/>
    <x v="28"/>
    <n v="41"/>
    <s v="25-10"/>
    <x v="3"/>
    <s v="Frankfurt WWTP"/>
    <s v="Frankfurt Airport"/>
    <n v="0.58333333333333337"/>
    <s v="Instituto Superior Tecnico"/>
    <s v="Remco"/>
    <s v="1ZRJ76798603760582"/>
    <s v="Tom"/>
    <s v="29MND16RRGO"/>
    <s v="0082_WWI_00009_F3W_01"/>
    <s v="YES"/>
    <s v="y"/>
    <m/>
    <m/>
    <s v="2025_10_07"/>
    <s v="Frankfurt"/>
    <s v="Germany"/>
    <n v="39"/>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YES"/>
    <s v="EUEU"/>
  </r>
  <r>
    <n v="44"/>
    <s v="3rd-party-sample-UPS"/>
    <n v="1"/>
    <d v="2025-10-21T00:00:00"/>
    <x v="29"/>
    <n v="43"/>
    <s v="25-10"/>
    <x v="3"/>
    <s v="Frankfurt WWTP"/>
    <s v="Frankfurt Airport"/>
    <n v="0.58333333333333337"/>
    <s v="Instituto Superior Tecnico"/>
    <s v="Tom"/>
    <s v="1ZRJ76798600926917"/>
    <m/>
    <m/>
    <m/>
    <s v="YES"/>
    <m/>
    <m/>
    <m/>
    <s v="2025_10_21"/>
    <s v="Frankfurt"/>
    <s v="Germany"/>
    <n v="41"/>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YES"/>
    <s v="EUEU"/>
  </r>
  <r>
    <n v="45"/>
    <s v="3rd-party-sample-UPS"/>
    <n v="1"/>
    <d v="2025-11-04T00:00:00"/>
    <x v="30"/>
    <n v="45"/>
    <s v="25-11"/>
    <x v="3"/>
    <s v="Frankfurt WWTP"/>
    <s v="Frankfurt Airport"/>
    <n v="0.58333333333333337"/>
    <s v="Instituto Superior Tecnico"/>
    <s v="Remco"/>
    <s v="1ZRJ73868637421162"/>
    <m/>
    <m/>
    <m/>
    <s v="YES"/>
    <m/>
    <m/>
    <m/>
    <s v="2025_11_04"/>
    <s v="Frankfurt"/>
    <s v="Germany"/>
    <n v="43"/>
    <s v="Goldsteinstraße 160, Gebäude 71 , Frankfurt am Main , 60528, Germany"/>
    <s v="Av. Rovisco Pais 1, Laboratorio de Analises de Agua, Lisbon, 1049-001, Portugal"/>
    <n v="89"/>
    <s v="Pick-up service of hypothetic package as defined in the Tech. Specs. and delivery to lots_x000a_2 and 3 contractors according to Scenario 1"/>
    <s v="NO"/>
    <s v="EUEU"/>
  </r>
  <r>
    <n v="46"/>
    <s v="3rd-party-sample-UPS"/>
    <n v="1"/>
    <d v="2025-11-18T00:00:00"/>
    <x v="31"/>
    <n v="47"/>
    <s v="25-11"/>
    <x v="3"/>
    <s v="Frankfurt WWTP"/>
    <s v="Frankfurt Airport"/>
    <n v="0.58333333333333337"/>
    <m/>
    <m/>
    <m/>
    <m/>
    <m/>
    <m/>
    <s v="NO"/>
    <m/>
    <m/>
    <m/>
    <s v="2025_11_18"/>
    <s v="Frankfurt"/>
    <s v="Germany"/>
    <n v="45"/>
    <s v="Goldsteinstraße 160, Gebäude 71 , Frankfurt am Main , 60528, Germany"/>
    <n v="0"/>
    <s v=""/>
    <s v=""/>
    <s v="NO"/>
    <s v="EU"/>
  </r>
  <r>
    <n v="47"/>
    <s v="3rd-party-sample-UPS"/>
    <n v="1"/>
    <d v="2025-12-02T00:00:00"/>
    <x v="32"/>
    <n v="49"/>
    <s v="25-12"/>
    <x v="3"/>
    <s v="Frankfurt WWTP"/>
    <s v="Frankfurt Airport"/>
    <n v="0.58333333333333337"/>
    <m/>
    <m/>
    <m/>
    <m/>
    <m/>
    <m/>
    <s v="NO"/>
    <m/>
    <m/>
    <m/>
    <s v="2025_12_02"/>
    <s v="Frankfurt"/>
    <s v="Germany"/>
    <n v="47"/>
    <s v="Goldsteinstraße 160, Gebäude 71 , Frankfurt am Main , 60528, Germany"/>
    <n v="0"/>
    <s v=""/>
    <s v=""/>
    <s v="NO"/>
    <s v="EU"/>
  </r>
  <r>
    <n v="48"/>
    <s v="3rd-party-sample-UPS"/>
    <n v="1"/>
    <d v="2025-12-16T00:00:00"/>
    <x v="33"/>
    <n v="51"/>
    <s v="25-12"/>
    <x v="3"/>
    <s v="Frankfurt WWTP"/>
    <s v="Frankfurt Airport"/>
    <n v="0.58333333333333337"/>
    <m/>
    <m/>
    <m/>
    <m/>
    <m/>
    <m/>
    <s v="NO"/>
    <m/>
    <m/>
    <m/>
    <s v="2025_12_16"/>
    <s v="Frankfurt"/>
    <s v="Germany"/>
    <n v="49"/>
    <s v="Goldsteinstraße 160, Gebäude 71 , Frankfurt am Main , 60528, Germany"/>
    <n v="0"/>
    <s v=""/>
    <s v=""/>
    <s v="NO"/>
    <s v="EU"/>
  </r>
  <r>
    <n v="49"/>
    <s v="3rd-party-sample-UPS"/>
    <n v="1"/>
    <d v="2025-06-16T00:00:00"/>
    <x v="34"/>
    <n v="25"/>
    <s v="25-06"/>
    <x v="4"/>
    <s v="Brussels WWTP"/>
    <s v="Brussels Airport"/>
    <n v="0.70833333333333337"/>
    <s v="European Commission - JRC"/>
    <s v="Tom"/>
    <s v="1ZRJ73868612512388"/>
    <m/>
    <s v="29SJA89BEGM"/>
    <s v="0082_WWI_00001_K8J_01_x000a_0082_WWI_00001_K8J_02_x000a_0082_WWI_00001_K8J_03_x000a_0082_WWI_00001_K8J_04_x000a_0082_WWI_00001_K8J_05_x000a_0082_WWI_00001_K8J_06_x000a_0082_WWI_00001_K8J_07_x000a_0082_WWI_00001_K8J_08"/>
    <s v="YES"/>
    <s v="y"/>
    <m/>
    <m/>
    <s v="2025_06_16"/>
    <s v="Brussels"/>
    <s v="Belgium"/>
    <n v="23"/>
    <s v="Rue Juliette Wytsmanstraat 14, Brussels, 1050, Belgium"/>
    <s v="Via E. Fermi 2749, T.P. 120, Directorate D Sustainable Resources, Ispra, 21027, Italy"/>
    <n v="89"/>
    <s v="Pick-up service of hypothetic package as defined in the Tech. Specs. and delivery to lots_x000a_2 and 3 contractors according to Scenario 1"/>
    <s v="YES"/>
    <s v="EUEU"/>
  </r>
  <r>
    <n v="50"/>
    <s v="3rd-party-sample-UPS"/>
    <n v="1"/>
    <d v="2025-06-30T00:00:00"/>
    <x v="1"/>
    <n v="27"/>
    <s v="25-07"/>
    <x v="4"/>
    <s v="Brussels WWTP"/>
    <s v="Brussels Airport"/>
    <n v="0.70833333333333337"/>
    <s v="European Commission - JRC"/>
    <s v="Remco"/>
    <s v="1ZRJ73868626340172"/>
    <s v="Remco"/>
    <s v="29K62901HPH"/>
    <s v="0082_WWI_00002_7X2_01"/>
    <s v="YES"/>
    <s v="y"/>
    <m/>
    <m/>
    <s v="2025_06_30"/>
    <s v="Brussels"/>
    <s v="Belgium"/>
    <n v="25"/>
    <s v="Rue Juliette Wytsmanstraat 14, Brussels, 1050, Belgium"/>
    <s v="Via E. Fermi 2749, T.P. 120, Directorate D Sustainable Resources, Ispra, 21027, Italy"/>
    <n v="89"/>
    <s v="Pick-up service of hypothetic package as defined in the Tech. Specs. and delivery to lots_x000a_2 and 3 contractors according to Scenario 1"/>
    <s v="YES"/>
    <s v="EUEU"/>
  </r>
  <r>
    <n v="51"/>
    <s v="3rd-party-sample-UPS"/>
    <n v="1"/>
    <d v="2025-07-14T00:00:00"/>
    <x v="35"/>
    <n v="29"/>
    <s v="25-07"/>
    <x v="4"/>
    <s v="Brussels WWTP"/>
    <s v="Brussels Airport"/>
    <n v="0.70833333333333337"/>
    <s v="European Commission - JRC"/>
    <s v="Tom"/>
    <s v="1ZRJ73868612205746"/>
    <s v="Remco"/>
    <s v="2946G2SSF7C"/>
    <s v="0082_WWI_00003_K8J_01"/>
    <s v="YES"/>
    <s v="y"/>
    <m/>
    <m/>
    <s v="2025_07_14"/>
    <s v="Brussels"/>
    <s v="Belgium"/>
    <n v="27"/>
    <s v="Rue Juliette Wytsmanstraat 14, Brussels, 1050, Belgium"/>
    <s v="Via E. Fermi 2749, T.P. 120, Directorate D Sustainable Resources, Ispra, 21027, Italy"/>
    <n v="89"/>
    <s v="Pick-up service of hypothetic package as defined in the Tech. Specs. and delivery to lots_x000a_2 and 3 contractors according to Scenario 1"/>
    <s v="YES"/>
    <s v="EUEU"/>
  </r>
  <r>
    <n v="52"/>
    <s v="3rd-party-sample-UPS"/>
    <n v="1"/>
    <d v="2025-08-04T00:00:00"/>
    <x v="36"/>
    <n v="32"/>
    <s v="25-08"/>
    <x v="4"/>
    <s v="Brussels WWTP"/>
    <s v="Brussels Airport"/>
    <n v="0.70833333333333337"/>
    <s v="Instituto Superior Tecnico"/>
    <s v="Remco"/>
    <s v="1ZRJ73868615041186"/>
    <s v="Remco/Jason"/>
    <s v="29CL0G2HRPO"/>
    <m/>
    <s v="YES"/>
    <s v="y"/>
    <m/>
    <m/>
    <s v="2025_08_04"/>
    <s v="Brussels"/>
    <s v="Belgium"/>
    <n v="30"/>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53"/>
    <s v="3rd-party-sample-UPS"/>
    <n v="1"/>
    <d v="2025-08-18T00:00:00"/>
    <x v="37"/>
    <n v="34"/>
    <s v="25-08"/>
    <x v="4"/>
    <s v="Brussels WWTP"/>
    <s v="Brussels Airport"/>
    <n v="0.70833333333333337"/>
    <s v="Instituto Superior Tecnico"/>
    <s v="Tom"/>
    <s v="1ZRJ76798608830032"/>
    <s v="Jason"/>
    <s v="2947ONHM349"/>
    <s v="0082_WWI_00005_7X2_01"/>
    <s v="YES"/>
    <s v="y"/>
    <m/>
    <m/>
    <s v="2025_08_18"/>
    <s v="Brussels"/>
    <s v="Belgium"/>
    <n v="32"/>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54"/>
    <s v="3rd-party-sample-UPS"/>
    <n v="1"/>
    <d v="2025-09-01T00:00:00"/>
    <x v="3"/>
    <n v="36"/>
    <s v="25-09"/>
    <x v="4"/>
    <s v="Brussels WWTP"/>
    <s v="Brussels Airport"/>
    <n v="0.70833333333333337"/>
    <s v="Instituto Superior Tecnico"/>
    <s v="Tom"/>
    <s v="1ZRJ76798636611154"/>
    <s v="Tom"/>
    <s v="29N89047N65"/>
    <s v="0082_WWI_00006_K8J_01"/>
    <s v="YES"/>
    <s v="y"/>
    <m/>
    <m/>
    <s v="2025_09_01"/>
    <s v="Brussels"/>
    <s v="Belgium"/>
    <n v="34"/>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55"/>
    <s v="3rd-party-sample-UPS"/>
    <n v="1"/>
    <d v="2025-09-15T00:00:00"/>
    <x v="38"/>
    <n v="38"/>
    <s v="25-09"/>
    <x v="4"/>
    <s v="Brussels WWTP"/>
    <s v="Brussels Airport"/>
    <n v="0.70833333333333337"/>
    <s v="Instituto Superior Tecnico"/>
    <s v="Tom"/>
    <s v="1ZRJ76798635989357"/>
    <s v="Jason"/>
    <s v="29K8J6J0L8M"/>
    <s v="0082_WWI_00007_7X2_01"/>
    <s v="YES"/>
    <s v="y"/>
    <m/>
    <m/>
    <s v="2025_09_15"/>
    <s v="Brussels"/>
    <s v="Belgium"/>
    <n v="36"/>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56"/>
    <s v="3rd-party-sample-UPS"/>
    <n v="1"/>
    <d v="2025-10-06T00:00:00"/>
    <x v="39"/>
    <n v="41"/>
    <s v="25-10"/>
    <x v="4"/>
    <s v="Brussels WWTP"/>
    <s v="Brussels Airport"/>
    <n v="0.70833333333333337"/>
    <s v="Instituto Superior Tecnico"/>
    <s v="Remco"/>
    <s v="1ZRJ76798608016529"/>
    <s v="Tom"/>
    <s v="29WNCHOBC0P"/>
    <s v="0082_WWI_00008_K8J_01"/>
    <s v="YES"/>
    <s v="y"/>
    <m/>
    <m/>
    <s v="2025_10_06"/>
    <s v="Brussels"/>
    <s v="Belgium"/>
    <n v="39"/>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57"/>
    <s v="3rd-party-sample-UPS"/>
    <n v="1"/>
    <d v="2025-10-20T00:00:00"/>
    <x v="40"/>
    <n v="43"/>
    <s v="25-10"/>
    <x v="4"/>
    <s v="Brussels WWTP"/>
    <s v="Brussels Airport"/>
    <n v="0.70833333333333337"/>
    <s v="Instituto Superior Tecnico"/>
    <s v="Tom"/>
    <s v="1ZRJ76798623406650"/>
    <m/>
    <m/>
    <m/>
    <s v="YES"/>
    <m/>
    <m/>
    <m/>
    <s v="2025_10_20"/>
    <s v="Brussels"/>
    <s v="Belgium"/>
    <n v="41"/>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58"/>
    <s v="3rd-party-sample-UPS"/>
    <n v="1"/>
    <d v="2025-11-03T00:00:00"/>
    <x v="41"/>
    <n v="45"/>
    <s v="25-11"/>
    <x v="4"/>
    <s v="Brussels WWTP"/>
    <s v="Brussels Airport"/>
    <n v="0.70833333333333337"/>
    <s v="Instituto Superior Tecnico"/>
    <s v="Jason"/>
    <s v="1ZRJ73868603407849"/>
    <m/>
    <m/>
    <m/>
    <s v="YES"/>
    <m/>
    <m/>
    <m/>
    <s v="2025_11_03"/>
    <s v="Brussels"/>
    <s v="Belgium"/>
    <n v="43"/>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NO"/>
    <s v="EUEU"/>
  </r>
  <r>
    <n v="59"/>
    <s v="3rd-party-sample-UPS"/>
    <n v="1"/>
    <d v="2025-11-17T00:00:00"/>
    <x v="42"/>
    <n v="47"/>
    <s v="25-11"/>
    <x v="4"/>
    <s v="Brussels WWTP"/>
    <s v="Brussels Airport"/>
    <n v="0.70833333333333337"/>
    <m/>
    <m/>
    <m/>
    <m/>
    <m/>
    <m/>
    <s v="NO"/>
    <m/>
    <m/>
    <m/>
    <s v="2025_11_17"/>
    <s v="Brussels"/>
    <s v="Belgium"/>
    <n v="45"/>
    <s v="Rue Juliette Wytsmanstraat 14, Brussels, 1050, Belgium"/>
    <n v="0"/>
    <s v=""/>
    <s v=""/>
    <s v="NO"/>
    <s v="EU"/>
  </r>
  <r>
    <n v="60"/>
    <s v="3rd-party-sample-UPS"/>
    <n v="1"/>
    <d v="2025-12-01T00:00:00"/>
    <x v="43"/>
    <n v="49"/>
    <s v="25-12"/>
    <x v="4"/>
    <s v="Brussels WWTP"/>
    <s v="Brussels Airport"/>
    <n v="0.70833333333333337"/>
    <m/>
    <m/>
    <m/>
    <m/>
    <m/>
    <m/>
    <s v="NO"/>
    <m/>
    <m/>
    <m/>
    <s v="2025_12_01"/>
    <s v="Brussels"/>
    <s v="Belgium"/>
    <n v="47"/>
    <s v="Rue Juliette Wytsmanstraat 14, Brussels, 1050, Belgium"/>
    <n v="0"/>
    <s v=""/>
    <s v=""/>
    <s v="NO"/>
    <s v="EU"/>
  </r>
  <r>
    <n v="61"/>
    <s v="3rd-party-sample-UPS"/>
    <n v="1"/>
    <d v="2025-12-15T00:00:00"/>
    <x v="44"/>
    <n v="51"/>
    <s v="25-12"/>
    <x v="4"/>
    <s v="Brussels WWTP"/>
    <s v="Brussels Airport"/>
    <n v="0.70833333333333337"/>
    <m/>
    <m/>
    <m/>
    <m/>
    <m/>
    <m/>
    <s v="NO"/>
    <m/>
    <m/>
    <m/>
    <s v="2025_12_15"/>
    <s v="Brussels"/>
    <s v="Belgium"/>
    <n v="49"/>
    <s v="Rue Juliette Wytsmanstraat 14, Brussels, 1050, Belgium"/>
    <n v="0"/>
    <s v=""/>
    <s v=""/>
    <s v="NO"/>
    <s v="EU"/>
  </r>
  <r>
    <n v="62"/>
    <s v="3rd-party-sample-UPS"/>
    <n v="1"/>
    <d v="2025-06-10T00:00:00"/>
    <x v="45"/>
    <n v="24"/>
    <s v="25-06"/>
    <x v="5"/>
    <s v="Luxembourg (Beggen) WWTP"/>
    <s v="Luxembourg Airport"/>
    <n v="0.66666666666666663"/>
    <s v="European Commission - JRC"/>
    <s v="Simon"/>
    <s v="1ZRJ73868608605090 "/>
    <m/>
    <s v="29FJ6DG6GPB"/>
    <s v="J3T"/>
    <s v="YES"/>
    <s v="y"/>
    <m/>
    <m/>
    <s v="2025_06_10"/>
    <s v="Luxembourg"/>
    <s v="Luxembourg"/>
    <n v="22"/>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63"/>
    <s v="3rd-party-sample-UPS"/>
    <n v="1"/>
    <d v="2025-06-19T00:00:00"/>
    <x v="46"/>
    <n v="25"/>
    <s v="25-06"/>
    <x v="5"/>
    <s v="Luxembourg (Beggen) WWTP"/>
    <s v="Luxembourg Airport"/>
    <n v="0.66666666666666663"/>
    <s v="European Commission - JRC"/>
    <s v="Tom"/>
    <s v="1ZRJ73868600125293"/>
    <m/>
    <s v="29J5HN0F2EN"/>
    <m/>
    <s v="YES"/>
    <s v="y"/>
    <m/>
    <m/>
    <s v="2025_06_19"/>
    <s v="Luxembourg"/>
    <s v="Luxembourg"/>
    <n v="24"/>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70"/>
    <s v="3rd-party-sample-UPS"/>
    <n v="1"/>
    <d v="2025-06-01T00:00:00"/>
    <x v="6"/>
    <n v="23"/>
    <s v="25-06"/>
    <x v="1"/>
    <s v="Berlin (Schoenefeld) WWTP"/>
    <s v="Berlin Airport"/>
    <n v="0.58333333333333337"/>
    <s v="European Commission - JRC"/>
    <m/>
    <s v="1ZRJ73868608044946"/>
    <m/>
    <s v="Extern opgehaald"/>
    <s v="0082_WWI_00001_T8P_01;0082_WWI_00001_T8P_02;0082_WWI_00001_T8P_03;0082_WWI_00001_T8P_04;0082_WWI_00001_T8P_05;0082_WWI_00001_T8P_06;0082_WWI_00001_T8P_07;0082_WWI_00001_T8P_08;0082_WWI_00001_H2N_01;0082_WWI_00001_H2N_02;0082_WWI_00001_H2N_03;0082_WWI_00001_H2N_04;0082_WWI_00001_H2N_05;0082_WWI_00001_H2N_06;0082_WWI_00001_H2N_07;0082_WWI_00001_H2N_08"/>
    <s v="YES"/>
    <s v="y"/>
    <m/>
    <m/>
    <s v="2025_06_01"/>
    <s v="Berlin"/>
    <s v="Germany"/>
    <n v="21"/>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71"/>
    <s v="3rd-party-sample-UPS"/>
    <n v="1"/>
    <d v="2025-06-15T00:00:00"/>
    <x v="7"/>
    <n v="25"/>
    <s v="25-06"/>
    <x v="1"/>
    <s v="Berlin (Schoenefeld) WWTP"/>
    <s v="Berlin Airport"/>
    <n v="0.58333333333333337"/>
    <s v="European Commission - JRC"/>
    <s v="Tom"/>
    <s v="1ZRJ73868626794334"/>
    <m/>
    <s v="29FJI0A1L19 (failed); 2965M5KE85O (failed); 29K5MNJ1B39 (failed); 29XJAJA64J9 (failed)"/>
    <s v="0082_WWI_00002_H2N_08_x000a_0082_WWI_00002_H2N_07_x000a_0082_WWI_00002_H2N_06_x000a_0082_WWI_00002_H2N_05_x000a_0082_WWI_00002_H2N_04_x000a_0082_WWI_00002_H2N_03_x000a_0082_WWI_00002_H2N_02_x000a_0082_WWI_00002_H2N_01"/>
    <s v="YES"/>
    <s v="y"/>
    <m/>
    <m/>
    <s v="2025_06_15"/>
    <s v="Berlin"/>
    <s v="Germany"/>
    <n v="23"/>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72"/>
    <s v="3rd-party-sample-UPS"/>
    <n v="1"/>
    <d v="2025-06-29T00:00:00"/>
    <x v="8"/>
    <n v="27"/>
    <s v="25-06"/>
    <x v="1"/>
    <s v="Berlin (Schoenefeld) WWTP"/>
    <s v="Berlin Airport"/>
    <n v="0.58333333333333337"/>
    <s v="European Commission - JRC"/>
    <s v="Tom"/>
    <s v="1ZRJ73868612704582"/>
    <s v="Tom"/>
    <s v="2925NJRL8DA"/>
    <s v="0082_WWI_00002_T8P_08;0082_WWI_00002_T8P_07;0082_WWI_00002_T8P_06;0082_WWI_00002_T8P_05;0082_WWI_00002_T8P_04;0082_WWI_00002_T8P_03;0082_WWI_00002_T8P_02;0082_WWI_00002_T8P_01"/>
    <s v="YES"/>
    <s v="y"/>
    <m/>
    <m/>
    <s v="2025_06_29"/>
    <s v="Berlin"/>
    <s v="Germany"/>
    <n v="25"/>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73"/>
    <s v="3rd-party-sample-UPS"/>
    <n v="1"/>
    <d v="2025-07-13T00:00:00"/>
    <x v="9"/>
    <n v="29"/>
    <s v="25-07"/>
    <x v="1"/>
    <s v="Berlin (Schoenefeld) WWTP"/>
    <s v="Berlin Airport"/>
    <n v="0.58333333333333337"/>
    <s v="European Commission - JRC"/>
    <s v="Tom &amp; Jason"/>
    <s v="1ZRJ73868632448705"/>
    <s v="Remco"/>
    <s v="29Q6G8MNDCJ"/>
    <s v="0082_WWI_00004_H2N_01"/>
    <s v="YES"/>
    <s v="y"/>
    <m/>
    <m/>
    <s v="2025_07_13"/>
    <s v="Berlin"/>
    <s v="Germany"/>
    <n v="27"/>
    <s v="Strasse am Klarwerk 4, Klarwerk Wassmannsdorf, Schoenefeld, 12529, Germany"/>
    <s v="Via E. Fermi 2749, T.P. 120, Directorate D Sustainable Resources, Ispra, 21027, Italy"/>
    <n v="89"/>
    <s v="Pick-up service of hypothetic package as defined in the Tech. Specs. and delivery to lots_x000a_2 and 3 contractors according to Scenario 1"/>
    <s v="YES"/>
    <s v="EUEU"/>
  </r>
  <r>
    <n v="74"/>
    <s v="3rd-party-sample-UPS"/>
    <n v="1"/>
    <d v="2025-08-03T00:00:00"/>
    <x v="10"/>
    <n v="32"/>
    <s v="25-08"/>
    <x v="1"/>
    <s v="Berlin (Schoenefeld) WWTP"/>
    <s v="Berlin Airport"/>
    <n v="0.58333333333333337"/>
    <s v="Instituto Superior Tecnico"/>
    <s v="Remco"/>
    <s v="1ZRJ73868603018779"/>
    <s v="Remco/Jason"/>
    <s v="29P769PA3KE"/>
    <m/>
    <s v="YES"/>
    <s v="y"/>
    <m/>
    <m/>
    <s v="2025_08_03"/>
    <s v="Berlin"/>
    <s v="Germany"/>
    <n v="30"/>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75"/>
    <s v="3rd-party-sample-UPS"/>
    <n v="1"/>
    <d v="2025-08-17T00:00:00"/>
    <x v="11"/>
    <n v="34"/>
    <s v="25-08"/>
    <x v="1"/>
    <s v="Berlin (Schoenefeld) WWTP"/>
    <s v="Berlin Airport"/>
    <n v="0.58333333333333337"/>
    <s v="Instituto Superior Tecnico"/>
    <s v="Tom"/>
    <s v="1ZRJ76798602416027"/>
    <s v="Jason"/>
    <s v="29G7O0A5SOD"/>
    <s v="0082_WWI_00006_T8P_01"/>
    <s v="YES"/>
    <s v="y"/>
    <m/>
    <m/>
    <s v="2025_08_17"/>
    <s v="Berlin"/>
    <s v="Germany"/>
    <n v="32"/>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76"/>
    <s v="3rd-party-sample-UPS"/>
    <n v="1"/>
    <d v="2025-08-31T00:00:00"/>
    <x v="12"/>
    <n v="36"/>
    <s v="25-09"/>
    <x v="1"/>
    <s v="Berlin (Schoenefeld) WWTP"/>
    <s v="Berlin Airport"/>
    <n v="0.58333333333333337"/>
    <s v="Instituto Superior Tecnico"/>
    <s v="Tom"/>
    <s v="1ZRJ76798605190131"/>
    <s v="Tom"/>
    <s v="29SLS7F9IHK"/>
    <s v="0082_WWI_00007_T8P_01"/>
    <s v="YES"/>
    <s v="y"/>
    <m/>
    <m/>
    <s v="2025_08_31"/>
    <s v="Berlin"/>
    <s v="Germany"/>
    <n v="34"/>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77"/>
    <s v="3rd-party-sample-UPS"/>
    <n v="1"/>
    <d v="2025-09-14T00:00:00"/>
    <x v="13"/>
    <n v="38"/>
    <s v="25-09"/>
    <x v="1"/>
    <s v="Berlin (Schoenefeld) WWTP"/>
    <s v="Berlin Airport"/>
    <n v="0.58333333333333337"/>
    <s v="Instituto Superior Tecnico"/>
    <s v="Tom"/>
    <s v="1ZRJ76798602590357"/>
    <s v="Jason"/>
    <s v="29N8J422HMG"/>
    <s v="0082_WWI_00008_H2N_01"/>
    <s v="YES"/>
    <s v="y"/>
    <m/>
    <m/>
    <s v="2025_09_14"/>
    <s v="Berlin"/>
    <s v="Germany"/>
    <n v="36"/>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78"/>
    <s v="3rd-party-sample-UPS"/>
    <n v="1"/>
    <d v="2025-10-05T00:00:00"/>
    <x v="14"/>
    <n v="41"/>
    <s v="25-10"/>
    <x v="1"/>
    <s v="Berlin (Schoenefeld) WWTP"/>
    <s v="Berlin Airport"/>
    <n v="0.58333333333333337"/>
    <s v="Instituto Superior Tecnico"/>
    <s v="Remco"/>
    <s v="1ZRJ76798605798495"/>
    <s v="Jason"/>
    <s v="29TNC2PDP6H"/>
    <s v="0082_WWI_00009_H2N_01"/>
    <s v="YES"/>
    <s v="y"/>
    <m/>
    <m/>
    <s v="2025_10_05"/>
    <s v="Berlin"/>
    <s v="Germany"/>
    <n v="39"/>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79"/>
    <s v="3rd-party-sample-UPS"/>
    <n v="1"/>
    <d v="2025-10-19T00:00:00"/>
    <x v="15"/>
    <n v="43"/>
    <s v="25-10"/>
    <x v="1"/>
    <s v="Berlin (Schoenefeld) WWTP"/>
    <s v="Berlin Airport"/>
    <n v="0.58333333333333337"/>
    <s v="Instituto Superior Tecnico"/>
    <s v="Tom"/>
    <s v="1ZRJ76798621914382"/>
    <s v="Tom"/>
    <s v="29VNNA4F4PO"/>
    <m/>
    <s v="YES"/>
    <m/>
    <m/>
    <m/>
    <s v="2025_10_19"/>
    <s v="Berlin"/>
    <s v="Germany"/>
    <n v="41"/>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YES"/>
    <s v="EUEU"/>
  </r>
  <r>
    <n v="80"/>
    <s v="3rd-party-sample-UPS"/>
    <n v="1"/>
    <d v="2025-11-02T00:00:00"/>
    <x v="16"/>
    <n v="45"/>
    <s v="25-11"/>
    <x v="1"/>
    <s v="Berlin (Schoenefeld) WWTP"/>
    <s v="Berlin Airport"/>
    <n v="0.58333333333333337"/>
    <s v="Instituto Superior Tecnico"/>
    <s v="Jason"/>
    <s v="1ZRJ73868622572929"/>
    <m/>
    <m/>
    <m/>
    <s v="YES"/>
    <m/>
    <m/>
    <m/>
    <s v="2025_11_02"/>
    <s v="Berlin"/>
    <s v="Germany"/>
    <n v="43"/>
    <s v="Strasse am Klarwerk 4, Klarwerk Wassmannsdorf, Schoenefeld, 12529, Germany"/>
    <s v="Av. Rovisco Pais 1, Laboratorio de Analises de Agua, Lisbon, 1049-001, Portugal"/>
    <n v="89"/>
    <s v="Pick-up service of hypothetic package as defined in the Tech. Specs. and delivery to lots_x000a_2 and 3 contractors according to Scenario 1"/>
    <s v="NO"/>
    <s v="EUEU"/>
  </r>
  <r>
    <n v="81"/>
    <s v="3rd-party-sample-UPS"/>
    <n v="1"/>
    <d v="2025-11-16T00:00:00"/>
    <x v="17"/>
    <n v="47"/>
    <s v="25-11"/>
    <x v="1"/>
    <s v="Berlin (Schoenefeld) WWTP"/>
    <s v="Berlin Airport"/>
    <n v="0.58333333333333337"/>
    <m/>
    <m/>
    <m/>
    <m/>
    <m/>
    <m/>
    <s v="NO"/>
    <m/>
    <m/>
    <m/>
    <s v="2025_11_16"/>
    <s v="Berlin"/>
    <s v="Germany"/>
    <n v="45"/>
    <s v="Strasse am Klarwerk 4, Klarwerk Wassmannsdorf, Schoenefeld, 12529, Germany"/>
    <n v="0"/>
    <s v=""/>
    <s v=""/>
    <s v="NO"/>
    <s v="EU"/>
  </r>
  <r>
    <n v="82"/>
    <s v="3rd-party-sample-UPS"/>
    <n v="1"/>
    <d v="2025-11-30T00:00:00"/>
    <x v="18"/>
    <n v="49"/>
    <s v="25-12"/>
    <x v="1"/>
    <s v="Berlin (Schoenefeld) WWTP"/>
    <s v="Berlin Airport"/>
    <n v="0.58333333333333337"/>
    <m/>
    <m/>
    <m/>
    <m/>
    <m/>
    <m/>
    <s v="NO"/>
    <m/>
    <m/>
    <m/>
    <s v="2025_11_30"/>
    <s v="Berlin"/>
    <s v="Germany"/>
    <n v="47"/>
    <s v="Strasse am Klarwerk 4, Klarwerk Wassmannsdorf, Schoenefeld, 12529, Germany"/>
    <n v="0"/>
    <s v=""/>
    <s v=""/>
    <s v="NO"/>
    <s v="EU"/>
  </r>
  <r>
    <n v="83"/>
    <s v="3rd-party-sample-UPS"/>
    <n v="1"/>
    <d v="2025-12-14T00:00:00"/>
    <x v="19"/>
    <n v="51"/>
    <s v="25-12"/>
    <x v="1"/>
    <s v="Berlin (Schoenefeld) WWTP"/>
    <s v="Berlin Airport"/>
    <n v="0.58333333333333337"/>
    <m/>
    <m/>
    <m/>
    <m/>
    <m/>
    <m/>
    <s v="NO"/>
    <m/>
    <m/>
    <m/>
    <s v="2025_12_14"/>
    <s v="Berlin"/>
    <s v="Germany"/>
    <n v="49"/>
    <s v="Strasse am Klarwerk 4, Klarwerk Wassmannsdorf, Schoenefeld, 12529, Germany"/>
    <n v="0"/>
    <s v=""/>
    <s v=""/>
    <s v="NO"/>
    <s v="EU"/>
  </r>
  <r>
    <n v="84"/>
    <s v="3rd-party-sample-UPS"/>
    <n v="1"/>
    <d v="2025-06-03T00:00:00"/>
    <x v="20"/>
    <n v="23"/>
    <s v="25-06"/>
    <x v="2"/>
    <s v="Munich WWTP"/>
    <s v="Munich Airport"/>
    <n v="0.58333333333333337"/>
    <s v="European Commission - JRC"/>
    <m/>
    <s v="1ZRJ73868627600184"/>
    <m/>
    <s v="2955459GH6H "/>
    <s v="0082_WWI_00001_S5G_01;0082_WWI_00001_S5G_02;0082_WWI_00001_S5G_03;0082_WWI_00001_S5G_04;0082_WWI_00001_S5G_05;0082_WWI_00001_S5G_06;0082_WWI_00001_S5G_07;0082_WWI_00001_S5G_08"/>
    <s v="YES"/>
    <s v="y"/>
    <m/>
    <m/>
    <s v="2025_06_03"/>
    <s v="Munich"/>
    <s v="Germany"/>
    <n v="21"/>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85"/>
    <s v="3rd-party-sample-UPS"/>
    <n v="1"/>
    <d v="2025-06-17T00:00:00"/>
    <x v="21"/>
    <n v="25"/>
    <s v="25-06"/>
    <x v="2"/>
    <s v="Munich WWTP"/>
    <s v="Munich Airport"/>
    <n v="0.58333333333333337"/>
    <s v="European Commission - JRC"/>
    <s v="Tom"/>
    <s v="1ZRJ73868623875976"/>
    <m/>
    <s v="29FJAD95759"/>
    <s v="0082_WWI_00002_S5G_08_x000a_0082_WWI_00002_S5G_07_x000a_0082_WWI_00002_S5G_06_x000a_0082_WWI_00002_S5G_05_x000a_0082_WWI_00002_S5G_04_x000a_0082_WWI_00002_S5G_03_x000a_0082_WWI_00002_S5G_02_x000a_0082_WWI_00002_S5G_01"/>
    <s v="YES"/>
    <s v="y"/>
    <m/>
    <m/>
    <s v="2025_06_17"/>
    <s v="Munich"/>
    <s v="Germany"/>
    <n v="23"/>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86"/>
    <s v="3rd-party-sample-UPS"/>
    <n v="1"/>
    <d v="2025-07-01T00:00:00"/>
    <x v="22"/>
    <n v="27"/>
    <s v="25-07"/>
    <x v="2"/>
    <s v="Munich WWTP"/>
    <s v="Munich Airport"/>
    <n v="0.58333333333333337"/>
    <s v="European Commission - JRC"/>
    <s v="Remco"/>
    <s v="1ZRJ73868633264607"/>
    <s v="Remco"/>
    <s v="29K62KJ7ARR"/>
    <s v="0082_WWI_00003_S5G_01"/>
    <s v="YES"/>
    <s v="y"/>
    <m/>
    <m/>
    <s v="2025_07_01"/>
    <s v="Munich"/>
    <s v="Germany"/>
    <n v="25"/>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87"/>
    <s v="3rd-party-sample-UPS"/>
    <n v="1"/>
    <d v="2025-07-15T00:00:00"/>
    <x v="23"/>
    <n v="29"/>
    <s v="25-07"/>
    <x v="2"/>
    <s v="Munich WWTP"/>
    <s v="Munich Airport"/>
    <n v="0.58333333333333337"/>
    <s v="European Commission - JRC"/>
    <s v="Tom"/>
    <s v="1ZRJ73868616125790"/>
    <s v="Remco"/>
    <s v="29RKALEBLCH"/>
    <s v="0082_WWI_00004_C7K_01"/>
    <s v="YES"/>
    <s v="y"/>
    <m/>
    <m/>
    <s v="2025_07_15"/>
    <s v="Munich"/>
    <s v="Germany"/>
    <n v="27"/>
    <s v="Leopoldstrasse 5, Institut fuer Infektions- und Tropenmedizin, Munich, 80802, Germany"/>
    <s v="Via E. Fermi 2749, T.P. 120, Directorate D Sustainable Resources, Ispra, 21027, Italy"/>
    <n v="89"/>
    <s v="Pick-up service of hypothetic package as defined in the Tech. Specs. and delivery to lots_x000a_2 and 3 contractors according to Scenario 1"/>
    <s v="YES"/>
    <s v="EUEU"/>
  </r>
  <r>
    <n v="88"/>
    <s v="3rd-party-sample-UPS"/>
    <n v="1"/>
    <d v="2025-08-05T00:00:00"/>
    <x v="24"/>
    <n v="32"/>
    <s v="25-08"/>
    <x v="2"/>
    <s v="Munich WWTP"/>
    <s v="Munich Airport"/>
    <n v="0.58333333333333337"/>
    <s v="Instituto Superior Tecnico"/>
    <s v="Remco"/>
    <s v="1ZRJ73868634394626"/>
    <s v="Remco/Jason"/>
    <s v="29RL0KH3C9L"/>
    <m/>
    <s v="YES"/>
    <s v="y"/>
    <m/>
    <m/>
    <s v="2025_08_05"/>
    <s v="Munich"/>
    <s v="Germany"/>
    <n v="30"/>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89"/>
    <s v="3rd-party-sample-UPS"/>
    <n v="1"/>
    <d v="2025-08-19T00:00:00"/>
    <x v="25"/>
    <n v="34"/>
    <s v="25-08"/>
    <x v="2"/>
    <s v="Munich WWTP"/>
    <s v="Munich Airport"/>
    <n v="0.58333333333333337"/>
    <s v="Instituto Superior Tecnico"/>
    <s v="Tom"/>
    <s v="1ZRJ76798621285473"/>
    <s v="Jason"/>
    <s v="29LLI54Q0QN"/>
    <s v="0082_WWI_00006_C7K_01"/>
    <s v="YES"/>
    <s v="y"/>
    <m/>
    <m/>
    <s v="2025_08_19"/>
    <s v="Munich"/>
    <s v="Germany"/>
    <n v="32"/>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90"/>
    <s v="3rd-party-sample-UPS"/>
    <n v="1"/>
    <d v="2025-09-02T00:00:00"/>
    <x v="26"/>
    <n v="36"/>
    <s v="25-09"/>
    <x v="2"/>
    <s v="Munich WWTP"/>
    <s v="Munich Airport"/>
    <n v="0.58333333333333337"/>
    <s v="Instituto Superior Tecnico"/>
    <s v="Tom"/>
    <s v="1ZRJ76798619456220"/>
    <s v="Tom"/>
    <s v="29J89DG6F4M"/>
    <s v="0082_WWI_00007_S5G_01"/>
    <s v="YES"/>
    <s v="y"/>
    <m/>
    <m/>
    <s v="2025_09_02"/>
    <s v="Munich"/>
    <s v="Germany"/>
    <n v="34"/>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91"/>
    <s v="3rd-party-sample-UPS"/>
    <n v="1"/>
    <d v="2025-09-16T00:00:00"/>
    <x v="27"/>
    <n v="38"/>
    <s v="25-09"/>
    <x v="2"/>
    <s v="Munich WWTP"/>
    <s v="Munich Airport"/>
    <n v="0.58333333333333337"/>
    <s v="Instituto Superior Tecnico"/>
    <s v="Tom"/>
    <s v="1ZRJ76798632619136"/>
    <s v="Jason"/>
    <s v="294MD7F9L4P"/>
    <s v="0082_WWI_00008_S5G_01"/>
    <s v="YES"/>
    <s v="y"/>
    <m/>
    <m/>
    <s v="2025_09_16"/>
    <s v="Munich"/>
    <s v="Germany"/>
    <n v="36"/>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92"/>
    <s v="3rd-party-sample-UPS"/>
    <n v="1"/>
    <d v="2025-10-07T00:00:00"/>
    <x v="28"/>
    <n v="41"/>
    <s v="25-10"/>
    <x v="2"/>
    <s v="Munich WWTP"/>
    <s v="Munich Airport"/>
    <n v="0.58333333333333337"/>
    <s v="Instituto Superior Tecnico"/>
    <s v="Remco"/>
    <s v="1ZRJ76798613126570"/>
    <s v="Tom"/>
    <s v="2969JDFFLFG"/>
    <s v="0082_WWI_00009_S5G_01"/>
    <s v="YES"/>
    <s v="y"/>
    <m/>
    <m/>
    <s v="2025_10_07"/>
    <s v="Munich"/>
    <s v="Germany"/>
    <n v="39"/>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93"/>
    <s v="3rd-party-sample-UPS"/>
    <n v="1"/>
    <d v="2025-10-21T00:00:00"/>
    <x v="29"/>
    <n v="43"/>
    <s v="25-10"/>
    <x v="2"/>
    <s v="Munich WWTP"/>
    <s v="Munich Airport"/>
    <n v="0.58333333333333337"/>
    <s v="Instituto Superior Tecnico"/>
    <s v="Tom"/>
    <s v="1ZRJ76798615248846"/>
    <m/>
    <m/>
    <m/>
    <s v="YES"/>
    <m/>
    <m/>
    <m/>
    <s v="2025_10_21"/>
    <s v="Munich"/>
    <s v="Germany"/>
    <n v="41"/>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YES"/>
    <s v="EUEU"/>
  </r>
  <r>
    <n v="94"/>
    <s v="3rd-party-sample-UPS"/>
    <n v="1"/>
    <d v="2025-11-04T00:00:00"/>
    <x v="30"/>
    <n v="45"/>
    <s v="25-11"/>
    <x v="2"/>
    <s v="Munich WWTP"/>
    <s v="Munich Airport"/>
    <n v="0.58333333333333337"/>
    <s v="Instituto Superior Tecnico"/>
    <s v="Remco"/>
    <s v="1ZRJ73868624885552"/>
    <m/>
    <m/>
    <m/>
    <s v="YES"/>
    <m/>
    <m/>
    <m/>
    <s v="2025_11_04"/>
    <s v="Munich"/>
    <s v="Germany"/>
    <n v="43"/>
    <s v="Leopoldstrasse 5, Institut fuer Infektions- und Tropenmedizin, Munich, 80802, Germany"/>
    <s v="Av. Rovisco Pais 1, Laboratorio de Analises de Agua, Lisbon, 1049-001, Portugal"/>
    <n v="89"/>
    <s v="Pick-up service of hypothetic package as defined in the Tech. Specs. and delivery to lots_x000a_2 and 3 contractors according to Scenario 1"/>
    <s v="NO"/>
    <s v="EUEU"/>
  </r>
  <r>
    <n v="95"/>
    <s v="3rd-party-sample-UPS"/>
    <n v="1"/>
    <d v="2025-11-18T00:00:00"/>
    <x v="31"/>
    <n v="47"/>
    <s v="25-11"/>
    <x v="2"/>
    <s v="Munich WWTP"/>
    <s v="Munich Airport"/>
    <n v="0.58333333333333337"/>
    <m/>
    <m/>
    <m/>
    <m/>
    <m/>
    <m/>
    <s v="NO"/>
    <m/>
    <m/>
    <m/>
    <s v="2025_11_18"/>
    <s v="Munich"/>
    <s v="Germany"/>
    <n v="45"/>
    <s v="Leopoldstrasse 5, Institut fuer Infektions- und Tropenmedizin, Munich, 80802, Germany"/>
    <n v="0"/>
    <s v=""/>
    <s v=""/>
    <s v="NO"/>
    <s v="EU"/>
  </r>
  <r>
    <n v="96"/>
    <s v="3rd-party-sample-UPS"/>
    <n v="1"/>
    <d v="2025-12-02T00:00:00"/>
    <x v="32"/>
    <n v="49"/>
    <s v="25-12"/>
    <x v="2"/>
    <s v="Munich WWTP"/>
    <s v="Munich Airport"/>
    <n v="0.58333333333333337"/>
    <m/>
    <m/>
    <m/>
    <m/>
    <m/>
    <m/>
    <s v="NO"/>
    <m/>
    <m/>
    <m/>
    <s v="2025_12_02"/>
    <s v="Munich"/>
    <s v="Germany"/>
    <n v="47"/>
    <s v="Leopoldstrasse 5, Institut fuer Infektions- und Tropenmedizin, Munich, 80802, Germany"/>
    <n v="0"/>
    <s v=""/>
    <s v=""/>
    <s v="NO"/>
    <s v="EU"/>
  </r>
  <r>
    <n v="97"/>
    <s v="3rd-party-sample-UPS"/>
    <n v="1"/>
    <d v="2025-12-16T00:00:00"/>
    <x v="33"/>
    <n v="51"/>
    <s v="25-12"/>
    <x v="2"/>
    <s v="Munich WWTP"/>
    <s v="Munich Airport"/>
    <n v="0.58333333333333337"/>
    <m/>
    <m/>
    <m/>
    <m/>
    <m/>
    <m/>
    <s v="NO"/>
    <m/>
    <m/>
    <m/>
    <s v="2025_12_16"/>
    <s v="Munich"/>
    <s v="Germany"/>
    <n v="49"/>
    <s v="Leopoldstrasse 5, Institut fuer Infektions- und Tropenmedizin, Munich, 80802, Germany"/>
    <n v="0"/>
    <s v=""/>
    <s v=""/>
    <s v="NO"/>
    <s v="EU"/>
  </r>
  <r>
    <n v="98"/>
    <s v="3rd-party-sample-UPS"/>
    <n v="1"/>
    <d v="2025-06-03T00:00:00"/>
    <x v="20"/>
    <n v="23"/>
    <s v="25-06"/>
    <x v="3"/>
    <s v="Frankfurt WWTP"/>
    <s v="Frankfurt Airport"/>
    <n v="0.58333333333333337"/>
    <s v="European Commission - JRC"/>
    <m/>
    <s v="1ZRJ73868631646994"/>
    <m/>
    <s v="29V54GAF9R6 "/>
    <s v="0082_WWI_00001_F3W_01;0082_WWI_00001_F3W_02;0082_WWI_00001_F3W_03;0082_WWI_00001_F3W_04;0082_WWI_00001_F3W_05;0082_WWI_00001_F3W_06;0082_WWI_00001_F3W_07;0082_WWI_00001_F3W_08"/>
    <s v="YES"/>
    <s v="y"/>
    <m/>
    <m/>
    <s v="2025_06_03"/>
    <s v="Frankfurt"/>
    <s v="Germany"/>
    <n v="21"/>
    <s v="Goldsteinstraße 160, Gebäude 71 , Frankfurt am Main , 60528, Germany"/>
    <s v="Via E. Fermi 2749, T.P. 120, Directorate D Sustainable Resources, Ispra, 21027, Italy"/>
    <n v="89"/>
    <s v="Pick-up service of hypothetic package as defined in the Tech. Specs. and delivery to lots_x000a_2 and 3 contractors according to Scenario 1"/>
    <s v="YES"/>
    <s v="EUEU"/>
  </r>
  <r>
    <n v="112"/>
    <s v="3rd-party-sample-UPS"/>
    <n v="1"/>
    <d v="2025-06-16T00:00:00"/>
    <x v="34"/>
    <n v="25"/>
    <s v="25-06"/>
    <x v="4"/>
    <s v="Brussels WWTP"/>
    <s v="Brussels Airport"/>
    <n v="0.70833333333333337"/>
    <s v="European Commission - JRC"/>
    <s v="Tom"/>
    <s v="1ZRJ73868600445198"/>
    <m/>
    <s v="29SJA89BEGM"/>
    <s v="0082_WWI_00001_7X2_01_x000a_0082_WWI_00001_7X2_02_x000a_0082_WWI_00001_7X2_03_x000a_0082_WWI_00001_7X2_04_x000a_0082_WWI_00001_7X2_05_x000a_0082_WWI_00001_7X2_06_x000a_0082_WWI_00001_7X2_07_x000a_0082_WWI_00001_7X2_08"/>
    <s v="YES"/>
    <s v="y"/>
    <m/>
    <m/>
    <s v="2025_06_16"/>
    <s v="Brussels"/>
    <s v="Belgium"/>
    <n v="23"/>
    <s v="Rue Juliette Wytsmanstraat 14, Brussels, 1050, Belgium"/>
    <s v="Via E. Fermi 2749, T.P. 120, Directorate D Sustainable Resources, Ispra, 21027, Italy"/>
    <n v="89"/>
    <s v="Pick-up service of hypothetic package as defined in the Tech. Specs. and delivery to lots_x000a_2 and 3 contractors according to Scenario 1"/>
    <s v="YES"/>
    <s v="EUEU"/>
  </r>
  <r>
    <n v="113"/>
    <s v="3rd-party-sample-UPS"/>
    <n v="1"/>
    <d v="2025-06-30T00:00:00"/>
    <x v="1"/>
    <n v="27"/>
    <s v="25-07"/>
    <x v="4"/>
    <s v="Brussels WWTP"/>
    <s v="Brussels Airport"/>
    <n v="0.70833333333333337"/>
    <s v="European Commission - JRC"/>
    <s v="Remco"/>
    <s v="1ZRJ73868627984583"/>
    <s v="Remco"/>
    <s v="29K62901HPH"/>
    <s v="0082_WWI_00002_K8J_01"/>
    <s v="YES"/>
    <s v="y"/>
    <m/>
    <m/>
    <s v="2025_06_30"/>
    <s v="Brussels"/>
    <s v="Belgium"/>
    <n v="25"/>
    <s v="Rue Juliette Wytsmanstraat 14, Brussels, 1050, Belgium"/>
    <s v="Via E. Fermi 2749, T.P. 120, Directorate D Sustainable Resources, Ispra, 21027, Italy"/>
    <n v="89"/>
    <s v="Pick-up service of hypothetic package as defined in the Tech. Specs. and delivery to lots_x000a_2 and 3 contractors according to Scenario 1"/>
    <s v="YES"/>
    <s v="EUEU"/>
  </r>
  <r>
    <n v="114"/>
    <s v="3rd-party-sample-UPS"/>
    <n v="1"/>
    <d v="2025-07-14T00:00:00"/>
    <x v="35"/>
    <n v="29"/>
    <s v="25-07"/>
    <x v="4"/>
    <s v="Brussels WWTP"/>
    <s v="Brussels Airport"/>
    <n v="0.70833333333333337"/>
    <s v="European Commission - JRC"/>
    <s v="Tom"/>
    <s v="1ZRJ73868603888955"/>
    <s v="Remco"/>
    <s v="2946G2SSF7C"/>
    <s v="0082_WWI_00003_7X2_01"/>
    <s v="YES"/>
    <s v="y"/>
    <m/>
    <m/>
    <s v="2025_07_14"/>
    <s v="Brussels"/>
    <s v="Belgium"/>
    <n v="27"/>
    <s v="Rue Juliette Wytsmanstraat 14, Brussels, 1050, Belgium"/>
    <s v="Via E. Fermi 2749, T.P. 120, Directorate D Sustainable Resources, Ispra, 21027, Italy"/>
    <n v="89"/>
    <s v="Pick-up service of hypothetic package as defined in the Tech. Specs. and delivery to lots_x000a_2 and 3 contractors according to Scenario 1"/>
    <s v="YES"/>
    <s v="EUEU"/>
  </r>
  <r>
    <n v="115"/>
    <s v="3rd-party-sample-UPS"/>
    <n v="1"/>
    <d v="2025-08-04T00:00:00"/>
    <x v="36"/>
    <n v="32"/>
    <s v="25-08"/>
    <x v="4"/>
    <s v="Brussels WWTP"/>
    <s v="Brussels Airport"/>
    <n v="0.70833333333333337"/>
    <s v="Instituto Superior Tecnico"/>
    <s v="Remco"/>
    <s v="1ZRJ73868601405998"/>
    <s v="Remco/Jason"/>
    <s v="29CL0G2HRPO"/>
    <m/>
    <s v="YES"/>
    <s v="y"/>
    <m/>
    <m/>
    <s v="2025_08_04"/>
    <s v="Brussels"/>
    <s v="Belgium"/>
    <n v="30"/>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116"/>
    <s v="3rd-party-sample-UPS"/>
    <n v="1"/>
    <d v="2025-08-18T00:00:00"/>
    <x v="37"/>
    <n v="34"/>
    <s v="25-08"/>
    <x v="4"/>
    <s v="Brussels WWTP"/>
    <s v="Brussels Airport"/>
    <n v="0.70833333333333337"/>
    <s v="Instituto Superior Tecnico"/>
    <s v="Tom"/>
    <s v="1ZRJ76798600848047"/>
    <s v="Jason"/>
    <s v="2947ONHM349"/>
    <s v="0082_WWI_00005_K8J_01"/>
    <s v="YES"/>
    <s v="y"/>
    <m/>
    <m/>
    <s v="2025_08_18"/>
    <s v="Brussels"/>
    <s v="Belgium"/>
    <n v="32"/>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117"/>
    <s v="3rd-party-sample-UPS"/>
    <n v="1"/>
    <d v="2025-09-01T00:00:00"/>
    <x v="3"/>
    <n v="36"/>
    <s v="25-09"/>
    <x v="4"/>
    <s v="Brussels WWTP"/>
    <s v="Brussels Airport"/>
    <n v="0.70833333333333337"/>
    <s v="Instituto Superior Tecnico"/>
    <s v="Tom"/>
    <s v="1ZRJ76798624484967"/>
    <s v="Tom"/>
    <s v="29N89047N65"/>
    <s v="0082_WWI_00006_7X2_01"/>
    <s v="YES"/>
    <s v="y"/>
    <m/>
    <m/>
    <s v="2025_09_01"/>
    <s v="Brussels"/>
    <s v="Belgium"/>
    <n v="34"/>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118"/>
    <s v="3rd-party-sample-UPS"/>
    <n v="1"/>
    <d v="2025-09-15T00:00:00"/>
    <x v="38"/>
    <n v="38"/>
    <s v="25-09"/>
    <x v="4"/>
    <s v="Brussels WWTP"/>
    <s v="Brussels Airport"/>
    <n v="0.70833333333333337"/>
    <s v="Instituto Superior Tecnico"/>
    <s v="Tom"/>
    <s v="1ZRJ76798637059161"/>
    <s v="Jason"/>
    <s v="29K8J6J0L8M"/>
    <s v="0082_WWI_00007_K8J_01"/>
    <s v="YES"/>
    <s v="y"/>
    <m/>
    <m/>
    <s v="2025_09_15"/>
    <s v="Brussels"/>
    <s v="Belgium"/>
    <n v="36"/>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119"/>
    <s v="3rd-party-sample-UPS"/>
    <n v="1"/>
    <d v="2025-10-06T00:00:00"/>
    <x v="39"/>
    <n v="41"/>
    <s v="25-10"/>
    <x v="4"/>
    <s v="Brussels WWTP"/>
    <s v="Brussels Airport"/>
    <n v="0.70833333333333337"/>
    <s v="Instituto Superior Tecnico"/>
    <s v="Remco"/>
    <s v="1ZRJ76798614630531"/>
    <s v="Tom"/>
    <s v="29WNCHOBC0P"/>
    <m/>
    <s v="YES"/>
    <s v="y"/>
    <m/>
    <m/>
    <s v="2025_10_06"/>
    <s v="Brussels"/>
    <s v="Belgium"/>
    <n v="39"/>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120"/>
    <s v="3rd-party-sample-UPS"/>
    <n v="1"/>
    <d v="2025-10-20T00:00:00"/>
    <x v="40"/>
    <n v="43"/>
    <s v="25-10"/>
    <x v="4"/>
    <s v="Brussels WWTP"/>
    <s v="Brussels Airport"/>
    <n v="0.70833333333333337"/>
    <s v="Instituto Superior Tecnico"/>
    <s v="Tom"/>
    <s v="1ZRJ76798627270469"/>
    <m/>
    <m/>
    <m/>
    <s v="YES"/>
    <m/>
    <m/>
    <m/>
    <s v="2025_10_20"/>
    <s v="Brussels"/>
    <s v="Belgium"/>
    <n v="41"/>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YES"/>
    <s v="EUEU"/>
  </r>
  <r>
    <n v="121"/>
    <s v="3rd-party-sample-UPS"/>
    <n v="1"/>
    <d v="2025-11-03T00:00:00"/>
    <x v="41"/>
    <n v="45"/>
    <s v="25-11"/>
    <x v="4"/>
    <s v="Brussels WWTP"/>
    <s v="Brussels Airport"/>
    <n v="0.70833333333333337"/>
    <s v="Instituto Superior Tecnico"/>
    <s v="Jason"/>
    <s v="1ZRJ73868604435058"/>
    <m/>
    <m/>
    <m/>
    <s v="YES"/>
    <m/>
    <m/>
    <m/>
    <s v="2025_11_03"/>
    <s v="Brussels"/>
    <s v="Belgium"/>
    <n v="43"/>
    <s v="Rue Juliette Wytsmanstraat 14, Brussels, 1050, Belgium"/>
    <s v="Av. Rovisco Pais 1, Laboratorio de Analises de Agua, Lisbon, 1049-001, Portugal"/>
    <n v="89"/>
    <s v="Pick-up service of hypothetic package as defined in the Tech. Specs. and delivery to lots_x000a_2 and 3 contractors according to Scenario 1"/>
    <s v="NO"/>
    <s v="EUEU"/>
  </r>
  <r>
    <n v="122"/>
    <s v="3rd-party-sample-UPS"/>
    <n v="1"/>
    <d v="2025-11-17T00:00:00"/>
    <x v="42"/>
    <n v="47"/>
    <s v="25-11"/>
    <x v="4"/>
    <s v="Brussels WWTP"/>
    <s v="Brussels Airport"/>
    <n v="0.70833333333333337"/>
    <m/>
    <m/>
    <m/>
    <m/>
    <m/>
    <m/>
    <s v="NO"/>
    <m/>
    <m/>
    <m/>
    <s v="2025_11_17"/>
    <s v="Brussels"/>
    <s v="Belgium"/>
    <n v="45"/>
    <s v="Rue Juliette Wytsmanstraat 14, Brussels, 1050, Belgium"/>
    <n v="0"/>
    <s v=""/>
    <s v=""/>
    <s v="NO"/>
    <s v="EU"/>
  </r>
  <r>
    <n v="123"/>
    <s v="3rd-party-sample-UPS"/>
    <n v="1"/>
    <d v="2025-12-01T00:00:00"/>
    <x v="43"/>
    <n v="49"/>
    <s v="25-12"/>
    <x v="4"/>
    <s v="Brussels WWTP"/>
    <s v="Brussels Airport"/>
    <n v="0.70833333333333337"/>
    <m/>
    <m/>
    <m/>
    <m/>
    <m/>
    <m/>
    <s v="NO"/>
    <m/>
    <m/>
    <m/>
    <s v="2025_12_01"/>
    <s v="Brussels"/>
    <s v="Belgium"/>
    <n v="47"/>
    <s v="Rue Juliette Wytsmanstraat 14, Brussels, 1050, Belgium"/>
    <n v="0"/>
    <s v=""/>
    <s v=""/>
    <s v="NO"/>
    <s v="EU"/>
  </r>
  <r>
    <n v="124"/>
    <s v="3rd-party-sample-UPS"/>
    <n v="1"/>
    <d v="2025-12-15T00:00:00"/>
    <x v="44"/>
    <n v="51"/>
    <s v="25-12"/>
    <x v="4"/>
    <s v="Brussels WWTP"/>
    <s v="Brussels Airport"/>
    <n v="0.70833333333333337"/>
    <m/>
    <m/>
    <m/>
    <m/>
    <m/>
    <m/>
    <s v="NO"/>
    <m/>
    <m/>
    <m/>
    <s v="2025_12_15"/>
    <s v="Brussels"/>
    <s v="Belgium"/>
    <n v="49"/>
    <s v="Rue Juliette Wytsmanstraat 14, Brussels, 1050, Belgium"/>
    <n v="0"/>
    <s v=""/>
    <s v=""/>
    <s v="NO"/>
    <s v="EU"/>
  </r>
  <r>
    <n v="125"/>
    <s v="3rd-party-sample-UPS"/>
    <n v="1"/>
    <d v="2025-06-10T00:00:00"/>
    <x v="45"/>
    <n v="24"/>
    <s v="25-06"/>
    <x v="5"/>
    <s v="Luxembourg (Beggen) WWTP"/>
    <s v="Luxembourg Airport"/>
    <n v="0.66666666666666663"/>
    <s v="European Commission - JRC"/>
    <s v="Simon"/>
    <s v="1ZRJ73868637003873"/>
    <m/>
    <s v="29FJ6DG6GPB"/>
    <s v="F9H"/>
    <s v="YES"/>
    <s v="y"/>
    <m/>
    <m/>
    <s v="2025_06_10"/>
    <s v="Luxembourg"/>
    <s v="Luxembourg"/>
    <n v="22"/>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126"/>
    <s v="3rd-party-sample-UPS"/>
    <n v="1"/>
    <d v="2025-06-19T00:00:00"/>
    <x v="46"/>
    <n v="25"/>
    <s v="25-06"/>
    <x v="5"/>
    <s v="Luxembourg (Beggen) WWTP"/>
    <s v="Luxembourg Airport"/>
    <n v="0.66666666666666663"/>
    <s v="European Commission - JRC"/>
    <s v="Tom"/>
    <s v="1ZRJ73868600320509"/>
    <m/>
    <s v="29J5HN0F2EN"/>
    <m/>
    <s v="YES"/>
    <s v="y"/>
    <m/>
    <m/>
    <s v="2025_06_19"/>
    <s v="Luxembourg"/>
    <s v="Luxembourg"/>
    <n v="24"/>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127"/>
    <s v="3rd-party-sample-UPS"/>
    <n v="1"/>
    <d v="2025-07-01T00:00:00"/>
    <x v="22"/>
    <n v="27"/>
    <s v="25-07"/>
    <x v="5"/>
    <s v="Luxembourg (Beggen) WWTP"/>
    <s v="Luxembourg Airport"/>
    <n v="0.66666666666666663"/>
    <s v="European Commission - JRC"/>
    <s v="Tom"/>
    <s v="1ZRJ73868629226657"/>
    <s v="Remco"/>
    <s v="29K625ES0GB"/>
    <s v="0082_WWI_00003_F9H_01"/>
    <s v="YES"/>
    <s v="y"/>
    <m/>
    <m/>
    <s v="2025_07_01"/>
    <s v="Luxembourg"/>
    <s v="Luxembourg"/>
    <n v="25"/>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128"/>
    <s v="3rd-party-sample-UPS"/>
    <n v="1"/>
    <d v="2025-07-15T00:00:00"/>
    <x v="23"/>
    <n v="29"/>
    <s v="25-07"/>
    <x v="5"/>
    <s v="Luxembourg (Beggen) WWTP"/>
    <s v="Luxembourg Airport"/>
    <n v="0.66666666666666663"/>
    <s v="European Commission - JRC"/>
    <s v="Tom"/>
    <s v="1ZRJ73868628672800"/>
    <s v="Remco"/>
    <s v="29Z6GB2JQOA"/>
    <s v="0082_WWI_00004_F9H_01"/>
    <s v="YES"/>
    <s v="y"/>
    <m/>
    <m/>
    <s v="2025_07_15"/>
    <s v="Luxembourg"/>
    <s v="Luxembourg"/>
    <n v="27"/>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129"/>
    <s v="3rd-party-sample-UPS"/>
    <n v="1"/>
    <d v="2025-08-13T00:00:00"/>
    <x v="47"/>
    <n v="33"/>
    <s v="25-08"/>
    <x v="5"/>
    <s v="Luxembourg (Beggen) WWTP"/>
    <s v="Luxembourg Airport"/>
    <n v="0.66666666666666663"/>
    <s v="Instituto Superior Tecnico"/>
    <s v="Remco"/>
    <s v="1ZRJ73868619937283"/>
    <s v="Jason"/>
    <s v="29N7K8G9B55"/>
    <s v="0082_WWI_00005_J3T"/>
    <s v="YES"/>
    <s v="y"/>
    <m/>
    <m/>
    <s v="2025_08_13"/>
    <s v="Luxembourg"/>
    <s v="Luxembourg"/>
    <n v="31"/>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130"/>
    <s v="3rd-party-sample-UPS"/>
    <n v="1"/>
    <d v="2025-08-28T00:00:00"/>
    <x v="48"/>
    <n v="35"/>
    <s v="25-08"/>
    <x v="5"/>
    <s v="Luxembourg (Beggen) WWTP"/>
    <s v="Luxembourg Airport"/>
    <n v="0.66666666666666663"/>
    <s v="Instituto Superior Tecnico"/>
    <s v="Tom"/>
    <s v="1ZRJ76798638592930"/>
    <s v="Tom"/>
    <s v="29RM299J2SJ"/>
    <s v="0082_WWI_00006_J3T_01"/>
    <s v="YES"/>
    <s v="N"/>
    <m/>
    <m/>
    <s v="2025_08_28"/>
    <s v="Luxembourg"/>
    <s v="Luxembourg"/>
    <n v="34"/>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131"/>
    <s v="3rd-party-sample-UPS"/>
    <n v="1"/>
    <d v="2025-09-04T00:00:00"/>
    <x v="49"/>
    <n v="36"/>
    <s v="25-09"/>
    <x v="5"/>
    <s v="Luxembourg (Beggen) WWTP"/>
    <s v="Luxembourg Airport"/>
    <n v="0.66666666666666663"/>
    <s v="Instituto Superior Tecnico"/>
    <s v="Tom"/>
    <s v="1ZRJ76798608576326"/>
    <s v="Tom"/>
    <s v="298M3820JKG (failed); 29JMAMIAHRB"/>
    <s v="0082_WWI_00007_F9H_01"/>
    <s v="YES"/>
    <s v="y"/>
    <m/>
    <m/>
    <s v="2025_09_04"/>
    <s v="Luxembourg"/>
    <s v="Luxembourg"/>
    <n v="35"/>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132"/>
    <s v="3rd-party-sample-UPS"/>
    <n v="1"/>
    <d v="2025-09-22T00:00:00"/>
    <x v="50"/>
    <n v="39"/>
    <s v="25-09"/>
    <x v="5"/>
    <s v="Luxembourg (Beggen) WWTP"/>
    <s v="Luxembourg Airport"/>
    <n v="0.66666666666666663"/>
    <s v="Instituto Superior Tecnico"/>
    <s v="Remco"/>
    <s v="1ZRJ76798607526417"/>
    <s v="Jason"/>
    <s v="29Q91AM1HQ5"/>
    <m/>
    <s v="YES"/>
    <s v="y"/>
    <m/>
    <m/>
    <s v="2025_09_22"/>
    <s v="Luxembourg"/>
    <s v="Luxembourg"/>
    <n v="37"/>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133"/>
    <s v="3rd-party-sample-UPS"/>
    <n v="1"/>
    <d v="2025-06-11T00:00:00"/>
    <x v="45"/>
    <n v="24"/>
    <s v="25-06"/>
    <x v="6"/>
    <s v="Rome WWTP"/>
    <s v="-"/>
    <n v="0.70833333333333337"/>
    <s v="European Commission - JRC"/>
    <s v="Tom"/>
    <s v="1ZRJ73868614153914"/>
    <m/>
    <s v="2995CG48NN4"/>
    <s v="T6M"/>
    <s v="YES"/>
    <s v="y"/>
    <m/>
    <s v="1ZRJ73868614153914 (failed, created by Simon: reason: used NL instead of IT as country) --&gt; uiteindelijk toch gestuurd; 1ZRJ73868634170064 staat ook nog in Italie voor retour."/>
    <s v="2025_06_11"/>
    <s v="Rome"/>
    <s v="Italy"/>
    <n v="22"/>
    <s v="Via dell'Equitazione 10, Rome, 00144, Italy"/>
    <s v="Via E. Fermi 2749, T.P. 120, Directorate D Sustainable Resources, Ispra, 21027, Italy"/>
    <n v="89"/>
    <s v="Pick-up service of hypothetic package as defined in the Tech. Specs. and delivery to lots_x000a_2 and 3 contractors according to Scenario 1"/>
    <s v="YES"/>
    <s v="EUEU"/>
  </r>
  <r>
    <n v="134"/>
    <s v="3rd-party-sample-UPS"/>
    <n v="1"/>
    <d v="2025-06-18T00:00:00"/>
    <x v="21"/>
    <n v="25"/>
    <s v="25-06"/>
    <x v="6"/>
    <s v="Rome WWTP"/>
    <s v="-"/>
    <n v="0.70833333333333337"/>
    <s v="European Commission - JRC"/>
    <s v="Tom"/>
    <s v="1ZRJ73868635120508"/>
    <m/>
    <s v="29K5I8D1FE7"/>
    <s v="0082_WWI_00002_T6M_01"/>
    <s v="YES"/>
    <s v="y"/>
    <m/>
    <m/>
    <s v="2025_06_18"/>
    <s v="Rome"/>
    <s v="Italy"/>
    <n v="23"/>
    <s v="Via dell'Equitazione 10, Rome, 00144, Italy"/>
    <s v="Via E. Fermi 2749, T.P. 120, Directorate D Sustainable Resources, Ispra, 21027, Italy"/>
    <n v="89"/>
    <s v="Pick-up service of hypothetic package as defined in the Tech. Specs. and delivery to lots_x000a_2 and 3 contractors according to Scenario 1"/>
    <s v="YES"/>
    <s v="EUEU"/>
  </r>
  <r>
    <n v="135"/>
    <s v="3rd-party-sample-UPS"/>
    <n v="1"/>
    <d v="2025-07-02T00:00:00"/>
    <x v="22"/>
    <n v="27"/>
    <s v="25-07"/>
    <x v="6"/>
    <s v="Rome WWTP"/>
    <s v="-"/>
    <n v="0.70833333333333337"/>
    <s v="European Commission - JRC"/>
    <s v="Tom"/>
    <s v="1ZRJ73868606125540"/>
    <s v="Remco"/>
    <s v="29262IG969R"/>
    <s v="0082_WWI_00004_T6M_01"/>
    <s v="YES"/>
    <s v="y"/>
    <s v="Yes"/>
    <s v="1ZRJ73868606125540 niet gebruikt. 1ZRJ73868634170064 is gebruikt, deze is van sampling date 11/06/2025."/>
    <s v="2025_07_02"/>
    <s v="Rome"/>
    <s v="Italy"/>
    <n v="25"/>
    <s v="Via dell'Equitazione 10, Rome, 00144, Italy"/>
    <s v="Via E. Fermi 2749, T.P. 120, Directorate D Sustainable Resources, Ispra, 21027, Italy"/>
    <n v="89"/>
    <s v="Pick-up service of hypothetic package as defined in the Tech. Specs. and delivery to lots_x000a_2 and 3 contractors according to Scenario 1"/>
    <s v="YES"/>
    <s v="EUEU"/>
  </r>
  <r>
    <n v="136"/>
    <s v="3rd-party-sample-UPS"/>
    <n v="1"/>
    <d v="2025-07-16T00:00:00"/>
    <x v="23"/>
    <n v="29"/>
    <s v="25-07"/>
    <x v="6"/>
    <s v="Rome WWTP"/>
    <s v="-"/>
    <n v="0.70833333333333337"/>
    <s v="European Commission - JRC"/>
    <s v="Tom"/>
    <s v="1ZRJ73868637216787"/>
    <s v="Remco"/>
    <s v="29Z6GABPRDH"/>
    <s v="0082_WWI_00004_T6M_01"/>
    <s v="YES"/>
    <s v="y"/>
    <m/>
    <m/>
    <s v="2025_07_16"/>
    <s v="Rome"/>
    <s v="Italy"/>
    <n v="27"/>
    <s v="Via dell'Equitazione 10, Rome, 00144, Italy"/>
    <s v="Via E. Fermi 2749, T.P. 120, Directorate D Sustainable Resources, Ispra, 21027, Italy"/>
    <n v="89"/>
    <s v="Pick-up service of hypothetic package as defined in the Tech. Specs. and delivery to lots_x000a_2 and 3 contractors according to Scenario 1"/>
    <s v="YES"/>
    <s v="EUEU"/>
  </r>
  <r>
    <n v="137"/>
    <s v="3rd-party-sample-UPS"/>
    <n v="1"/>
    <d v="2025-08-06T00:00:00"/>
    <x v="24"/>
    <n v="32"/>
    <s v="25-08"/>
    <x v="6"/>
    <s v="Rome WWTP"/>
    <s v="-"/>
    <n v="0.70833333333333337"/>
    <s v="Instituto Superior Tecnico"/>
    <s v="Remco"/>
    <s v="1ZRJ73868614570875"/>
    <s v="Remco/Jason"/>
    <s v="29A76CA96QN"/>
    <s v="0082_WWI_00002_C7K"/>
    <s v="YES"/>
    <s v="y"/>
    <m/>
    <m/>
    <s v="2025_08_06"/>
    <s v="Rome"/>
    <s v="Italy"/>
    <n v="30"/>
    <s v="Via dell'Equitazione 10, Rome, 00144, Italy"/>
    <s v="Av. Rovisco Pais 1, Laboratorio de Analises de Agua, Lisbon, 1049-001, Portugal"/>
    <n v="89"/>
    <s v="Pick-up service of hypothetic package as defined in the Tech. Specs. and delivery to lots_x000a_2 and 3 contractors according to Scenario 1"/>
    <s v="YES"/>
    <s v="EUEU"/>
  </r>
  <r>
    <n v="138"/>
    <s v="3rd-party-sample-UPS"/>
    <n v="1"/>
    <d v="2025-08-20T00:00:00"/>
    <x v="25"/>
    <n v="34"/>
    <s v="25-08"/>
    <x v="6"/>
    <s v="Rome WWTP"/>
    <s v="-"/>
    <n v="0.70833333333333337"/>
    <s v="Instituto Superior Tecnico"/>
    <s v="Tom"/>
    <s v="1ZRJ76798626629100"/>
    <s v="Tom"/>
    <s v="29FLLEFO1LN"/>
    <s v="0082_WWI_00006_T6M_01"/>
    <s v="YES"/>
    <s v="y"/>
    <m/>
    <m/>
    <s v="2025_08_20"/>
    <s v="Rome"/>
    <s v="Italy"/>
    <n v="32"/>
    <s v="Via dell'Equitazione 10, Rome, 00144, Italy"/>
    <s v="Av. Rovisco Pais 1, Laboratorio de Analises de Agua, Lisbon, 1049-001, Portugal"/>
    <n v="89"/>
    <s v="Pick-up service of hypothetic package as defined in the Tech. Specs. and delivery to lots_x000a_2 and 3 contractors according to Scenario 1"/>
    <s v="YES"/>
    <s v="EUEU"/>
  </r>
  <r>
    <n v="139"/>
    <s v="3rd-party-sample-UPS"/>
    <n v="1"/>
    <d v="2025-09-03T00:00:00"/>
    <x v="26"/>
    <n v="36"/>
    <s v="25-09"/>
    <x v="6"/>
    <s v="Rome WWTP"/>
    <s v="-"/>
    <n v="0.70833333333333337"/>
    <s v="Instituto Superior Tecnico"/>
    <s v="Tom"/>
    <s v="1ZRJ76798601950237"/>
    <s v="Tom"/>
    <s v="29C890GGGQC"/>
    <s v="0082_WWI_00007_T6M_01"/>
    <s v="YES"/>
    <s v="y"/>
    <m/>
    <m/>
    <s v="2025_09_03"/>
    <s v="Rome"/>
    <s v="Italy"/>
    <n v="34"/>
    <s v="Via dell'Equitazione 10, Rome, 00144, Italy"/>
    <s v="Av. Rovisco Pais 1, Laboratorio de Analises de Agua, Lisbon, 1049-001, Portugal"/>
    <n v="89"/>
    <s v="Pick-up service of hypothetic package as defined in the Tech. Specs. and delivery to lots_x000a_2 and 3 contractors according to Scenario 1"/>
    <s v="YES"/>
    <s v="EUEU"/>
  </r>
  <r>
    <n v="140"/>
    <s v="3rd-party-sample-UPS"/>
    <n v="1"/>
    <d v="2025-09-17T00:00:00"/>
    <x v="27"/>
    <n v="38"/>
    <s v="25-09"/>
    <x v="6"/>
    <s v="Rome WWTP"/>
    <s v="-"/>
    <n v="0.70833333333333337"/>
    <s v="Instituto Superior Tecnico"/>
    <s v="Tom"/>
    <s v="1ZRJ76798634697343"/>
    <s v="Jason"/>
    <s v="29J8M8OR4DN; _x000a_29GMM13KC2D"/>
    <s v="0082_WWI_00008_T6M_01"/>
    <s v="YES"/>
    <s v="y"/>
    <m/>
    <m/>
    <s v="2025_09_17"/>
    <s v="Rome"/>
    <s v="Italy"/>
    <n v="36"/>
    <s v="Via dell'Equitazione 10, Rome, 00144, Italy"/>
    <s v="Av. Rovisco Pais 1, Laboratorio de Analises de Agua, Lisbon, 1049-001, Portugal"/>
    <n v="89"/>
    <s v="Pick-up service of hypothetic package as defined in the Tech. Specs. and delivery to lots_x000a_2 and 3 contractors according to Scenario 1"/>
    <s v="YES"/>
    <s v="EUEU"/>
  </r>
  <r>
    <n v="141"/>
    <s v="3rd-party-sample-UPS"/>
    <n v="1"/>
    <d v="2025-10-08T00:00:00"/>
    <x v="28"/>
    <n v="41"/>
    <s v="25-10"/>
    <x v="6"/>
    <s v="Rome WWTP"/>
    <s v="-"/>
    <n v="0.70833333333333337"/>
    <s v="Instituto Superior Tecnico"/>
    <s v="Remco"/>
    <s v="1ZRJ76798622487557"/>
    <s v="Tom"/>
    <s v="2949J6IDRPS"/>
    <s v="0082_WWI_00009_T6M_01"/>
    <s v="YES"/>
    <s v="y"/>
    <m/>
    <m/>
    <s v="2025_10_08"/>
    <s v="Rome"/>
    <s v="Italy"/>
    <n v="39"/>
    <s v="Via dell'Equitazione 10, Rome, 00144, Italy"/>
    <s v="Av. Rovisco Pais 1, Laboratorio de Analises de Agua, Lisbon, 1049-001, Portugal"/>
    <n v="89"/>
    <s v="Pick-up service of hypothetic package as defined in the Tech. Specs. and delivery to lots_x000a_2 and 3 contractors according to Scenario 1"/>
    <s v="YES"/>
    <s v="EUEU"/>
  </r>
  <r>
    <n v="142"/>
    <s v="3rd-party-sample-UPS"/>
    <n v="1"/>
    <d v="2025-10-22T00:00:00"/>
    <x v="29"/>
    <n v="43"/>
    <s v="25-10"/>
    <x v="6"/>
    <s v="Rome WWTP"/>
    <s v="-"/>
    <n v="0.70833333333333337"/>
    <s v="Instituto Superior Tecnico"/>
    <s v="Tom"/>
    <s v="1ZRJ76798631040646"/>
    <m/>
    <m/>
    <m/>
    <s v="YES"/>
    <m/>
    <m/>
    <m/>
    <s v="2025_10_22"/>
    <s v="Rome"/>
    <s v="Italy"/>
    <n v="41"/>
    <s v="Via dell'Equitazione 10, Rome, 00144, Italy"/>
    <s v="Av. Rovisco Pais 1, Laboratorio de Analises de Agua, Lisbon, 1049-001, Portugal"/>
    <n v="89"/>
    <s v="Pick-up service of hypothetic package as defined in the Tech. Specs. and delivery to lots_x000a_2 and 3 contractors according to Scenario 1"/>
    <s v="YES"/>
    <s v="EUEU"/>
  </r>
  <r>
    <n v="143"/>
    <s v="3rd-party-sample-UPS"/>
    <n v="1"/>
    <d v="2025-11-05T00:00:00"/>
    <x v="30"/>
    <n v="45"/>
    <s v="25-11"/>
    <x v="6"/>
    <s v="Rome WWTP"/>
    <s v="-"/>
    <n v="0.70833333333333337"/>
    <s v="Instituto Superior Tecnico"/>
    <s v="Remco"/>
    <s v="1ZRJ73868614428921"/>
    <m/>
    <m/>
    <m/>
    <s v="YES"/>
    <m/>
    <m/>
    <m/>
    <s v="2025_11_05"/>
    <s v="Rome"/>
    <s v="Italy"/>
    <n v="43"/>
    <s v="Via dell'Equitazione 10, Rome, 00144, Italy"/>
    <s v="Av. Rovisco Pais 1, Laboratorio de Analises de Agua, Lisbon, 1049-001, Portugal"/>
    <n v="89"/>
    <s v="Pick-up service of hypothetic package as defined in the Tech. Specs. and delivery to lots_x000a_2 and 3 contractors according to Scenario 1"/>
    <s v="NO"/>
    <s v="EUEU"/>
  </r>
  <r>
    <n v="144"/>
    <s v="3rd-party-sample-UPS"/>
    <n v="1"/>
    <d v="2025-11-19T00:00:00"/>
    <x v="31"/>
    <n v="47"/>
    <s v="25-11"/>
    <x v="6"/>
    <s v="Rome WWTP"/>
    <s v="-"/>
    <n v="0.70833333333333337"/>
    <m/>
    <m/>
    <m/>
    <m/>
    <m/>
    <m/>
    <s v="NO"/>
    <m/>
    <m/>
    <m/>
    <s v="2025_11_19"/>
    <s v="Rome"/>
    <s v="Italy"/>
    <n v="45"/>
    <s v="Via dell'Equitazione 10, Rome, 00144, Italy"/>
    <n v="0"/>
    <s v=""/>
    <s v=""/>
    <s v="NO"/>
    <s v="EU"/>
  </r>
  <r>
    <n v="145"/>
    <s v="3rd-party-sample-UPS"/>
    <n v="1"/>
    <d v="2025-12-03T00:00:00"/>
    <x v="32"/>
    <n v="49"/>
    <s v="25-12"/>
    <x v="6"/>
    <s v="Rome WWTP"/>
    <s v="-"/>
    <n v="0.70833333333333337"/>
    <m/>
    <m/>
    <m/>
    <m/>
    <m/>
    <m/>
    <s v="NO"/>
    <m/>
    <m/>
    <m/>
    <s v="2025_12_03"/>
    <s v="Rome"/>
    <s v="Italy"/>
    <n v="47"/>
    <s v="Via dell'Equitazione 10, Rome, 00144, Italy"/>
    <n v="0"/>
    <s v=""/>
    <s v=""/>
    <s v="NO"/>
    <s v="EU"/>
  </r>
  <r>
    <n v="146"/>
    <s v="3rd-party-sample-UPS"/>
    <n v="1"/>
    <d v="2025-12-17T00:00:00"/>
    <x v="33"/>
    <n v="51"/>
    <s v="25-12"/>
    <x v="6"/>
    <s v="Rome WWTP"/>
    <s v="-"/>
    <n v="0.70833333333333337"/>
    <m/>
    <m/>
    <m/>
    <m/>
    <m/>
    <m/>
    <s v="NO"/>
    <m/>
    <m/>
    <m/>
    <s v="2025_12_17"/>
    <s v="Rome"/>
    <s v="Italy"/>
    <n v="49"/>
    <s v="Via dell'Equitazione 10, Rome, 00144, Italy"/>
    <n v="0"/>
    <s v=""/>
    <s v=""/>
    <s v="NO"/>
    <s v="EU"/>
  </r>
  <r>
    <n v="147"/>
    <s v="3rd-party-sample-UPS"/>
    <n v="1"/>
    <d v="2025-06-11T00:00:00"/>
    <x v="45"/>
    <n v="24"/>
    <s v="25-06"/>
    <x v="7"/>
    <s v="RomeAirport"/>
    <s v="-"/>
    <n v="0.70833333333333337"/>
    <s v="European Commission - JRC"/>
    <s v="Tom"/>
    <s v="1ZRJ73869126507910"/>
    <m/>
    <s v="29WJC6B6SLN"/>
    <s v="0082_WWI_00001_Y7B_01;0082_WWI_00001_Y7B_02;0082_WWI_00001_Y7B_03;0082_WWI_00001_Y7B_04;0082_WWI_00001_Y7B_05;0082_WWI_00001_Y7B_06;0082_WWI_00001_Y7B_07;0082_WWI_00001_Y7B_08;"/>
    <s v="YES"/>
    <s v="y"/>
    <m/>
    <s v="Return label gemaakt door issues UPS portal, 2965G7FLG8G failed."/>
    <s v="2025_06_11"/>
    <s v="RomeAirport"/>
    <s v="Italy"/>
    <n v="22"/>
    <s v="VIA FRATELLI WRIGHT (DEPURATORE BIOLOGICO), FIUMICINO, 00054, Italy"/>
    <s v="Via E. Fermi 2749, T.P. 120, Directorate D Sustainable Resources, Ispra, 21027, Italy"/>
    <n v="89"/>
    <s v="Pick-up service of hypothetic package as defined in the Tech. Specs. and delivery to lots_x000a_2 and 3 contractors according to Scenario 1"/>
    <s v="YES"/>
    <s v="EUEU"/>
  </r>
  <r>
    <n v="148"/>
    <s v="3rd-party-sample-UPS"/>
    <n v="1"/>
    <d v="2025-06-18T00:00:00"/>
    <x v="21"/>
    <n v="25"/>
    <s v="25-06"/>
    <x v="7"/>
    <s v="RomeAirport"/>
    <s v="-"/>
    <n v="0.70833333333333337"/>
    <s v="European Commission - JRC"/>
    <s v="Tom"/>
    <s v="1ZRJ73868622967299"/>
    <m/>
    <s v="2945I6AFIOJ"/>
    <s v="0082_WWI_00002_Y7B_01"/>
    <s v="YES"/>
    <s v="y"/>
    <m/>
    <m/>
    <s v="2025_06_18"/>
    <s v="RomeAirport"/>
    <s v="Italy"/>
    <n v="23"/>
    <s v="VIA FRATELLI WRIGHT (DEPURATORE BIOLOGICO), FIUMICINO, 00054, Italy"/>
    <s v="Via E. Fermi 2749, T.P. 120, Directorate D Sustainable Resources, Ispra, 21027, Italy"/>
    <n v="89"/>
    <s v="Pick-up service of hypothetic package as defined in the Tech. Specs. and delivery to lots_x000a_2 and 3 contractors according to Scenario 1"/>
    <s v="YES"/>
    <s v="EUEU"/>
  </r>
  <r>
    <n v="149"/>
    <s v="3rd-party-sample-UPS"/>
    <n v="1"/>
    <d v="2025-07-02T00:00:00"/>
    <x v="22"/>
    <n v="27"/>
    <s v="25-07"/>
    <x v="7"/>
    <s v="RomeAirport"/>
    <s v="-"/>
    <n v="0.70833333333333337"/>
    <s v="European Commission - JRC"/>
    <s v="Tom"/>
    <s v="1ZRJ73868608954329"/>
    <s v="Tom"/>
    <s v="294JNF3M29G"/>
    <s v="0082_WWI_00003_Y7B_01"/>
    <s v="YES"/>
    <s v="y"/>
    <m/>
    <m/>
    <s v="2025_07_02"/>
    <s v="RomeAirport"/>
    <s v="Italy"/>
    <n v="25"/>
    <s v="VIA FRATELLI WRIGHT (DEPURATORE BIOLOGICO), FIUMICINO, 00054, Italy"/>
    <s v="Via E. Fermi 2749, T.P. 120, Directorate D Sustainable Resources, Ispra, 21027, Italy"/>
    <n v="89"/>
    <s v="Pick-up service of hypothetic package as defined in the Tech. Specs. and delivery to lots_x000a_2 and 3 contractors according to Scenario 1"/>
    <s v="YES"/>
    <s v="EUEU"/>
  </r>
  <r>
    <n v="150"/>
    <s v="3rd-party-sample-UPS"/>
    <n v="1"/>
    <d v="2025-07-16T00:00:00"/>
    <x v="23"/>
    <n v="29"/>
    <s v="25-07"/>
    <x v="7"/>
    <s v="RomeAirport"/>
    <s v="-"/>
    <n v="0.70833333333333337"/>
    <s v="European Commission - JRC"/>
    <s v="Tom"/>
    <s v="1ZRJ73868601005849"/>
    <s v="Remco"/>
    <s v="2946G4ENK7O"/>
    <s v="0082_WWI_00004_Y7B_01"/>
    <s v="YES"/>
    <s v="y"/>
    <m/>
    <m/>
    <s v="2025_07_16"/>
    <s v="RomeAirport"/>
    <s v="Italy"/>
    <n v="27"/>
    <s v="VIA FRATELLI WRIGHT (DEPURATORE BIOLOGICO), FIUMICINO, 00054, Italy"/>
    <s v="Via E. Fermi 2749, T.P. 120, Directorate D Sustainable Resources, Ispra, 21027, Italy"/>
    <n v="89"/>
    <s v="Pick-up service of hypothetic package as defined in the Tech. Specs. and delivery to lots_x000a_2 and 3 contractors according to Scenario 1"/>
    <s v="YES"/>
    <s v="EUEU"/>
  </r>
  <r>
    <n v="151"/>
    <s v="3rd-party-sample-UPS"/>
    <n v="1"/>
    <d v="2025-08-06T00:00:00"/>
    <x v="24"/>
    <n v="32"/>
    <s v="25-08"/>
    <x v="7"/>
    <s v="RomeAirport"/>
    <s v="-"/>
    <n v="0.70833333333333337"/>
    <s v="Instituto Superior Tecnico"/>
    <s v="Remco"/>
    <s v="1ZRJ73868626700676"/>
    <s v="Remco/Jason"/>
    <s v="29A76AAA4J2"/>
    <s v="0082_WWI_00005_Y7B"/>
    <s v="YES"/>
    <s v="y"/>
    <m/>
    <m/>
    <s v="2025_08_06"/>
    <s v="RomeAirport"/>
    <s v="Italy"/>
    <n v="30"/>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YES"/>
    <s v="EUEU"/>
  </r>
  <r>
    <n v="152"/>
    <s v="3rd-party-sample-UPS"/>
    <n v="1"/>
    <d v="2025-08-20T00:00:00"/>
    <x v="25"/>
    <n v="34"/>
    <s v="25-08"/>
    <x v="7"/>
    <s v="RomeAirport"/>
    <s v="-"/>
    <n v="0.70833333333333337"/>
    <s v="Instituto Superior Tecnico"/>
    <s v="Tom"/>
    <s v="1ZRJ76798626453915"/>
    <s v="Tom"/>
    <s v="29FLLAI8HA5"/>
    <s v="0082_WWI_00006_Y7B_01"/>
    <s v="YES"/>
    <s v="y"/>
    <m/>
    <m/>
    <s v="2025_08_20"/>
    <s v="RomeAirport"/>
    <s v="Italy"/>
    <n v="32"/>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YES"/>
    <s v="EUEU"/>
  </r>
  <r>
    <n v="153"/>
    <s v="3rd-party-sample-UPS"/>
    <n v="1"/>
    <d v="2025-09-03T00:00:00"/>
    <x v="26"/>
    <n v="36"/>
    <s v="25-09"/>
    <x v="7"/>
    <s v="RomeAirport"/>
    <s v="-"/>
    <n v="0.70833333333333337"/>
    <s v="Instituto Superior Tecnico"/>
    <s v="Tom"/>
    <s v="1ZRJ76798627740577"/>
    <s v="Tom"/>
    <s v="29G894HAACN"/>
    <s v="0082_WWI_00007_Y7B_01"/>
    <s v="YES"/>
    <s v="y"/>
    <m/>
    <m/>
    <s v="2025_09_03"/>
    <s v="RomeAirport"/>
    <s v="Italy"/>
    <n v="34"/>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YES"/>
    <s v="EUEU"/>
  </r>
  <r>
    <n v="154"/>
    <s v="3rd-party-sample-UPS"/>
    <n v="1"/>
    <d v="2025-09-17T00:00:00"/>
    <x v="27"/>
    <n v="38"/>
    <s v="25-09"/>
    <x v="7"/>
    <s v="RomeAirport"/>
    <s v="-"/>
    <n v="0.70833333333333337"/>
    <s v="Instituto Superior Tecnico"/>
    <s v="Tom"/>
    <s v="1ZRJ76798618736367"/>
    <s v="Jason"/>
    <s v="29Z8M5AKBRI"/>
    <s v="0082_WWI_00008_Y7B_01"/>
    <s v="YES"/>
    <s v="y"/>
    <m/>
    <m/>
    <s v="2025_09_17"/>
    <s v="RomeAirport"/>
    <s v="Italy"/>
    <n v="36"/>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YES"/>
    <s v="EUEU"/>
  </r>
  <r>
    <n v="155"/>
    <s v="3rd-party-sample-UPS"/>
    <n v="1"/>
    <d v="2025-10-08T00:00:00"/>
    <x v="28"/>
    <n v="41"/>
    <s v="25-10"/>
    <x v="7"/>
    <s v="RomeAirport"/>
    <s v="-"/>
    <n v="0.70833333333333337"/>
    <s v="Instituto Superior Tecnico"/>
    <s v="Remco"/>
    <s v="1ZRJ76798608710653"/>
    <s v="Tom"/>
    <s v="29X9J243GHG"/>
    <s v="0082_WWI_00009_Y7B_01"/>
    <s v="YES"/>
    <s v="y"/>
    <m/>
    <m/>
    <s v="2025_10_08"/>
    <s v="RomeAirport"/>
    <s v="Italy"/>
    <n v="39"/>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YES"/>
    <s v="EUEU"/>
  </r>
  <r>
    <n v="156"/>
    <s v="3rd-party-sample-UPS"/>
    <n v="1"/>
    <d v="2025-10-22T00:00:00"/>
    <x v="29"/>
    <n v="43"/>
    <s v="25-10"/>
    <x v="7"/>
    <s v="RomeAirport"/>
    <s v="-"/>
    <n v="0.70833333333333337"/>
    <s v="Instituto Superior Tecnico"/>
    <s v="Tom"/>
    <s v="1ZRJ76798601280783"/>
    <m/>
    <m/>
    <m/>
    <s v="YES"/>
    <m/>
    <m/>
    <m/>
    <s v="2025_10_22"/>
    <s v="RomeAirport"/>
    <s v="Italy"/>
    <n v="41"/>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YES"/>
    <s v="EUEU"/>
  </r>
  <r>
    <n v="157"/>
    <s v="3rd-party-sample-UPS"/>
    <n v="1"/>
    <d v="2025-11-05T00:00:00"/>
    <x v="30"/>
    <n v="45"/>
    <s v="25-11"/>
    <x v="7"/>
    <s v="RomeAirport"/>
    <s v="-"/>
    <n v="0.70833333333333337"/>
    <s v="Instituto Superior Tecnico"/>
    <s v="Remco"/>
    <s v="1ZRJ73868637869224"/>
    <m/>
    <m/>
    <m/>
    <s v="YES"/>
    <m/>
    <m/>
    <m/>
    <s v="2025_11_05"/>
    <s v="RomeAirport"/>
    <s v="Italy"/>
    <n v="43"/>
    <s v="VIA FRATELLI WRIGHT (DEPURATORE BIOLOGICO), FIUMICINO, 00054, Italy"/>
    <s v="Av. Rovisco Pais 1, Laboratorio de Analises de Agua, Lisbon, 1049-001, Portugal"/>
    <n v="89"/>
    <s v="Pick-up service of hypothetic package as defined in the Tech. Specs. and delivery to lots_x000a_2 and 3 contractors according to Scenario 1"/>
    <s v="NO"/>
    <s v="EUEU"/>
  </r>
  <r>
    <n v="158"/>
    <s v="3rd-party-sample-UPS"/>
    <n v="1"/>
    <d v="2025-11-19T00:00:00"/>
    <x v="31"/>
    <n v="47"/>
    <s v="25-11"/>
    <x v="7"/>
    <s v="RomeAirport"/>
    <s v="-"/>
    <n v="0.70833333333333337"/>
    <m/>
    <m/>
    <m/>
    <m/>
    <m/>
    <m/>
    <s v="NO"/>
    <m/>
    <m/>
    <m/>
    <s v="2025_11_19"/>
    <s v="RomeAirport"/>
    <s v="Italy"/>
    <n v="45"/>
    <s v="VIA FRATELLI WRIGHT (DEPURATORE BIOLOGICO), FIUMICINO, 00054, Italy"/>
    <n v="0"/>
    <s v=""/>
    <s v=""/>
    <s v="NO"/>
    <s v="EU"/>
  </r>
  <r>
    <n v="159"/>
    <s v="3rd-party-sample-UPS"/>
    <n v="1"/>
    <d v="2025-12-03T00:00:00"/>
    <x v="32"/>
    <n v="49"/>
    <s v="25-12"/>
    <x v="7"/>
    <s v="RomeAirport"/>
    <s v="-"/>
    <n v="0.70833333333333337"/>
    <m/>
    <m/>
    <m/>
    <m/>
    <m/>
    <m/>
    <s v="NO"/>
    <m/>
    <m/>
    <m/>
    <s v="2025_12_03"/>
    <s v="RomeAirport"/>
    <s v="Italy"/>
    <n v="47"/>
    <s v="VIA FRATELLI WRIGHT (DEPURATORE BIOLOGICO), FIUMICINO, 00054, Italy"/>
    <n v="0"/>
    <s v=""/>
    <s v=""/>
    <s v="NO"/>
    <s v="EU"/>
  </r>
  <r>
    <n v="160"/>
    <s v="3rd-party-sample-UPS"/>
    <n v="1"/>
    <d v="2025-12-17T00:00:00"/>
    <x v="33"/>
    <n v="51"/>
    <s v="25-12"/>
    <x v="7"/>
    <s v="RomeAirport"/>
    <s v="-"/>
    <n v="0.70833333333333337"/>
    <m/>
    <m/>
    <m/>
    <m/>
    <m/>
    <m/>
    <s v="NO"/>
    <m/>
    <m/>
    <m/>
    <s v="2025_12_17"/>
    <s v="RomeAirport"/>
    <s v="Italy"/>
    <n v="49"/>
    <s v="VIA FRATELLI WRIGHT (DEPURATORE BIOLOGICO), FIUMICINO, 00054, Italy"/>
    <n v="0"/>
    <s v=""/>
    <s v=""/>
    <s v="NO"/>
    <s v="EU"/>
  </r>
  <r>
    <n v="161"/>
    <s v="3rd-party-sample-UPS"/>
    <n v="1"/>
    <d v="2025-06-17T00:00:00"/>
    <x v="21"/>
    <n v="25"/>
    <s v="25-06"/>
    <x v="8"/>
    <s v="Prague National Institute"/>
    <s v="Prague WWTP FLOW 1"/>
    <n v="0"/>
    <s v="European Commission - JRC"/>
    <s v="Maikel"/>
    <s v="1ZRJ73868635402025"/>
    <m/>
    <s v="29TJA6AK52R"/>
    <s v="0082_WWI_00001_V6L_08_x000a_0082_WWI_00001_V6L_07_x000a_0082_WWI_00001_V6L_06_x000a_0082_WWI_00001_V6L_05_x000a_0082_WWI_00001_V6L_04_x000a_0082_WWI_00001_V6L_03_x000a_0082_WWI_00001_V6L_02_x000a_0082_WWI_00001_V6L_01"/>
    <s v="YES"/>
    <s v="y"/>
    <m/>
    <m/>
    <s v="2025_06_17"/>
    <s v="Prague"/>
    <s v="Czech Republic"/>
    <n v="23"/>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2"/>
    <s v="3rd-party-sample-UPS"/>
    <n v="1"/>
    <d v="2025-06-17T00:00:00"/>
    <x v="21"/>
    <n v="25"/>
    <s v="25-06"/>
    <x v="8"/>
    <s v="Prague National Institute"/>
    <s v="Prague WWTP FLOW 1"/>
    <n v="0"/>
    <s v="European Commission - JRC"/>
    <s v="Maikel"/>
    <s v="1ZRJ73868631890434"/>
    <m/>
    <s v="29TJA6AK52R"/>
    <s v="0082_WWI_00001_J5T_08_x000a_0082_WWI_00001_J5T_07_x000a_0082_WWI_00001_J5T_06_x000a_0082_WWI_00001_J5T_05_x000a_0082_WWI_00001_J5T_04_x000a_0082_WWI_00001_J5T_03_x000a_0082_WWI_00001_J5T_02_x000a_0082_WWI_00001_J5T_01"/>
    <s v="YES"/>
    <s v="y"/>
    <m/>
    <m/>
    <s v="2025_06_17"/>
    <s v="Prague"/>
    <s v="Czech Republic"/>
    <n v="23"/>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3"/>
    <s v="3rd-party-sample-UPS"/>
    <n v="1"/>
    <d v="2025-06-17T00:00:00"/>
    <x v="21"/>
    <n v="25"/>
    <s v="25-06"/>
    <x v="8"/>
    <s v="Prague National Institute"/>
    <s v="Prague WWTP FLOW 1"/>
    <n v="0"/>
    <s v="European Commission - JRC"/>
    <s v="Maikel"/>
    <s v="1ZRJ73868625597246"/>
    <m/>
    <s v="29TJA6AK52R"/>
    <s v="0082_WWI_00001_D3R_08_x000a_0082_WWI_00001_D3R_07_x000a_0082_WWI_00001_D3R_06_x000a_0082_WWI_00001_D3R_05_x000a_0082_WWI_00001_D3R_04_x000a_0082_WWI_00001_D3R_03_x000a_0082_WWI_00001_D3R_02_x000a_0082_WWI_00001_D3R_01"/>
    <s v="YES"/>
    <s v="y"/>
    <m/>
    <m/>
    <s v="2025_06_17"/>
    <s v="Prague"/>
    <s v="Czech Republic"/>
    <n v="23"/>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4"/>
    <s v="3rd-party-sample-UPS"/>
    <n v="1"/>
    <d v="2025-06-17T00:00:00"/>
    <x v="21"/>
    <n v="25"/>
    <s v="25-06"/>
    <x v="8"/>
    <s v="Prague National Institute"/>
    <s v="Prague WWTP FLOW 1"/>
    <n v="0"/>
    <s v="European Commission - JRC"/>
    <s v="Maikel"/>
    <s v="1ZRJ73868628938452"/>
    <m/>
    <s v="29TJA6AK52R"/>
    <s v="0082_WWI_00002_D3R_08_x000a_0082_WWI_00002_D3R_07_x000a_0082_WWI_00002_D3R_06_x000a_0082_WWI_00002_D3R_05_x000a_0082_WWI_00002_D3R_04_x000a_0082_WWI_00002_D3R_03_x000a_0082_WWI_00002_D3R_02_x000a_0082_WWI_00002_D3R_01"/>
    <s v="YES"/>
    <s v="y"/>
    <m/>
    <m/>
    <s v="2025_06_17"/>
    <s v="Prague"/>
    <s v="Czech Republic"/>
    <n v="23"/>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5"/>
    <s v="3rd-party-sample-UPS"/>
    <n v="1"/>
    <d v="2025-07-01T00:00:00"/>
    <x v="22"/>
    <n v="27"/>
    <s v="25-07"/>
    <x v="8"/>
    <s v="Prague National Institute"/>
    <s v="Prague WWTP FLOW 1"/>
    <n v="0"/>
    <s v="European Commission - JRC"/>
    <s v="Tom"/>
    <s v="1ZRJ73868603645396"/>
    <s v="Remco"/>
    <s v="294626L92SO"/>
    <s v="0082_WWI_00004_D3R_01"/>
    <s v="YES"/>
    <s v="y"/>
    <m/>
    <m/>
    <s v="2025_07_01"/>
    <s v="Prague"/>
    <s v="Czech Republic"/>
    <n v="25"/>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6"/>
    <s v="3rd-party-sample-UPS"/>
    <n v="1"/>
    <d v="2025-07-01T00:00:00"/>
    <x v="22"/>
    <n v="27"/>
    <s v="25-07"/>
    <x v="8"/>
    <s v="Prague National Institute"/>
    <s v="Prague WWTP FLOW 1"/>
    <n v="0"/>
    <s v="European Commission - JRC"/>
    <s v="Tom"/>
    <s v="1ZRJ73868616704600"/>
    <s v="Remco"/>
    <s v="294626L92SO"/>
    <s v="0082_WWI_00002_V6L_01"/>
    <s v="YES"/>
    <s v="y"/>
    <m/>
    <m/>
    <s v="2025_07_01"/>
    <s v="Prague"/>
    <s v="Czech Republic"/>
    <n v="25"/>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7"/>
    <s v="3rd-party-sample-UPS"/>
    <n v="1"/>
    <d v="2025-07-01T00:00:00"/>
    <x v="22"/>
    <n v="27"/>
    <s v="25-07"/>
    <x v="8"/>
    <s v="Prague National Institute"/>
    <s v="Prague WWTP FLOW 1"/>
    <n v="0"/>
    <s v="European Commission - JRC"/>
    <s v="Tom"/>
    <s v="1ZRJ73868607658213"/>
    <s v="Remco"/>
    <s v="294626L92SO"/>
    <s v="0082_WWI_00002_J5T_01"/>
    <s v="YES"/>
    <s v="y"/>
    <m/>
    <m/>
    <s v="2025_07_01"/>
    <s v="Prague"/>
    <s v="Czech Republic"/>
    <n v="25"/>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8"/>
    <s v="3rd-party-sample-UPS"/>
    <n v="1"/>
    <d v="2025-07-01T00:00:00"/>
    <x v="22"/>
    <n v="27"/>
    <s v="25-07"/>
    <x v="8"/>
    <s v="Prague National Institute"/>
    <s v="Prague WWTP FLOW 1"/>
    <n v="0"/>
    <s v="European Commission - JRC"/>
    <s v="Tom"/>
    <s v="1ZRJ73868608922229"/>
    <s v="Remco"/>
    <s v="294626L92SO"/>
    <s v="0082_WWI_00003_D3R_01"/>
    <s v="YES"/>
    <s v="y"/>
    <m/>
    <m/>
    <s v="2025_07_01"/>
    <s v="Prague"/>
    <s v="Czech Republic"/>
    <n v="25"/>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69"/>
    <s v="3rd-party-sample-UPS"/>
    <n v="1"/>
    <d v="2025-07-15T00:00:00"/>
    <x v="23"/>
    <n v="29"/>
    <s v="25-07"/>
    <x v="8"/>
    <s v="Prague National Institute"/>
    <s v="Prague WWTP FLOW 1"/>
    <n v="0"/>
    <s v="European Commission - JRC"/>
    <s v="Tom"/>
    <s v="1ZRJ73868616641008"/>
    <s v="Remco"/>
    <s v="29Q6G6M3RSI"/>
    <s v="0082_WWI_00006_D3R_01"/>
    <s v="YES"/>
    <s v="y"/>
    <m/>
    <m/>
    <s v="2025_07_15"/>
    <s v="Prague"/>
    <s v="Czech Republic"/>
    <n v="27"/>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70"/>
    <s v="3rd-party-sample-UPS"/>
    <n v="1"/>
    <d v="2025-07-15T00:00:00"/>
    <x v="23"/>
    <n v="29"/>
    <s v="25-07"/>
    <x v="8"/>
    <s v="Prague National Institute"/>
    <s v="Prague WWTP FLOW 1"/>
    <n v="0"/>
    <s v="European Commission - JRC"/>
    <s v="Tom"/>
    <s v="1ZRJ73868606890615"/>
    <s v="Remco"/>
    <s v="29Q6G6M3RSI"/>
    <s v="0082_WWI_00003_V6L_01"/>
    <s v="YES"/>
    <s v="y"/>
    <m/>
    <m/>
    <s v="2025_07_15"/>
    <s v="Prague"/>
    <s v="Czech Republic"/>
    <n v="27"/>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71"/>
    <s v="3rd-party-sample-UPS"/>
    <n v="1"/>
    <d v="2025-07-15T00:00:00"/>
    <x v="23"/>
    <n v="29"/>
    <s v="25-07"/>
    <x v="8"/>
    <s v="Prague National Institute"/>
    <s v="Prague WWTP FLOW 1"/>
    <n v="0"/>
    <s v="European Commission - JRC"/>
    <s v="Tom"/>
    <s v="1ZRJ73868616890623"/>
    <s v="Remco"/>
    <s v="29Q6G6M3RSI"/>
    <s v="0082_WWI_00005_D3R_01"/>
    <s v="YES"/>
    <s v="y"/>
    <m/>
    <m/>
    <s v="2025_07_15"/>
    <s v="Prague"/>
    <s v="Czech Republic"/>
    <n v="27"/>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72"/>
    <s v="3rd-party-sample-UPS"/>
    <n v="1"/>
    <d v="2025-07-15T00:00:00"/>
    <x v="23"/>
    <n v="29"/>
    <s v="25-07"/>
    <x v="8"/>
    <s v="Prague National Institute"/>
    <s v="Prague WWTP FLOW 1"/>
    <n v="0"/>
    <s v="European Commission - JRC"/>
    <s v="Tom"/>
    <s v="1ZRJ73868606897038"/>
    <s v="Remco"/>
    <s v="29Q6G6M3RSI"/>
    <s v="0082_WWI_00003_J5T_01"/>
    <s v="YES"/>
    <s v="y"/>
    <m/>
    <m/>
    <s v="2025_07_15"/>
    <s v="Prague"/>
    <s v="Czech Republic"/>
    <n v="27"/>
    <s v="Šrobárova 49/48, Státní zdravotní ústav, Praha, 100 00, Czech Republic"/>
    <s v="Via E. Fermi 2749, T.P. 120, Directorate D Sustainable Resources, Ispra, 21027, Italy"/>
    <n v="89"/>
    <s v="Pick-up service of hypothetic package as defined in the Tech. Specs. and delivery to lots_x000a_2 and 3 contractors according to Scenario 1"/>
    <s v="YES"/>
    <s v="EUEU"/>
  </r>
  <r>
    <n v="174"/>
    <s v="3rd-party-sample-UPS"/>
    <n v="1"/>
    <d v="2025-08-05T00:00:00"/>
    <x v="24"/>
    <n v="32"/>
    <s v="25-08"/>
    <x v="8"/>
    <s v="Prague National Institute"/>
    <s v="Prague WWTP FLOW 1"/>
    <n v="0"/>
    <s v="Instituto Superior Tecnico"/>
    <s v="Remco"/>
    <s v="1ZRJ73868634797843"/>
    <s v="Remco/Jason"/>
    <s v="29CL00H4BR7"/>
    <s v="0082_WWI_00008_D3R"/>
    <s v="YES"/>
    <s v="y"/>
    <m/>
    <m/>
    <s v="2025_08_05"/>
    <s v="Prague"/>
    <s v="Czech Republic"/>
    <n v="30"/>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75"/>
    <s v="3rd-party-sample-UPS"/>
    <n v="1"/>
    <d v="2025-08-05T00:00:00"/>
    <x v="24"/>
    <n v="32"/>
    <s v="25-08"/>
    <x v="8"/>
    <s v="Prague National Institute"/>
    <s v="Prague WWTP FLOW 1"/>
    <n v="0"/>
    <s v="Instituto Superior Tecnico"/>
    <s v="Remco"/>
    <s v="1ZRJ73868626283056"/>
    <s v="Remco/Jason"/>
    <s v="29CL00H4BR7"/>
    <s v="0082_WWI_00007_D3R"/>
    <s v="YES"/>
    <s v="y"/>
    <m/>
    <m/>
    <s v="2025_08_05"/>
    <s v="Prague"/>
    <s v="Czech Republic"/>
    <n v="30"/>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76"/>
    <s v="3rd-party-sample-UPS"/>
    <n v="1"/>
    <d v="2025-08-05T00:00:00"/>
    <x v="24"/>
    <n v="32"/>
    <s v="25-08"/>
    <x v="8"/>
    <s v="Prague National Institute"/>
    <s v="Prague WWTP FLOW 1"/>
    <n v="0"/>
    <s v="Instituto Superior Tecnico"/>
    <s v="Remco"/>
    <s v="1ZRJ73868634218665"/>
    <s v="Remco/Jason"/>
    <s v="29CL00H4BR7"/>
    <s v="0082_WWI_00004_J5T"/>
    <s v="YES"/>
    <s v="y"/>
    <m/>
    <m/>
    <s v="2025_08_05"/>
    <s v="Prague"/>
    <s v="Czech Republic"/>
    <n v="30"/>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77"/>
    <s v="3rd-party-sample-UPS"/>
    <n v="1"/>
    <d v="2025-08-19T00:00:00"/>
    <x v="25"/>
    <n v="34"/>
    <s v="25-08"/>
    <x v="8"/>
    <s v="Prague National Institute"/>
    <s v="Prague WWTP FLOW 1"/>
    <n v="0"/>
    <s v="Instituto Superior Tecnico"/>
    <s v="Tom"/>
    <s v="1ZRJ76798600070056"/>
    <s v="Tom"/>
    <s v="29HLLESK65B"/>
    <s v="0082_WWI_00005_J5T_01"/>
    <s v="YES"/>
    <s v="y"/>
    <m/>
    <m/>
    <s v="2025_08_19"/>
    <s v="Prague"/>
    <s v="Czech Republic"/>
    <n v="32"/>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78"/>
    <s v="3rd-party-sample-UPS"/>
    <n v="1"/>
    <d v="2025-08-19T00:00:00"/>
    <x v="25"/>
    <n v="34"/>
    <s v="25-08"/>
    <x v="8"/>
    <s v="Prague National Institute"/>
    <s v="Prague WWTP FLOW 1"/>
    <n v="0"/>
    <s v="Instituto Superior Tecnico"/>
    <s v="Tom"/>
    <s v="1ZRJ76798608096069"/>
    <s v="Tom"/>
    <s v="29HLLESK65B"/>
    <s v="0082_WWI_00004_V6L_01"/>
    <s v="YES"/>
    <s v="y"/>
    <m/>
    <m/>
    <s v="2025_08_19"/>
    <s v="Prague"/>
    <s v="Czech Republic"/>
    <n v="32"/>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79"/>
    <s v="3rd-party-sample-UPS"/>
    <n v="1"/>
    <d v="2025-08-19T00:00:00"/>
    <x v="25"/>
    <n v="34"/>
    <s v="25-08"/>
    <x v="8"/>
    <s v="Prague National Institute"/>
    <s v="Prague WWTP FLOW 1"/>
    <n v="0"/>
    <s v="Instituto Superior Tecnico"/>
    <s v="Tom"/>
    <s v="1ZRJ76798606526071"/>
    <s v="Tom"/>
    <s v="29HLLESK65B"/>
    <s v="0082_WWI_00010_D3R_01"/>
    <s v="YES"/>
    <s v="y"/>
    <m/>
    <m/>
    <s v="2025_08_19"/>
    <s v="Prague"/>
    <s v="Czech Republic"/>
    <n v="32"/>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0"/>
    <s v="3rd-party-sample-UPS"/>
    <n v="1"/>
    <d v="2025-08-19T00:00:00"/>
    <x v="25"/>
    <n v="34"/>
    <s v="25-08"/>
    <x v="8"/>
    <s v="Prague National Institute"/>
    <s v="Prague WWTP FLOW 1"/>
    <n v="0"/>
    <s v="Instituto Superior Tecnico"/>
    <s v="Tom"/>
    <s v="1ZRJ76798616960083"/>
    <s v="Tom"/>
    <s v="29HLLESK65B"/>
    <s v="0082_WWI_00009_D3R_01"/>
    <s v="YES"/>
    <s v="y"/>
    <m/>
    <m/>
    <s v="2025_08_19"/>
    <s v="Prague"/>
    <s v="Czech Republic"/>
    <n v="32"/>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1"/>
    <s v="3rd-party-sample-UPS"/>
    <n v="1"/>
    <d v="2025-09-02T00:00:00"/>
    <x v="26"/>
    <n v="36"/>
    <s v="25-09"/>
    <x v="8"/>
    <s v="Prague National Institute"/>
    <s v="Prague WWTP FLOW 1"/>
    <n v="0"/>
    <s v="Instituto Superior Tecnico"/>
    <s v="Tom"/>
    <s v="1ZRJ76798613520189"/>
    <s v="Tom"/>
    <s v="29N8929HLNJ"/>
    <s v="0082_WWI_00006_J5T_01"/>
    <s v="YES"/>
    <s v="y"/>
    <m/>
    <m/>
    <s v="2025_09_02"/>
    <s v="Prague"/>
    <s v="Czech Republic"/>
    <n v="34"/>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2"/>
    <s v="3rd-party-sample-UPS"/>
    <n v="1"/>
    <d v="2025-09-02T00:00:00"/>
    <x v="26"/>
    <n v="36"/>
    <s v="25-09"/>
    <x v="8"/>
    <s v="Prague National Institute"/>
    <s v="Prague WWTP FLOW 1"/>
    <n v="0"/>
    <s v="Instituto Superior Tecnico"/>
    <s v="Tom"/>
    <s v="1ZRJ76798601598191"/>
    <s v="Tom"/>
    <s v="29N8929HLNJ"/>
    <s v="0082_WWI_00012_D3R_01"/>
    <s v="YES"/>
    <s v="y"/>
    <m/>
    <m/>
    <s v="2025_09_02"/>
    <s v="Prague"/>
    <s v="Czech Republic"/>
    <n v="34"/>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3"/>
    <s v="3rd-party-sample-UPS"/>
    <n v="1"/>
    <d v="2025-09-02T00:00:00"/>
    <x v="26"/>
    <n v="36"/>
    <s v="25-09"/>
    <x v="8"/>
    <s v="Prague National Institute"/>
    <s v="Prague WWTP FLOW 1"/>
    <n v="0"/>
    <s v="Instituto Superior Tecnico"/>
    <s v="Tom"/>
    <s v="1ZRJ76798600880207"/>
    <s v="Tom"/>
    <s v="29N8929HLNJ"/>
    <s v="0082_WWI_00005_V6L_01"/>
    <s v="YES"/>
    <s v="y"/>
    <m/>
    <m/>
    <s v="2025_09_02"/>
    <s v="Prague"/>
    <s v="Czech Republic"/>
    <n v="34"/>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4"/>
    <s v="3rd-party-sample-UPS"/>
    <n v="1"/>
    <d v="2025-09-02T00:00:00"/>
    <x v="26"/>
    <n v="36"/>
    <s v="25-09"/>
    <x v="8"/>
    <s v="Prague National Institute"/>
    <s v="Prague WWTP FLOW 1"/>
    <n v="0"/>
    <s v="Instituto Superior Tecnico"/>
    <s v="Tom"/>
    <s v="1ZRJ76798610480282"/>
    <s v="Tom"/>
    <s v="29N8929HLNJ"/>
    <s v="0082_WWI_00011_D3R_01"/>
    <s v="YES"/>
    <s v="y"/>
    <m/>
    <m/>
    <s v="2025_09_02"/>
    <s v="Prague"/>
    <s v="Czech Republic"/>
    <n v="34"/>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5"/>
    <s v="3rd-party-sample-UPS"/>
    <n v="1"/>
    <d v="2025-09-16T00:00:00"/>
    <x v="27"/>
    <n v="38"/>
    <s v="25-09"/>
    <x v="8"/>
    <s v="Prague National Institute"/>
    <s v="Prague WWTP FLOW 1"/>
    <n v="0"/>
    <s v="Instituto Superior Tecnico"/>
    <s v="Tom"/>
    <s v="1ZRJ76798628764291"/>
    <s v="Jason"/>
    <s v="29JMDMSRJ85"/>
    <s v="0082_WWI_00013_D3R_01"/>
    <s v="YES"/>
    <s v="y"/>
    <m/>
    <m/>
    <s v="2025_09_16"/>
    <s v="Prague"/>
    <s v="Czech Republic"/>
    <n v="36"/>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6"/>
    <s v="3rd-party-sample-UPS"/>
    <n v="1"/>
    <d v="2025-09-16T00:00:00"/>
    <x v="27"/>
    <n v="38"/>
    <s v="25-09"/>
    <x v="8"/>
    <s v="Prague National Institute"/>
    <s v="Prague WWTP FLOW 1"/>
    <n v="0"/>
    <s v="Instituto Superior Tecnico"/>
    <s v="Tom"/>
    <s v="1ZRJ76798629227306"/>
    <s v="Jason"/>
    <s v="29JMDMSRJ85"/>
    <s v="0082_WWI_00014_D3R_01"/>
    <s v="YES"/>
    <s v="y"/>
    <m/>
    <m/>
    <s v="2025_09_16"/>
    <s v="Prague"/>
    <s v="Czech Republic"/>
    <n v="36"/>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7"/>
    <s v="3rd-party-sample-UPS"/>
    <n v="1"/>
    <d v="2025-09-16T00:00:00"/>
    <x v="27"/>
    <n v="38"/>
    <s v="25-09"/>
    <x v="8"/>
    <s v="Prague National Institute"/>
    <s v="Prague WWTP FLOW 1"/>
    <n v="0"/>
    <s v="Instituto Superior Tecnico"/>
    <s v="Tom"/>
    <s v="1ZRJ76798633848119"/>
    <s v="Jason"/>
    <s v="29JMDMSRJ85"/>
    <s v="0082_WWI_00007_J57_01"/>
    <s v="YES"/>
    <s v="y"/>
    <m/>
    <m/>
    <s v="2025_09_16"/>
    <s v="Prague"/>
    <s v="Czech Republic"/>
    <n v="36"/>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8"/>
    <s v="3rd-party-sample-UPS"/>
    <n v="1"/>
    <d v="2025-09-16T00:00:00"/>
    <x v="27"/>
    <n v="38"/>
    <s v="25-09"/>
    <x v="8"/>
    <s v="Prague National Institute"/>
    <s v="Prague WWTP FLOW 1"/>
    <n v="0"/>
    <s v="Instituto Superior Tecnico"/>
    <s v="Tom"/>
    <s v="1ZRJ76798623510724"/>
    <s v="Jason"/>
    <s v="29JMDMSRJ85"/>
    <s v="0082_WWI_00006_V6L_01"/>
    <s v="YES"/>
    <s v="y"/>
    <m/>
    <m/>
    <s v="2025_09_16"/>
    <s v="Prague"/>
    <s v="Czech Republic"/>
    <n v="36"/>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89"/>
    <s v="3rd-party-sample-UPS"/>
    <n v="1"/>
    <d v="2025-10-07T00:00:00"/>
    <x v="28"/>
    <n v="41"/>
    <s v="25-10"/>
    <x v="8"/>
    <s v="Prague National Institute"/>
    <s v="Prague WWTP FLOW 1"/>
    <n v="0"/>
    <s v="Instituto Superior Tecnico"/>
    <s v="Remco"/>
    <s v="1ZRJ76798607998597"/>
    <s v="Tom"/>
    <s v="29X9J2Q114J"/>
    <m/>
    <s v="YES"/>
    <s v="y"/>
    <m/>
    <m/>
    <s v="2025_10_07"/>
    <s v="Prague"/>
    <s v="Czech Republic"/>
    <n v="39"/>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0"/>
    <s v="3rd-party-sample-UPS"/>
    <n v="1"/>
    <d v="2025-10-07T00:00:00"/>
    <x v="28"/>
    <n v="41"/>
    <s v="25-10"/>
    <x v="8"/>
    <s v="Prague National Institute"/>
    <s v="Prague WWTP FLOW 1"/>
    <n v="0"/>
    <s v="Instituto Superior Tecnico"/>
    <s v="Remco"/>
    <s v="1ZRJ76798607440607"/>
    <s v="Tom"/>
    <s v="29X9J2Q114J"/>
    <m/>
    <s v="YES"/>
    <s v="y"/>
    <m/>
    <m/>
    <s v="2025_10_07"/>
    <s v="Prague"/>
    <s v="Czech Republic"/>
    <n v="39"/>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1"/>
    <s v="3rd-party-sample-UPS"/>
    <n v="1"/>
    <d v="2025-10-07T00:00:00"/>
    <x v="28"/>
    <n v="41"/>
    <s v="25-10"/>
    <x v="8"/>
    <s v="Prague National Institute"/>
    <s v="Prague WWTP FLOW 1"/>
    <n v="0"/>
    <s v="Instituto Superior Tecnico"/>
    <s v="Remco"/>
    <s v="1ZRJ76798603686618"/>
    <s v="Tom"/>
    <s v="29X9J2Q114J"/>
    <s v="00882_WWI_00015_D3R_01"/>
    <s v="YES"/>
    <s v="y"/>
    <m/>
    <m/>
    <s v="2025_10_07"/>
    <s v="Prague"/>
    <s v="Czech Republic"/>
    <n v="39"/>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2"/>
    <s v="3rd-party-sample-UPS"/>
    <n v="1"/>
    <d v="2025-10-07T00:00:00"/>
    <x v="28"/>
    <n v="41"/>
    <s v="25-10"/>
    <x v="8"/>
    <s v="Prague National Institute"/>
    <s v="Prague WWTP FLOW 1"/>
    <n v="0"/>
    <s v="Instituto Superior Tecnico"/>
    <s v="Remco"/>
    <s v="1ZRJ76798618336629"/>
    <s v="Tom"/>
    <s v="29X9J2Q114J"/>
    <m/>
    <s v="YES"/>
    <s v="y"/>
    <m/>
    <m/>
    <s v="2025_10_07"/>
    <s v="Prague"/>
    <s v="Czech Republic"/>
    <n v="39"/>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3"/>
    <s v="3rd-party-sample-UPS"/>
    <n v="1"/>
    <d v="2025-10-21T00:00:00"/>
    <x v="29"/>
    <n v="43"/>
    <s v="25-10"/>
    <x v="8"/>
    <s v="Prague National Institute"/>
    <s v="Prague WWTP FLOW 1"/>
    <n v="0"/>
    <s v="Instituto Superior Tecnico"/>
    <s v="Tom"/>
    <s v="1ZRJ76798629537598"/>
    <m/>
    <m/>
    <m/>
    <s v="YES"/>
    <m/>
    <m/>
    <m/>
    <s v="2025_10_21"/>
    <s v="Prague"/>
    <s v="Czech Republic"/>
    <n v="41"/>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4"/>
    <s v="3rd-party-sample-UPS"/>
    <n v="1"/>
    <d v="2025-10-21T00:00:00"/>
    <x v="29"/>
    <n v="43"/>
    <s v="25-10"/>
    <x v="8"/>
    <s v="Prague National Institute"/>
    <s v="Prague WWTP FLOW 1"/>
    <n v="0"/>
    <s v="Instituto Superior Tecnico"/>
    <s v="Tom"/>
    <s v="1ZRJ76798626474607"/>
    <m/>
    <m/>
    <m/>
    <s v="YES"/>
    <m/>
    <m/>
    <m/>
    <s v="2025_10_21"/>
    <s v="Prague"/>
    <s v="Czech Republic"/>
    <n v="41"/>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5"/>
    <s v="3rd-party-sample-UPS"/>
    <n v="1"/>
    <d v="2025-10-21T00:00:00"/>
    <x v="29"/>
    <n v="43"/>
    <s v="25-10"/>
    <x v="8"/>
    <s v="Prague National Institute"/>
    <s v="Prague WWTP FLOW 1"/>
    <n v="0"/>
    <s v="Instituto Superior Tecnico"/>
    <s v="Tom"/>
    <s v="1ZRJ76798631289414"/>
    <m/>
    <m/>
    <m/>
    <s v="YES"/>
    <m/>
    <m/>
    <m/>
    <s v="2025_10_21"/>
    <s v="Prague"/>
    <s v="Czech Republic"/>
    <n v="41"/>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6"/>
    <s v="3rd-party-sample-UPS"/>
    <n v="1"/>
    <d v="2025-10-21T00:00:00"/>
    <x v="29"/>
    <n v="43"/>
    <s v="25-10"/>
    <x v="8"/>
    <s v="Prague National Institute"/>
    <s v="Prague WWTP FLOW 1"/>
    <n v="0"/>
    <s v="Instituto Superior Tecnico"/>
    <s v="Tom"/>
    <s v="1ZRJ76798626466027"/>
    <m/>
    <m/>
    <m/>
    <s v="YES"/>
    <m/>
    <m/>
    <m/>
    <s v="2025_10_21"/>
    <s v="Prague"/>
    <s v="Czech Republic"/>
    <n v="41"/>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YES"/>
    <s v="EUEU"/>
  </r>
  <r>
    <n v="197"/>
    <s v="3rd-party-sample-UPS"/>
    <n v="1"/>
    <d v="2025-11-04T00:00:00"/>
    <x v="30"/>
    <n v="45"/>
    <s v="25-11"/>
    <x v="8"/>
    <s v="Prague National Institute"/>
    <s v="Prague WWTP FLOW 1"/>
    <n v="0"/>
    <s v="Instituto Superior Tecnico"/>
    <s v="Jason"/>
    <s v="1ZRJ73868614307105"/>
    <m/>
    <m/>
    <m/>
    <s v="YES"/>
    <m/>
    <m/>
    <m/>
    <s v="2025_11_04"/>
    <s v="Prague"/>
    <s v="Czech Republic"/>
    <n v="43"/>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NO"/>
    <s v="EUEU"/>
  </r>
  <r>
    <n v="198"/>
    <s v="3rd-party-sample-UPS"/>
    <n v="1"/>
    <d v="2025-11-04T00:00:00"/>
    <x v="30"/>
    <n v="45"/>
    <s v="25-11"/>
    <x v="8"/>
    <s v="Prague National Institute"/>
    <s v="Prague WWTP FLOW 1"/>
    <n v="0"/>
    <s v="Instituto Superior Tecnico"/>
    <s v="Jason"/>
    <s v="1ZRJ73868610860710"/>
    <m/>
    <m/>
    <m/>
    <s v="YES"/>
    <m/>
    <m/>
    <m/>
    <s v="2025_11_04"/>
    <s v="Prague"/>
    <s v="Czech Republic"/>
    <n v="43"/>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NO"/>
    <s v="EUEU"/>
  </r>
  <r>
    <n v="199"/>
    <s v="3rd-party-sample-UPS"/>
    <n v="1"/>
    <d v="2025-11-04T00:00:00"/>
    <x v="30"/>
    <n v="45"/>
    <s v="25-11"/>
    <x v="8"/>
    <s v="Prague National Institute"/>
    <s v="Prague WWTP FLOW 1"/>
    <n v="0"/>
    <s v="Instituto Superior Tecnico"/>
    <s v="Jason"/>
    <s v="1ZRJ73868601724723"/>
    <m/>
    <m/>
    <m/>
    <s v="YES"/>
    <m/>
    <m/>
    <m/>
    <s v="2025_11_04"/>
    <s v="Prague"/>
    <s v="Czech Republic"/>
    <n v="43"/>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NO"/>
    <s v="EUEU"/>
  </r>
  <r>
    <n v="200"/>
    <s v="3rd-party-sample-UPS"/>
    <n v="1"/>
    <d v="2025-11-04T00:00:00"/>
    <x v="30"/>
    <n v="45"/>
    <s v="25-11"/>
    <x v="8"/>
    <s v="Prague National Institute"/>
    <s v="Prague WWTP FLOW 1"/>
    <n v="0"/>
    <s v="Instituto Superior Tecnico"/>
    <s v="Jason"/>
    <s v="1ZRJ73868605555131"/>
    <m/>
    <m/>
    <m/>
    <s v="YES"/>
    <m/>
    <m/>
    <m/>
    <s v="2025_11_04"/>
    <s v="Prague"/>
    <s v="Czech Republic"/>
    <n v="43"/>
    <s v="Šrobárova 49/48, Státní zdravotní ústav, Praha, 100 00, Czech Republic"/>
    <s v="Av. Rovisco Pais 1, Laboratorio de Analises de Agua, Lisbon, 1049-001, Portugal"/>
    <n v="89"/>
    <s v="Pick-up service of hypothetic package as defined in the Tech. Specs. and delivery to lots_x000a_2 and 3 contractors according to Scenario 1"/>
    <s v="NO"/>
    <s v="EUEU"/>
  </r>
  <r>
    <n v="201"/>
    <s v="3rd-party-sample-UPS"/>
    <n v="1"/>
    <d v="2025-11-18T00:00:00"/>
    <x v="31"/>
    <n v="47"/>
    <s v="25-11"/>
    <x v="8"/>
    <s v="Prague National Institute"/>
    <s v="Prague WWTP FLOW 1"/>
    <n v="0"/>
    <m/>
    <m/>
    <m/>
    <m/>
    <m/>
    <m/>
    <s v="NO"/>
    <m/>
    <m/>
    <m/>
    <s v="2025_11_18"/>
    <s v="Prague"/>
    <s v="Czech Republic"/>
    <n v="45"/>
    <s v="Šrobárova 49/48, Státní zdravotní ústav, Praha, 100 00, Czech Republic"/>
    <n v="0"/>
    <s v=""/>
    <s v=""/>
    <s v="NO"/>
    <s v="EU"/>
  </r>
  <r>
    <n v="202"/>
    <s v="3rd-party-sample-UPS"/>
    <n v="1"/>
    <d v="2025-11-18T00:00:00"/>
    <x v="31"/>
    <n v="47"/>
    <s v="25-11"/>
    <x v="8"/>
    <s v="Prague National Institute"/>
    <s v="Prague WWTP FLOW 1"/>
    <n v="0"/>
    <m/>
    <m/>
    <m/>
    <m/>
    <m/>
    <m/>
    <s v="NO"/>
    <m/>
    <m/>
    <m/>
    <s v="2025_11_18"/>
    <s v="Prague"/>
    <s v="Czech Republic"/>
    <n v="45"/>
    <s v="Šrobárova 49/48, Státní zdravotní ústav, Praha, 100 00, Czech Republic"/>
    <n v="0"/>
    <s v=""/>
    <s v=""/>
    <s v="NO"/>
    <s v="EU"/>
  </r>
  <r>
    <n v="203"/>
    <s v="3rd-party-sample-UPS"/>
    <n v="1"/>
    <d v="2025-11-18T00:00:00"/>
    <x v="31"/>
    <n v="47"/>
    <s v="25-11"/>
    <x v="8"/>
    <s v="Prague National Institute"/>
    <s v="Prague WWTP FLOW 1"/>
    <n v="0"/>
    <m/>
    <m/>
    <m/>
    <m/>
    <m/>
    <m/>
    <s v="NO"/>
    <m/>
    <m/>
    <m/>
    <s v="2025_11_18"/>
    <s v="Prague"/>
    <s v="Czech Republic"/>
    <n v="45"/>
    <s v="Šrobárova 49/48, Státní zdravotní ústav, Praha, 100 00, Czech Republic"/>
    <n v="0"/>
    <s v=""/>
    <s v=""/>
    <s v="NO"/>
    <s v="EU"/>
  </r>
  <r>
    <n v="204"/>
    <s v="3rd-party-sample-UPS"/>
    <n v="1"/>
    <d v="2025-11-18T00:00:00"/>
    <x v="31"/>
    <n v="47"/>
    <s v="25-11"/>
    <x v="8"/>
    <s v="Prague National Institute"/>
    <s v="Prague WWTP FLOW 1"/>
    <n v="0"/>
    <m/>
    <m/>
    <m/>
    <m/>
    <m/>
    <m/>
    <s v="NO"/>
    <m/>
    <m/>
    <m/>
    <s v="2025_11_18"/>
    <s v="Prague"/>
    <s v="Czech Republic"/>
    <n v="45"/>
    <s v="Šrobárova 49/48, Státní zdravotní ústav, Praha, 100 00, Czech Republic"/>
    <n v="0"/>
    <s v=""/>
    <s v=""/>
    <s v="NO"/>
    <s v="EU"/>
  </r>
  <r>
    <n v="205"/>
    <s v="3rd-party-sample-UPS"/>
    <n v="1"/>
    <d v="2025-12-02T00:00:00"/>
    <x v="32"/>
    <n v="49"/>
    <s v="25-12"/>
    <x v="8"/>
    <s v="Prague National Institute"/>
    <s v="Prague WWTP FLOW 1"/>
    <d v="1899-12-30T00:00:00"/>
    <m/>
    <m/>
    <m/>
    <m/>
    <m/>
    <m/>
    <s v="NO"/>
    <m/>
    <m/>
    <m/>
    <s v="2025_12_02"/>
    <s v="Prague"/>
    <s v="Czech Republic"/>
    <n v="47"/>
    <s v="Šrobárova 49/48, Státní zdravotní ústav, Praha, 100 00, Czech Republic"/>
    <n v="0"/>
    <s v=""/>
    <s v=""/>
    <s v="NO"/>
    <s v="EU"/>
  </r>
  <r>
    <n v="206"/>
    <s v="3rd-party-sample-UPS"/>
    <n v="1"/>
    <d v="2025-12-02T00:00:00"/>
    <x v="32"/>
    <n v="49"/>
    <s v="25-12"/>
    <x v="8"/>
    <s v="Prague National Institute"/>
    <s v="Prague WWTP FLOW 1"/>
    <d v="1899-12-30T00:00:00"/>
    <m/>
    <m/>
    <m/>
    <m/>
    <m/>
    <m/>
    <s v="NO"/>
    <m/>
    <m/>
    <m/>
    <s v="2025_12_02"/>
    <s v="Prague"/>
    <s v="Czech Republic"/>
    <n v="47"/>
    <s v="Šrobárova 49/48, Státní zdravotní ústav, Praha, 100 00, Czech Republic"/>
    <n v="0"/>
    <s v=""/>
    <s v=""/>
    <s v="NO"/>
    <s v="EU"/>
  </r>
  <r>
    <n v="207"/>
    <s v="3rd-party-sample-UPS"/>
    <n v="1"/>
    <d v="2025-12-02T00:00:00"/>
    <x v="32"/>
    <n v="49"/>
    <s v="25-12"/>
    <x v="8"/>
    <s v="Prague National Institute"/>
    <s v="Prague WWTP FLOW 1"/>
    <d v="1899-12-30T00:00:00"/>
    <m/>
    <m/>
    <m/>
    <m/>
    <m/>
    <m/>
    <s v="NO"/>
    <m/>
    <m/>
    <m/>
    <s v="2025_12_02"/>
    <s v="Prague"/>
    <s v="Czech Republic"/>
    <n v="47"/>
    <s v="Šrobárova 49/48, Státní zdravotní ústav, Praha, 100 00, Czech Republic"/>
    <n v="0"/>
    <s v=""/>
    <s v=""/>
    <s v="NO"/>
    <s v="EU"/>
  </r>
  <r>
    <n v="208"/>
    <s v="3rd-party-sample-UPS"/>
    <n v="1"/>
    <d v="2025-12-02T00:00:00"/>
    <x v="32"/>
    <n v="49"/>
    <s v="25-12"/>
    <x v="8"/>
    <s v="Prague National Institute"/>
    <s v="Prague WWTP FLOW 1"/>
    <d v="1899-12-30T00:00:00"/>
    <m/>
    <m/>
    <m/>
    <m/>
    <m/>
    <m/>
    <s v="NO"/>
    <m/>
    <m/>
    <m/>
    <s v="2025_12_02"/>
    <s v="Prague"/>
    <s v="Czech Republic"/>
    <n v="47"/>
    <s v="Šrobárova 49/48, Státní zdravotní ústav, Praha, 100 00, Czech Republic"/>
    <n v="0"/>
    <s v=""/>
    <s v=""/>
    <s v="NO"/>
    <s v="EU"/>
  </r>
  <r>
    <n v="209"/>
    <s v="3rd-party-sample-UPS"/>
    <n v="1"/>
    <d v="2025-12-16T00:00:00"/>
    <x v="33"/>
    <n v="51"/>
    <s v="25-12"/>
    <x v="8"/>
    <s v="Prague National Institute"/>
    <s v="Prague WWTP FLOW 1"/>
    <d v="1899-12-30T00:00:00"/>
    <m/>
    <m/>
    <m/>
    <m/>
    <m/>
    <m/>
    <s v="NO"/>
    <m/>
    <m/>
    <m/>
    <s v="2025_12_16"/>
    <s v="Prague"/>
    <s v="Czech Republic"/>
    <n v="49"/>
    <s v="Šrobárova 49/48, Státní zdravotní ústav, Praha, 100 00, Czech Republic"/>
    <n v="0"/>
    <s v=""/>
    <s v=""/>
    <s v="NO"/>
    <s v="EU"/>
  </r>
  <r>
    <n v="210"/>
    <s v="3rd-party-sample-UPS"/>
    <n v="1"/>
    <d v="2025-12-16T00:00:00"/>
    <x v="33"/>
    <n v="51"/>
    <s v="25-12"/>
    <x v="8"/>
    <s v="Prague National Institute"/>
    <s v="Prague WWTP FLOW 1"/>
    <n v="0"/>
    <m/>
    <m/>
    <m/>
    <m/>
    <m/>
    <m/>
    <s v="NO"/>
    <m/>
    <m/>
    <m/>
    <s v="2025_12_16"/>
    <s v="Prague"/>
    <s v="Czech Republic"/>
    <n v="49"/>
    <s v="Šrobárova 49/48, Státní zdravotní ústav, Praha, 100 00, Czech Republic"/>
    <n v="0"/>
    <s v=""/>
    <s v=""/>
    <s v="NO"/>
    <s v="EU"/>
  </r>
  <r>
    <n v="211"/>
    <s v="3rd-party-sample-UPS"/>
    <n v="1"/>
    <d v="2025-12-16T00:00:00"/>
    <x v="33"/>
    <n v="51"/>
    <s v="25-12"/>
    <x v="8"/>
    <s v="Prague National Institute"/>
    <s v="Prague WWTP FLOW 1"/>
    <n v="0"/>
    <m/>
    <m/>
    <m/>
    <m/>
    <m/>
    <m/>
    <s v="NO"/>
    <m/>
    <m/>
    <m/>
    <s v="2025_12_16"/>
    <s v="Prague"/>
    <s v="Czech Republic"/>
    <n v="49"/>
    <s v="Šrobárova 49/48, Státní zdravotní ústav, Praha, 100 00, Czech Republic"/>
    <n v="0"/>
    <s v=""/>
    <s v=""/>
    <s v="NO"/>
    <s v="EU"/>
  </r>
  <r>
    <n v="212"/>
    <s v="3rd-party-sample-UPS"/>
    <n v="1"/>
    <d v="2025-12-16T00:00:00"/>
    <x v="33"/>
    <n v="51"/>
    <s v="25-12"/>
    <x v="8"/>
    <s v="Prague National Institute"/>
    <s v="Prague WWTP FLOW 1"/>
    <n v="0"/>
    <m/>
    <m/>
    <m/>
    <m/>
    <m/>
    <m/>
    <s v="NO"/>
    <m/>
    <m/>
    <m/>
    <s v="2025_12_16"/>
    <s v="Prague"/>
    <s v="Czech Republic"/>
    <n v="49"/>
    <s v="Šrobárova 49/48, Státní zdravotní ústav, Praha, 100 00, Czech Republic"/>
    <n v="0"/>
    <s v=""/>
    <s v=""/>
    <s v="NO"/>
    <s v="EU"/>
  </r>
  <r>
    <n v="213"/>
    <s v="3rd-party-sample-UPS"/>
    <n v="1"/>
    <d v="2025-06-17T00:00:00"/>
    <x v="21"/>
    <n v="25"/>
    <s v="25-06"/>
    <x v="9"/>
    <s v="Larnaca WWTP"/>
    <s v="Larnaca Airport"/>
    <n v="0.54166666666666663"/>
    <s v="European Commission - JRC"/>
    <s v="Tom"/>
    <s v="1ZRJ73868605450119"/>
    <m/>
    <s v="_x000a_29FJGBJO7R2; 29TJB711LF5 (cancelled)"/>
    <m/>
    <s v="YES"/>
    <s v="y"/>
    <m/>
    <m/>
    <s v="2025_06_17"/>
    <s v="Larnaca"/>
    <s v="Cyprus"/>
    <n v="23"/>
    <s v="Adamantiou Korai street 12, Larnaca District Local Government Organization offices, Larnaca, 6010, Cyprus"/>
    <s v="Via E. Fermi 2749, T.P. 120, Directorate D Sustainable Resources, Ispra, 21027, Italy"/>
    <n v="89"/>
    <s v="Pick-up service of hypothetic package as defined in the Tech. Specs. and delivery to lots_x000a_2 and 3 contractors according to Scenario 1"/>
    <s v="YES"/>
    <s v="EUEU"/>
  </r>
  <r>
    <n v="214"/>
    <s v="3rd-party-sample-UPS"/>
    <n v="1"/>
    <d v="2025-07-01T00:00:00"/>
    <x v="22"/>
    <n v="27"/>
    <s v="25-07"/>
    <x v="9"/>
    <s v="Larnaca WWTP"/>
    <s v="Larnaca Airport"/>
    <n v="0.54166666666666663"/>
    <s v="European Commission - JRC"/>
    <s v="Tom"/>
    <s v="1ZRJ73868614858270"/>
    <s v="Tom; Jason"/>
    <s v="29260JIS2RF"/>
    <s v="0082_WWI_00002_Z4M_01"/>
    <s v="YES"/>
    <s v="y"/>
    <m/>
    <s v="New scheduled 10:20 AM - 1PM 04/07 Coll ID: 29WK5L0BBFG"/>
    <s v="2025_07_01"/>
    <s v="Larnaca"/>
    <s v="Cyprus"/>
    <n v="25"/>
    <s v="Adamantiou Korai street 12, Larnaca District Local Government Organization offices, Larnaca, 6010, Cyprus"/>
    <s v="Via E. Fermi 2749, T.P. 120, Directorate D Sustainable Resources, Ispra, 21027, Italy"/>
    <n v="89"/>
    <s v="Pick-up service of hypothetic package as defined in the Tech. Specs. and delivery to lots_x000a_2 and 3 contractors according to Scenario 1"/>
    <s v="YES"/>
    <s v="EUEU"/>
  </r>
  <r>
    <n v="215"/>
    <s v="3rd-party-sample-UPS"/>
    <n v="1"/>
    <d v="2025-07-15T00:00:00"/>
    <x v="23"/>
    <n v="29"/>
    <s v="25-07"/>
    <x v="9"/>
    <s v="Larnaca WWTP"/>
    <s v="Larnaca Airport"/>
    <n v="0.54166666666666663"/>
    <s v="European Commission - JRC"/>
    <s v="Tom"/>
    <s v="1ZRJ73868612826567"/>
    <s v="Remco"/>
    <s v="29Q6G8GPA57"/>
    <s v="0082_WWI_00003_Q9F_01"/>
    <s v="YES"/>
    <s v="y"/>
    <m/>
    <m/>
    <s v="2025_07_15"/>
    <s v="Larnaca"/>
    <s v="Cyprus"/>
    <n v="27"/>
    <s v="Adamantiou Korai street 12, Larnaca District Local Government Organization offices, Larnaca, 6010, Cyprus"/>
    <s v="Via E. Fermi 2749, T.P. 120, Directorate D Sustainable Resources, Ispra, 21027, Italy"/>
    <n v="89"/>
    <s v="Pick-up service of hypothetic package as defined in the Tech. Specs. and delivery to lots_x000a_2 and 3 contractors according to Scenario 1"/>
    <s v="YES"/>
    <s v="EUEU"/>
  </r>
  <r>
    <n v="216"/>
    <s v="3rd-party-sample-UPS"/>
    <n v="1"/>
    <d v="2025-08-05T00:00:00"/>
    <x v="24"/>
    <n v="32"/>
    <s v="25-08"/>
    <x v="9"/>
    <s v="Larnaca WWTP"/>
    <s v="Larnaca Airport"/>
    <n v="0.54166666666666663"/>
    <s v="Instituto Superior Tecnico"/>
    <s v="Remco"/>
    <s v="1ZRJ73868601249201"/>
    <s v="Remco/Jason"/>
    <s v="29WL070EE99"/>
    <s v="0082_WWI_00004_Z4M"/>
    <s v="YES"/>
    <s v="y"/>
    <m/>
    <m/>
    <s v="2025_08_05"/>
    <s v="Larnaca"/>
    <s v="Cyprus"/>
    <n v="30"/>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17"/>
    <s v="3rd-party-sample-UPS"/>
    <n v="1"/>
    <d v="2025-08-19T00:00:00"/>
    <x v="25"/>
    <n v="34"/>
    <s v="25-08"/>
    <x v="9"/>
    <s v="Larnaca WWTP"/>
    <s v="Larnaca Airport"/>
    <n v="0.54166666666666663"/>
    <s v="Instituto Superior Tecnico"/>
    <s v="Tom"/>
    <s v="1ZRJ76798636774041"/>
    <s v="Tom"/>
    <s v="29SLLBE9AP3"/>
    <s v="0082_WWI_00005_Q9F_01"/>
    <s v="YES"/>
    <s v="y"/>
    <m/>
    <m/>
    <s v="2025_08_19"/>
    <s v="Larnaca"/>
    <s v="Cyprus"/>
    <n v="32"/>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18"/>
    <s v="3rd-party-sample-UPS"/>
    <n v="1"/>
    <d v="2025-09-02T00:00:00"/>
    <x v="26"/>
    <n v="36"/>
    <s v="25-09"/>
    <x v="9"/>
    <s v="Larnaca WWTP"/>
    <s v="Larnaca Airport"/>
    <n v="0.54166666666666663"/>
    <s v="Instituto Superior Tecnico"/>
    <s v="Tom"/>
    <s v="1ZRJ76798603966271"/>
    <s v="Tom"/>
    <s v="296M39I7LFJ"/>
    <s v="0082_WWI_00006_Q9F_01"/>
    <s v="YES"/>
    <s v="y"/>
    <m/>
    <m/>
    <s v="2025_09_02"/>
    <s v="Larnaca"/>
    <s v="Cyprus"/>
    <n v="34"/>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19"/>
    <s v="3rd-party-sample-UPS"/>
    <n v="1"/>
    <d v="2025-09-16T00:00:00"/>
    <x v="27"/>
    <n v="38"/>
    <s v="25-09"/>
    <x v="9"/>
    <s v="Larnaca WWTP"/>
    <s v="Larnaca Airport"/>
    <n v="0.54166666666666663"/>
    <s v="Instituto Superior Tecnico"/>
    <s v="Tom"/>
    <s v="1ZRJ76798622410254"/>
    <s v="Jason"/>
    <s v="29C8MJM680L"/>
    <s v="0082_WWI_00007_Z4M_01"/>
    <s v="YES"/>
    <s v="y"/>
    <m/>
    <m/>
    <s v="2025_09_16"/>
    <s v="Larnaca"/>
    <s v="Cyprus"/>
    <n v="36"/>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20"/>
    <s v="3rd-party-sample-UPS"/>
    <n v="1"/>
    <d v="2025-10-07T00:00:00"/>
    <x v="28"/>
    <n v="41"/>
    <s v="25-10"/>
    <x v="9"/>
    <s v="Larnaca WWTP"/>
    <s v="Larnaca Airport"/>
    <n v="0.54166666666666663"/>
    <s v="Instituto Superior Tecnico"/>
    <s v="Remco"/>
    <s v="1ZRJ76798612990638"/>
    <s v="Tom"/>
    <s v="29WNDIN6QCN"/>
    <m/>
    <s v="YES"/>
    <s v="y"/>
    <m/>
    <m/>
    <s v="2025_10_07"/>
    <s v="Larnaca"/>
    <s v="Cyprus"/>
    <n v="39"/>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21"/>
    <s v="3rd-party-sample-UPS"/>
    <n v="1"/>
    <d v="2025-10-21T00:00:00"/>
    <x v="29"/>
    <n v="43"/>
    <s v="25-10"/>
    <x v="9"/>
    <s v="Larnaca WWTP"/>
    <s v="Larnaca Airport"/>
    <n v="0.54166666666666663"/>
    <s v="Instituto Superior Tecnico"/>
    <s v="Tom"/>
    <s v="1ZRJ76798601446818"/>
    <m/>
    <m/>
    <m/>
    <s v="YES"/>
    <m/>
    <m/>
    <m/>
    <s v="2025_10_21"/>
    <s v="Larnaca"/>
    <s v="Cyprus"/>
    <n v="41"/>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22"/>
    <s v="3rd-party-sample-UPS"/>
    <n v="1"/>
    <d v="2025-11-04T00:00:00"/>
    <x v="30"/>
    <n v="45"/>
    <s v="25-11"/>
    <x v="9"/>
    <s v="Larnaca WWTP"/>
    <s v="Larnaca Airport"/>
    <n v="0.54166666666666663"/>
    <s v="Instituto Superior Tecnico"/>
    <s v="Remco"/>
    <s v="1ZRJ73868638503170"/>
    <m/>
    <m/>
    <m/>
    <s v="YES"/>
    <m/>
    <m/>
    <m/>
    <s v="2025_11_04"/>
    <s v="Larnaca"/>
    <s v="Cyprus"/>
    <n v="43"/>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NO"/>
    <s v="EUEU"/>
  </r>
  <r>
    <n v="223"/>
    <s v="3rd-party-sample-UPS"/>
    <n v="1"/>
    <d v="2025-11-18T00:00:00"/>
    <x v="31"/>
    <n v="47"/>
    <s v="25-11"/>
    <x v="9"/>
    <s v="Larnaca WWTP"/>
    <s v="Larnaca Airport"/>
    <n v="0.54166666666666663"/>
    <m/>
    <m/>
    <m/>
    <m/>
    <m/>
    <m/>
    <s v="NO"/>
    <m/>
    <m/>
    <m/>
    <s v="2025_11_18"/>
    <s v="Larnaca"/>
    <s v="Cyprus"/>
    <n v="45"/>
    <s v="Adamantiou Korai street 12, Larnaca District Local Government Organization offices, Larnaca, 6010, Cyprus"/>
    <n v="0"/>
    <s v=""/>
    <s v=""/>
    <s v="NO"/>
    <s v="EU"/>
  </r>
  <r>
    <n v="224"/>
    <s v="3rd-party-sample-UPS"/>
    <n v="1"/>
    <d v="2025-12-02T00:00:00"/>
    <x v="32"/>
    <n v="49"/>
    <s v="25-12"/>
    <x v="9"/>
    <s v="Larnaca WWTP"/>
    <s v="Larnaca Airport"/>
    <n v="0.54166666666666663"/>
    <m/>
    <m/>
    <m/>
    <m/>
    <m/>
    <m/>
    <s v="NO"/>
    <m/>
    <m/>
    <m/>
    <s v="2025_12_02"/>
    <s v="Larnaca"/>
    <s v="Cyprus"/>
    <n v="47"/>
    <s v="Adamantiou Korai street 12, Larnaca District Local Government Organization offices, Larnaca, 6010, Cyprus"/>
    <n v="0"/>
    <s v=""/>
    <s v=""/>
    <s v="NO"/>
    <s v="EU"/>
  </r>
  <r>
    <n v="225"/>
    <s v="3rd-party-sample-UPS"/>
    <n v="1"/>
    <d v="2025-12-16T00:00:00"/>
    <x v="33"/>
    <n v="51"/>
    <s v="25-12"/>
    <x v="9"/>
    <s v="Larnaca WWTP"/>
    <s v="Larnaca Airport"/>
    <n v="0.54166666666666663"/>
    <m/>
    <m/>
    <m/>
    <m/>
    <m/>
    <m/>
    <s v="NO"/>
    <m/>
    <m/>
    <m/>
    <s v="2025_12_16"/>
    <s v="Larnaca"/>
    <s v="Cyprus"/>
    <n v="49"/>
    <s v="Adamantiou Korai street 12, Larnaca District Local Government Organization offices, Larnaca, 6010, Cyprus"/>
    <n v="0"/>
    <s v=""/>
    <s v=""/>
    <s v="NO"/>
    <s v="EU"/>
  </r>
  <r>
    <n v="226"/>
    <s v="3rd-party-sample-UPS"/>
    <n v="1"/>
    <d v="2025-06-17T00:00:00"/>
    <x v="21"/>
    <n v="25"/>
    <s v="25-06"/>
    <x v="9"/>
    <s v="Larnaca WWTP"/>
    <s v="Larnaca Airport"/>
    <n v="0.54166666666666663"/>
    <s v="European Commission - JRC"/>
    <s v="Tom"/>
    <s v="1ZRJ73868613530124"/>
    <m/>
    <s v="_x000a_29FJGBJO7R2; 29TJB711LF5 (cancelled)"/>
    <m/>
    <s v="YES"/>
    <s v="y"/>
    <m/>
    <m/>
    <s v="2025_06_17"/>
    <s v="Larnaca"/>
    <s v="Cyprus"/>
    <n v="23"/>
    <s v="Adamantiou Korai street 12, Larnaca District Local Government Organization offices, Larnaca, 6010, Cyprus"/>
    <s v="Via E. Fermi 2749, T.P. 120, Directorate D Sustainable Resources, Ispra, 21027, Italy"/>
    <n v="89"/>
    <s v="Pick-up service of hypothetic package as defined in the Tech. Specs. and delivery to lots_x000a_2 and 3 contractors according to Scenario 1"/>
    <s v="YES"/>
    <s v="EUEU"/>
  </r>
  <r>
    <n v="227"/>
    <s v="3rd-party-sample-UPS"/>
    <n v="1"/>
    <d v="2025-07-01T00:00:00"/>
    <x v="22"/>
    <n v="27"/>
    <s v="25-07"/>
    <x v="9"/>
    <s v="Larnaca WWTP"/>
    <s v="Larnaca Airport"/>
    <n v="0.54166666666666663"/>
    <s v="European Commission - JRC"/>
    <s v="Tom"/>
    <s v="1ZRJ73868604160685"/>
    <s v="Tom; Jason"/>
    <s v="29260JIS2RF"/>
    <s v="0082_WWI_00002_Q9F_01"/>
    <s v="YES"/>
    <s v="y"/>
    <m/>
    <s v="New scheduled 10:20 AM - 1PM 04/07 Coll ID: 29WK5L0BBFG"/>
    <s v="2025_07_01"/>
    <s v="Larnaca"/>
    <s v="Cyprus"/>
    <n v="25"/>
    <s v="Adamantiou Korai street 12, Larnaca District Local Government Organization offices, Larnaca, 6010, Cyprus"/>
    <s v="Via E. Fermi 2749, T.P. 120, Directorate D Sustainable Resources, Ispra, 21027, Italy"/>
    <n v="89"/>
    <s v="Pick-up service of hypothetic package as defined in the Tech. Specs. and delivery to lots_x000a_2 and 3 contractors according to Scenario 1"/>
    <s v="YES"/>
    <s v="EUEU"/>
  </r>
  <r>
    <n v="228"/>
    <s v="3rd-party-sample-UPS"/>
    <n v="1"/>
    <d v="2025-07-15T00:00:00"/>
    <x v="23"/>
    <n v="29"/>
    <s v="25-07"/>
    <x v="9"/>
    <s v="Larnaca WWTP"/>
    <s v="Larnaca Airport"/>
    <n v="0.54166666666666663"/>
    <s v="European Commission - JRC"/>
    <s v="Tom"/>
    <s v="1ZRJ73868601834579"/>
    <s v="Remco"/>
    <s v="29Q6G8GPA57"/>
    <s v="0082_WWI_00003_Z4M_01"/>
    <s v="YES"/>
    <s v="y"/>
    <m/>
    <m/>
    <s v="2025_07_15"/>
    <s v="Larnaca"/>
    <s v="Cyprus"/>
    <n v="27"/>
    <s v="Adamantiou Korai street 12, Larnaca District Local Government Organization offices, Larnaca, 6010, Cyprus"/>
    <s v="Via E. Fermi 2749, T.P. 120, Directorate D Sustainable Resources, Ispra, 21027, Italy"/>
    <n v="89"/>
    <s v="Pick-up service of hypothetic package as defined in the Tech. Specs. and delivery to lots_x000a_2 and 3 contractors according to Scenario 1"/>
    <s v="YES"/>
    <s v="EUEU"/>
  </r>
  <r>
    <n v="229"/>
    <s v="3rd-party-sample-UPS"/>
    <n v="1"/>
    <d v="2025-08-05T00:00:00"/>
    <x v="24"/>
    <n v="32"/>
    <s v="25-08"/>
    <x v="9"/>
    <s v="Larnaca WWTP"/>
    <s v="Larnaca Airport"/>
    <n v="0.54166666666666663"/>
    <s v="Instituto Superior Tecnico"/>
    <s v="Remco"/>
    <s v="1ZRJ73868600746818"/>
    <s v="Remco/Jason"/>
    <s v="29WL070EE99"/>
    <s v="0082_WWI_00004_Q9F"/>
    <s v="YES"/>
    <s v="y"/>
    <m/>
    <m/>
    <s v="2025_08_05"/>
    <s v="Larnaca"/>
    <s v="Cyprus"/>
    <n v="30"/>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30"/>
    <s v="3rd-party-sample-UPS"/>
    <n v="1"/>
    <d v="2025-08-19T00:00:00"/>
    <x v="25"/>
    <n v="34"/>
    <s v="25-08"/>
    <x v="9"/>
    <s v="Larnaca WWTP"/>
    <s v="Larnaca Airport"/>
    <n v="0.54166666666666663"/>
    <s v="Instituto Superior Tecnico"/>
    <s v="Tom"/>
    <s v="1ZRJ76798634592054"/>
    <s v="Tom"/>
    <s v="29SLLBE9AP3"/>
    <s v="0082_WWI_00005_Z4M_01"/>
    <s v="YES"/>
    <s v="y"/>
    <m/>
    <m/>
    <s v="2025_08_19"/>
    <s v="Larnaca"/>
    <s v="Cyprus"/>
    <n v="32"/>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31"/>
    <s v="3rd-party-sample-UPS"/>
    <n v="1"/>
    <d v="2025-09-02T00:00:00"/>
    <x v="26"/>
    <n v="36"/>
    <s v="25-09"/>
    <x v="9"/>
    <s v="Larnaca WWTP"/>
    <s v="Larnaca Airport"/>
    <n v="0.54166666666666663"/>
    <s v="Instituto Superior Tecnico"/>
    <s v="Tom"/>
    <s v="1ZRJ73868637553887"/>
    <s v="Tom"/>
    <s v="296M39I7LFJ"/>
    <s v="0082_WWI_00006_Z4M_01"/>
    <s v="YES"/>
    <s v="y"/>
    <m/>
    <m/>
    <s v="2025_09_02"/>
    <s v="Larnaca"/>
    <s v="Cyprus"/>
    <n v="34"/>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32"/>
    <s v="3rd-party-sample-UPS"/>
    <n v="1"/>
    <d v="2025-09-16T00:00:00"/>
    <x v="27"/>
    <n v="38"/>
    <s v="25-09"/>
    <x v="9"/>
    <s v="Larnaca WWTP"/>
    <s v="Larnaca Airport"/>
    <n v="0.54166666666666663"/>
    <s v="Instituto Superior Tecnico"/>
    <s v="Tom"/>
    <s v="1ZRJ76798632682068"/>
    <s v="Jason"/>
    <s v="29C8MJM680L"/>
    <s v="0082_WWI_00007_Q9F_01"/>
    <s v="YES"/>
    <s v="y"/>
    <m/>
    <m/>
    <s v="2025_09_16"/>
    <s v="Larnaca"/>
    <s v="Cyprus"/>
    <n v="36"/>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33"/>
    <s v="3rd-party-sample-UPS"/>
    <n v="1"/>
    <d v="2025-10-07T00:00:00"/>
    <x v="28"/>
    <n v="41"/>
    <s v="25-10"/>
    <x v="9"/>
    <s v="Larnaca WWTP"/>
    <s v="Larnaca Airport"/>
    <n v="0.54166666666666663"/>
    <s v="Instituto Superior Tecnico"/>
    <s v="Remco"/>
    <s v="1ZRJ76798609248643"/>
    <s v="Tom"/>
    <s v="29WNDIN6QCN"/>
    <m/>
    <s v="YES"/>
    <s v="y"/>
    <m/>
    <m/>
    <s v="2025_10_07"/>
    <s v="Larnaca"/>
    <s v="Cyprus"/>
    <n v="39"/>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34"/>
    <s v="3rd-party-sample-UPS"/>
    <n v="1"/>
    <d v="2025-10-21T00:00:00"/>
    <x v="29"/>
    <n v="43"/>
    <s v="25-10"/>
    <x v="9"/>
    <s v="Larnaca WWTP"/>
    <s v="Larnaca Airport"/>
    <n v="0.54166666666666663"/>
    <s v="Instituto Superior Tecnico"/>
    <s v="Tom"/>
    <s v="1ZRJ76798600176826"/>
    <m/>
    <m/>
    <m/>
    <s v="YES"/>
    <m/>
    <m/>
    <m/>
    <s v="2025_10_21"/>
    <s v="Larnaca"/>
    <s v="Cyprus"/>
    <n v="41"/>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YES"/>
    <s v="EUEU"/>
  </r>
  <r>
    <n v="235"/>
    <s v="3rd-party-sample-UPS"/>
    <n v="1"/>
    <d v="2025-11-04T00:00:00"/>
    <x v="30"/>
    <n v="45"/>
    <s v="25-11"/>
    <x v="9"/>
    <s v="Larnaca WWTP"/>
    <s v="Larnaca Airport"/>
    <n v="0.54166666666666663"/>
    <s v="Instituto Superior Tecnico"/>
    <s v="Remco"/>
    <s v="1ZRJ73868639267586"/>
    <m/>
    <m/>
    <m/>
    <s v="YES"/>
    <m/>
    <m/>
    <m/>
    <s v="2025_11_04"/>
    <s v="Larnaca"/>
    <s v="Cyprus"/>
    <n v="43"/>
    <s v="Adamantiou Korai street 12, Larnaca District Local Government Organization offices, Larnaca, 6010, Cyprus"/>
    <s v="Av. Rovisco Pais 1, Laboratorio de Analises de Agua, Lisbon, 1049-001, Portugal"/>
    <n v="89"/>
    <s v="Pick-up service of hypothetic package as defined in the Tech. Specs. and delivery to lots_x000a_2 and 3 contractors according to Scenario 1"/>
    <s v="NO"/>
    <s v="EUEU"/>
  </r>
  <r>
    <n v="236"/>
    <s v="3rd-party-sample-UPS"/>
    <n v="1"/>
    <d v="2025-11-18T00:00:00"/>
    <x v="31"/>
    <n v="47"/>
    <s v="25-11"/>
    <x v="9"/>
    <s v="Larnaca WWTP"/>
    <s v="Larnaca Airport"/>
    <n v="0.54166666666666663"/>
    <m/>
    <m/>
    <m/>
    <m/>
    <m/>
    <m/>
    <s v="NO"/>
    <m/>
    <m/>
    <m/>
    <s v="2025_11_18"/>
    <s v="Larnaca"/>
    <s v="Cyprus"/>
    <n v="45"/>
    <s v="Adamantiou Korai street 12, Larnaca District Local Government Organization offices, Larnaca, 6010, Cyprus"/>
    <n v="0"/>
    <s v=""/>
    <s v=""/>
    <s v="NO"/>
    <s v="EU"/>
  </r>
  <r>
    <n v="237"/>
    <s v="3rd-party-sample-UPS"/>
    <n v="1"/>
    <d v="2025-12-02T00:00:00"/>
    <x v="32"/>
    <n v="49"/>
    <s v="25-12"/>
    <x v="9"/>
    <s v="Larnaca WWTP"/>
    <s v="Larnaca Airport"/>
    <n v="0.54166666666666663"/>
    <m/>
    <m/>
    <m/>
    <m/>
    <m/>
    <m/>
    <s v="NO"/>
    <m/>
    <m/>
    <m/>
    <s v="2025_12_02"/>
    <s v="Larnaca"/>
    <s v="Cyprus"/>
    <n v="47"/>
    <s v="Adamantiou Korai street 12, Larnaca District Local Government Organization offices, Larnaca, 6010, Cyprus"/>
    <n v="0"/>
    <s v=""/>
    <s v=""/>
    <s v="NO"/>
    <s v="EU"/>
  </r>
  <r>
    <n v="238"/>
    <s v="3rd-party-sample-UPS"/>
    <n v="1"/>
    <d v="2025-12-16T00:00:00"/>
    <x v="33"/>
    <n v="51"/>
    <s v="25-12"/>
    <x v="9"/>
    <s v="Larnaca WWTP"/>
    <s v="Larnaca Airport"/>
    <n v="0.54166666666666663"/>
    <m/>
    <m/>
    <m/>
    <m/>
    <m/>
    <m/>
    <s v="NO"/>
    <m/>
    <m/>
    <m/>
    <s v="2025_12_16"/>
    <s v="Larnaca"/>
    <s v="Cyprus"/>
    <n v="49"/>
    <s v="Adamantiou Korai street 12, Larnaca District Local Government Organization offices, Larnaca, 6010, Cyprus"/>
    <n v="0"/>
    <s v=""/>
    <s v=""/>
    <s v="NO"/>
    <s v="EU"/>
  </r>
  <r>
    <n v="239"/>
    <s v="3rd-party-sample-UPS"/>
    <n v="1"/>
    <d v="2025-07-01T00:00:00"/>
    <x v="1"/>
    <n v="27"/>
    <s v="25-07"/>
    <x v="10"/>
    <s v="Dusseldorf WWTP 2101"/>
    <s v="Dusseldorf WWTP 601"/>
    <n v="0.625"/>
    <s v="European Commission - JRC"/>
    <s v="Remco"/>
    <s v="1ZRJ73868606205598"/>
    <s v="Remco"/>
    <s v="29ZJPEEFJDK"/>
    <s v="0082_WWI_00001_N1Q_01"/>
    <s v="YES"/>
    <m/>
    <m/>
    <m/>
    <s v="2025_07_01"/>
    <s v="Dusseldorf"/>
    <s v="Germany"/>
    <n v="25"/>
    <s v="Auf dem Draap 15, Chemisch-Biologische Laboratorien, Dusseldorf, 40221, Germany"/>
    <s v="Via E. Fermi 2749, T.P. 120, Directorate D Sustainable Resources, Ispra, 21027, Italy"/>
    <n v="89"/>
    <s v="Pick-up service of hypothetic package as defined in the Tech. Specs. and delivery to lots_x000a_2 and 3 contractors according to Scenario 1"/>
    <s v="YES"/>
    <s v="EUEU"/>
  </r>
  <r>
    <n v="240"/>
    <s v="3rd-party-sample-UPS"/>
    <n v="1"/>
    <d v="2025-07-15T00:00:00"/>
    <x v="35"/>
    <n v="29"/>
    <s v="25-07"/>
    <x v="10"/>
    <s v="Dusseldorf WWTP 2101"/>
    <s v="Dusseldorf WWTP 601"/>
    <n v="0.625"/>
    <s v="European Commission - JRC"/>
    <s v="Tom"/>
    <s v="1ZRJ73868638314366"/>
    <s v="Remco"/>
    <s v="29V6G5RRFO0"/>
    <s v="0082_WWI_00002_N1Q_01"/>
    <s v="YES"/>
    <s v="y"/>
    <m/>
    <m/>
    <s v="2025_07_15"/>
    <s v="Dusseldorf"/>
    <s v="Germany"/>
    <n v="27"/>
    <s v="Auf dem Draap 15, Chemisch-Biologische Laboratorien, Dusseldorf, 40221, Germany"/>
    <s v="Via E. Fermi 2749, T.P. 120, Directorate D Sustainable Resources, Ispra, 21027, Italy"/>
    <n v="89"/>
    <s v="Pick-up service of hypothetic package as defined in the Tech. Specs. and delivery to lots_x000a_2 and 3 contractors according to Scenario 1"/>
    <s v="YES"/>
    <s v="EUEU"/>
  </r>
  <r>
    <n v="241"/>
    <s v="3rd-party-sample-UPS"/>
    <n v="1"/>
    <d v="2025-08-05T00:00:00"/>
    <x v="36"/>
    <n v="32"/>
    <s v="25-08"/>
    <x v="10"/>
    <s v="Dusseldorf WWTP 2101"/>
    <s v="Dusseldorf WWTP 601"/>
    <n v="0.625"/>
    <s v="Instituto Superior Tecnico"/>
    <s v="Remco"/>
    <s v="1ZRJ73868618714828"/>
    <s v="Remco/Jason"/>
    <s v="29OL03M5I1I;29VL84H6PCR"/>
    <m/>
    <s v="YES"/>
    <s v="y"/>
    <m/>
    <m/>
    <s v="2025_08_05"/>
    <s v="Dusseldorf"/>
    <s v="Germany"/>
    <n v="30"/>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42"/>
    <s v="3rd-party-sample-UPS"/>
    <n v="1"/>
    <d v="2025-08-19T00:00:00"/>
    <x v="37"/>
    <n v="34"/>
    <s v="25-08"/>
    <x v="10"/>
    <s v="Dusseldorf WWTP 2101"/>
    <s v="Dusseldorf WWTP 601"/>
    <n v="0.625"/>
    <s v="Instituto Superior Tecnico"/>
    <s v="Tom"/>
    <s v="1ZRJ76798620026816"/>
    <s v="Tom"/>
    <s v="2947RLS4IH3"/>
    <s v="0082_WWI_00004_N1Q_01"/>
    <s v="YES"/>
    <s v="y"/>
    <m/>
    <m/>
    <s v="2025_08_19"/>
    <s v="Dusseldorf"/>
    <s v="Germany"/>
    <n v="32"/>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43"/>
    <s v="3rd-party-sample-UPS"/>
    <n v="1"/>
    <d v="2025-09-02T00:00:00"/>
    <x v="3"/>
    <n v="36"/>
    <s v="25-09"/>
    <x v="10"/>
    <s v="Dusseldorf WWTP 2101"/>
    <s v="Dusseldorf WWTP 601"/>
    <n v="0.625"/>
    <s v="Instituto Superior Tecnico"/>
    <s v="Tom"/>
    <s v="1ZRJ76798604576164"/>
    <s v="Tom"/>
    <s v="29J89A3JRFP"/>
    <s v="0082_WWI_00005_N1Q_01"/>
    <s v="YES"/>
    <s v="y"/>
    <m/>
    <m/>
    <s v="2025_09_02"/>
    <s v="Dusseldorf"/>
    <s v="Germany"/>
    <n v="34"/>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44"/>
    <s v="3rd-party-sample-UPS"/>
    <n v="1"/>
    <d v="2025-09-16T00:00:00"/>
    <x v="38"/>
    <n v="38"/>
    <s v="25-09"/>
    <x v="10"/>
    <s v="Dusseldorf WWTP 2101"/>
    <s v="Dusseldorf WWTP 601"/>
    <n v="0.625"/>
    <s v="Instituto Superior Tecnico"/>
    <s v="Tom"/>
    <s v="1ZRJ76798633196403"/>
    <s v="Jason"/>
    <s v="2928JK95FBC"/>
    <s v="0082_WWI_00006_N1Q_01"/>
    <s v="YES"/>
    <s v="y"/>
    <m/>
    <m/>
    <s v="2025_09_16"/>
    <s v="Dusseldorf"/>
    <s v="Germany"/>
    <n v="36"/>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45"/>
    <s v="3rd-party-sample-UPS"/>
    <n v="1"/>
    <d v="2025-10-07T00:00:00"/>
    <x v="39"/>
    <n v="41"/>
    <s v="25-10"/>
    <x v="10"/>
    <s v="Dusseldorf WWTP 2101"/>
    <s v="Dusseldorf WWTP 601"/>
    <n v="0.625"/>
    <s v="Instituto Superior Tecnico"/>
    <s v="Remco"/>
    <s v="1ZRJ76798621461282"/>
    <s v="Tom"/>
    <s v="29MNC4JMRDI"/>
    <m/>
    <s v="YES"/>
    <s v="y"/>
    <m/>
    <m/>
    <s v="2025_10_07"/>
    <s v="Dusseldorf"/>
    <s v="Germany"/>
    <n v="39"/>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46"/>
    <s v="3rd-party-sample-UPS"/>
    <n v="1"/>
    <d v="2025-10-21T00:00:00"/>
    <x v="40"/>
    <n v="43"/>
    <s v="25-10"/>
    <x v="10"/>
    <s v="Dusseldorf WWTP 2101"/>
    <s v="Dusseldorf WWTP 601"/>
    <n v="0.625"/>
    <s v="Instituto Superior Tecnico"/>
    <s v="Tom"/>
    <s v="1ZRJ76798600640887"/>
    <m/>
    <m/>
    <m/>
    <s v="YES"/>
    <m/>
    <m/>
    <m/>
    <s v="2025_10_21"/>
    <s v="Dusseldorf"/>
    <s v="Germany"/>
    <n v="41"/>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47"/>
    <s v="3rd-party-sample-UPS"/>
    <n v="1"/>
    <d v="2025-11-04T00:00:00"/>
    <x v="41"/>
    <n v="45"/>
    <s v="25-11"/>
    <x v="10"/>
    <s v="Dusseldorf WWTP 2101"/>
    <s v="Dusseldorf WWTP 601"/>
    <n v="0.625"/>
    <s v="Instituto Superior Tecnico"/>
    <s v="Jason"/>
    <s v="1ZRJ73868602876666"/>
    <m/>
    <m/>
    <m/>
    <s v="YES"/>
    <m/>
    <m/>
    <m/>
    <s v="2025_11_04"/>
    <s v="Dusseldorf"/>
    <s v="Germany"/>
    <n v="43"/>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NO"/>
    <s v="EUEU"/>
  </r>
  <r>
    <n v="248"/>
    <s v="3rd-party-sample-UPS"/>
    <n v="1"/>
    <d v="2025-11-18T00:00:00"/>
    <x v="42"/>
    <n v="47"/>
    <s v="25-11"/>
    <x v="10"/>
    <s v="Dusseldorf WWTP 2101"/>
    <s v="Dusseldorf WWTP 601"/>
    <n v="0.625"/>
    <m/>
    <m/>
    <m/>
    <m/>
    <m/>
    <m/>
    <s v="NO"/>
    <m/>
    <m/>
    <m/>
    <s v="2025_11_18"/>
    <s v="Dusseldorf"/>
    <s v="Germany"/>
    <n v="45"/>
    <s v="Auf dem Draap 15, Chemisch-Biologische Laboratorien, Dusseldorf, 40221, Germany"/>
    <n v="0"/>
    <s v=""/>
    <s v=""/>
    <s v="NO"/>
    <s v="EU"/>
  </r>
  <r>
    <n v="249"/>
    <s v="3rd-party-sample-UPS"/>
    <n v="1"/>
    <d v="2025-12-02T00:00:00"/>
    <x v="43"/>
    <n v="49"/>
    <s v="25-12"/>
    <x v="10"/>
    <s v="Dusseldorf WWTP 2101"/>
    <s v="Dusseldorf WWTP 601"/>
    <n v="0.625"/>
    <m/>
    <m/>
    <m/>
    <m/>
    <m/>
    <m/>
    <s v="NO"/>
    <m/>
    <m/>
    <m/>
    <s v="2025_12_02"/>
    <s v="Dusseldorf"/>
    <s v="Germany"/>
    <n v="47"/>
    <s v="Auf dem Draap 15, Chemisch-Biologische Laboratorien, Dusseldorf, 40221, Germany"/>
    <n v="0"/>
    <s v=""/>
    <s v=""/>
    <s v="NO"/>
    <s v="EU"/>
  </r>
  <r>
    <n v="250"/>
    <s v="3rd-party-sample-UPS"/>
    <n v="1"/>
    <d v="2025-12-16T00:00:00"/>
    <x v="44"/>
    <n v="51"/>
    <s v="25-12"/>
    <x v="10"/>
    <s v="Dusseldorf WWTP 2101"/>
    <s v="Dusseldorf WWTP 601"/>
    <n v="0.625"/>
    <m/>
    <m/>
    <m/>
    <m/>
    <m/>
    <m/>
    <s v="NO"/>
    <m/>
    <m/>
    <m/>
    <s v="2025_12_16"/>
    <s v="Dusseldorf"/>
    <s v="Germany"/>
    <n v="49"/>
    <s v="Auf dem Draap 15, Chemisch-Biologische Laboratorien, Dusseldorf, 40221, Germany"/>
    <n v="0"/>
    <s v=""/>
    <s v=""/>
    <s v="NO"/>
    <s v="EU"/>
  </r>
  <r>
    <n v="251"/>
    <s v="3rd-party-sample-UPS"/>
    <n v="1"/>
    <d v="2025-07-01T00:00:00"/>
    <x v="1"/>
    <n v="27"/>
    <s v="25-07"/>
    <x v="10"/>
    <s v="Dusseldorf WWTP 2101"/>
    <s v="Dusseldorf WWTP 601"/>
    <n v="0.625"/>
    <s v="European Commission - JRC"/>
    <s v="Remco"/>
    <s v="1ZRJ73868617792808"/>
    <s v="Remco"/>
    <s v="29ZJPEEFJDK"/>
    <s v="0082_WWI_00001_K7S_01"/>
    <s v="YES"/>
    <m/>
    <m/>
    <m/>
    <s v="2025_07_01"/>
    <s v="Dusseldorf"/>
    <s v="Germany"/>
    <n v="25"/>
    <s v="Auf dem Draap 15, Chemisch-Biologische Laboratorien, Dusseldorf, 40221, Germany"/>
    <s v="Via E. Fermi 2749, T.P. 120, Directorate D Sustainable Resources, Ispra, 21027, Italy"/>
    <n v="89"/>
    <s v="Pick-up service of hypothetic package as defined in the Tech. Specs. and delivery to lots_x000a_2 and 3 contractors according to Scenario 1"/>
    <s v="YES"/>
    <s v="EUEU"/>
  </r>
  <r>
    <n v="252"/>
    <s v="3rd-party-sample-UPS"/>
    <n v="1"/>
    <d v="2025-07-15T00:00:00"/>
    <x v="35"/>
    <n v="29"/>
    <s v="25-07"/>
    <x v="10"/>
    <s v="Dusseldorf WWTP 2101"/>
    <s v="Dusseldorf WWTP 601"/>
    <n v="0.625"/>
    <s v="European Commission - JRC"/>
    <s v="Tom"/>
    <s v="1ZRJ73868634930751"/>
    <s v="Remco"/>
    <s v="29V6G5RRFO0"/>
    <s v="0082_WWI_00002_K7S_01"/>
    <s v="YES"/>
    <s v="y"/>
    <m/>
    <m/>
    <s v="2025_07_15"/>
    <s v="Dusseldorf"/>
    <s v="Germany"/>
    <n v="27"/>
    <s v="Auf dem Draap 15, Chemisch-Biologische Laboratorien, Dusseldorf, 40221, Germany"/>
    <s v="Via E. Fermi 2749, T.P. 120, Directorate D Sustainable Resources, Ispra, 21027, Italy"/>
    <n v="89"/>
    <s v="Pick-up service of hypothetic package as defined in the Tech. Specs. and delivery to lots_x000a_2 and 3 contractors according to Scenario 1"/>
    <s v="YES"/>
    <s v="EUEU"/>
  </r>
  <r>
    <n v="253"/>
    <s v="3rd-party-sample-UPS"/>
    <n v="1"/>
    <d v="2025-08-05T00:00:00"/>
    <x v="36"/>
    <n v="32"/>
    <s v="25-08"/>
    <x v="10"/>
    <s v="Dusseldorf WWTP 2101"/>
    <s v="Dusseldorf WWTP 601"/>
    <n v="0.625"/>
    <s v="Instituto Superior Tecnico"/>
    <s v="Remco"/>
    <s v="1ZRJ73868616209235"/>
    <s v="Remco/Jason"/>
    <s v="29OL03M5I1I"/>
    <m/>
    <s v="YES"/>
    <s v="y"/>
    <m/>
    <m/>
    <s v="2025_08_05"/>
    <s v="Dusseldorf"/>
    <s v="Germany"/>
    <n v="30"/>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54"/>
    <s v="3rd-party-sample-UPS"/>
    <n v="1"/>
    <d v="2025-08-19T00:00:00"/>
    <x v="37"/>
    <n v="34"/>
    <s v="25-08"/>
    <x v="10"/>
    <s v="Dusseldorf WWTP 2101"/>
    <s v="Dusseldorf WWTP 601"/>
    <n v="0.625"/>
    <s v="Instituto Superior Tecnico"/>
    <s v="Tom"/>
    <s v="1ZRJ76798627775423"/>
    <s v="Tom"/>
    <s v="2947RLS4IH3"/>
    <s v="0082_WWI_00004_K7S_01"/>
    <s v="YES"/>
    <s v="y"/>
    <m/>
    <m/>
    <s v="2025_08_19"/>
    <s v="Dusseldorf"/>
    <s v="Germany"/>
    <n v="32"/>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55"/>
    <s v="3rd-party-sample-UPS"/>
    <n v="1"/>
    <d v="2025-09-02T00:00:00"/>
    <x v="3"/>
    <n v="36"/>
    <s v="25-09"/>
    <x v="10"/>
    <s v="Dusseldorf WWTP 2101"/>
    <s v="Dusseldorf WWTP 601"/>
    <n v="0.625"/>
    <s v="Instituto Superior Tecnico"/>
    <s v="Tom"/>
    <s v="1ZRJ76798615046171"/>
    <s v="Tom"/>
    <s v="29J89A3JRFP"/>
    <s v="0082_WWI_00005_K7S_01"/>
    <s v="YES"/>
    <s v="y"/>
    <m/>
    <m/>
    <s v="2025_09_02"/>
    <s v="Dusseldorf"/>
    <s v="Germany"/>
    <n v="34"/>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56"/>
    <s v="3rd-party-sample-UPS"/>
    <n v="1"/>
    <d v="2025-09-16T00:00:00"/>
    <x v="38"/>
    <n v="38"/>
    <s v="25-09"/>
    <x v="10"/>
    <s v="Dusseldorf WWTP 2101"/>
    <s v="Dusseldorf WWTP 601"/>
    <n v="0.625"/>
    <s v="Instituto Superior Tecnico"/>
    <s v="Tom"/>
    <s v="1ZRJ76798622815219"/>
    <s v="Jason"/>
    <s v="2928JK95FBC"/>
    <s v="0082_WWI_00006_K7S_01"/>
    <s v="YES"/>
    <s v="y"/>
    <m/>
    <m/>
    <s v="2025_09_16"/>
    <s v="Dusseldorf"/>
    <s v="Germany"/>
    <n v="36"/>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57"/>
    <s v="3rd-party-sample-UPS"/>
    <n v="1"/>
    <d v="2025-10-07T00:00:00"/>
    <x v="39"/>
    <n v="41"/>
    <s v="25-10"/>
    <x v="10"/>
    <s v="Dusseldorf WWTP 2101"/>
    <s v="Dusseldorf WWTP 601"/>
    <n v="0.625"/>
    <s v="Instituto Superior Tecnico"/>
    <s v="Remco"/>
    <s v="1ZRJ76798622566499"/>
    <s v="Tom"/>
    <s v="29MNC4JMRDI"/>
    <m/>
    <s v="YES"/>
    <s v="y"/>
    <m/>
    <m/>
    <s v="2025_10_07"/>
    <s v="Dusseldorf"/>
    <s v="Germany"/>
    <n v="39"/>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58"/>
    <s v="3rd-party-sample-UPS"/>
    <n v="1"/>
    <d v="2025-10-21T00:00:00"/>
    <x v="40"/>
    <n v="43"/>
    <s v="25-10"/>
    <x v="10"/>
    <s v="Dusseldorf WWTP 2101"/>
    <s v="Dusseldorf WWTP 601"/>
    <n v="0.625"/>
    <s v="Instituto Superior Tecnico"/>
    <s v="Tom"/>
    <s v="1ZRJ76798616998892"/>
    <m/>
    <m/>
    <m/>
    <s v="YES"/>
    <m/>
    <m/>
    <m/>
    <s v="2025_10_21"/>
    <s v="Dusseldorf"/>
    <s v="Germany"/>
    <n v="41"/>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YES"/>
    <s v="EUEU"/>
  </r>
  <r>
    <n v="259"/>
    <s v="3rd-party-sample-UPS"/>
    <n v="1"/>
    <d v="2025-11-04T00:00:00"/>
    <x v="41"/>
    <n v="45"/>
    <s v="25-11"/>
    <x v="10"/>
    <s v="Dusseldorf WWTP 2101"/>
    <s v="Dusseldorf WWTP 601"/>
    <n v="0.625"/>
    <s v="Instituto Superior Tecnico"/>
    <s v="Jason"/>
    <s v="1ZRJ73868603948676"/>
    <m/>
    <m/>
    <m/>
    <s v="YES"/>
    <m/>
    <m/>
    <m/>
    <s v="2025_11_04"/>
    <s v="Dusseldorf"/>
    <s v="Germany"/>
    <n v="43"/>
    <s v="Auf dem Draap 15, Chemisch-Biologische Laboratorien, Dusseldorf, 40221, Germany"/>
    <s v="Av. Rovisco Pais 1, Laboratorio de Analises de Agua, Lisbon, 1049-001, Portugal"/>
    <n v="89"/>
    <s v="Pick-up service of hypothetic package as defined in the Tech. Specs. and delivery to lots_x000a_2 and 3 contractors according to Scenario 1"/>
    <s v="NO"/>
    <s v="EUEU"/>
  </r>
  <r>
    <n v="260"/>
    <s v="3rd-party-sample-UPS"/>
    <n v="1"/>
    <d v="2025-11-18T00:00:00"/>
    <x v="42"/>
    <n v="47"/>
    <s v="25-11"/>
    <x v="10"/>
    <s v="Dusseldorf WWTP 2101"/>
    <s v="Dusseldorf WWTP 601"/>
    <n v="0.625"/>
    <m/>
    <m/>
    <m/>
    <m/>
    <m/>
    <m/>
    <s v="NO"/>
    <m/>
    <m/>
    <m/>
    <s v="2025_11_18"/>
    <s v="Dusseldorf"/>
    <s v="Germany"/>
    <n v="45"/>
    <s v="Auf dem Draap 15, Chemisch-Biologische Laboratorien, Dusseldorf, 40221, Germany"/>
    <n v="0"/>
    <s v=""/>
    <s v=""/>
    <s v="NO"/>
    <s v="EU"/>
  </r>
  <r>
    <n v="261"/>
    <s v="3rd-party-sample-UPS"/>
    <n v="1"/>
    <d v="2025-12-02T00:00:00"/>
    <x v="43"/>
    <n v="49"/>
    <s v="25-12"/>
    <x v="10"/>
    <s v="Dusseldorf WWTP 2101"/>
    <s v="Dusseldorf WWTP 601"/>
    <n v="0.625"/>
    <m/>
    <m/>
    <m/>
    <m/>
    <s v=" "/>
    <m/>
    <s v="NO"/>
    <m/>
    <m/>
    <m/>
    <s v="2025_12_02"/>
    <s v="Dusseldorf"/>
    <s v="Germany"/>
    <n v="47"/>
    <s v="Auf dem Draap 15, Chemisch-Biologische Laboratorien, Dusseldorf, 40221, Germany"/>
    <n v="0"/>
    <s v=""/>
    <s v=""/>
    <s v="NO"/>
    <s v="EU"/>
  </r>
  <r>
    <n v="262"/>
    <s v="3rd-party-sample-UPS"/>
    <n v="1"/>
    <d v="2025-12-16T00:00:00"/>
    <x v="44"/>
    <n v="51"/>
    <s v="25-12"/>
    <x v="10"/>
    <s v="Dusseldorf WWTP 2101"/>
    <s v="Dusseldorf WWTP 601"/>
    <n v="0.625"/>
    <m/>
    <m/>
    <m/>
    <m/>
    <m/>
    <m/>
    <s v="NO"/>
    <m/>
    <m/>
    <m/>
    <s v="2025_12_16"/>
    <s v="Dusseldorf"/>
    <s v="Germany"/>
    <n v="49"/>
    <s v="Auf dem Draap 15, Chemisch-Biologische Laboratorien, Dusseldorf, 40221, Germany"/>
    <n v="0"/>
    <s v=""/>
    <s v=""/>
    <s v="NO"/>
    <s v="EU"/>
  </r>
  <r>
    <n v="263"/>
    <s v="3rd-party-sample-UPS"/>
    <n v="1"/>
    <d v="2025-07-15T00:00:00"/>
    <x v="23"/>
    <n v="29"/>
    <s v="25-07"/>
    <x v="5"/>
    <s v="Luxembourg (Beggen) WWTP"/>
    <s v="Luxembourg Airport"/>
    <n v="0.66666666666666663"/>
    <s v="European Commission - JRC"/>
    <s v="Remco"/>
    <s v="1ZRJ73868630674830"/>
    <s v="Remco"/>
    <s v="29Z6GB2JQOA"/>
    <s v="0082_WWI_00004_J3T_01"/>
    <s v="YES"/>
    <s v="y"/>
    <m/>
    <m/>
    <s v="2025_07_15"/>
    <s v="Luxembourg"/>
    <s v="Luxembourg"/>
    <n v="27"/>
    <s v="41 rue du Brill, Luxembourg, L-4422 , Luxembourg"/>
    <s v="Via E. Fermi 2749, T.P. 120, Directorate D Sustainable Resources, Ispra, 21027, Italy"/>
    <n v="89"/>
    <s v="Pick-up service of hypothetic package as defined in the Tech. Specs. and delivery to lots_x000a_2 and 3 contractors according to Scenario 1"/>
    <s v="YES"/>
    <s v="EUEU"/>
  </r>
  <r>
    <n v="264"/>
    <s v="3rd-party-sample-UPS"/>
    <n v="1"/>
    <d v="2025-08-13T00:00:00"/>
    <x v="47"/>
    <n v="33"/>
    <s v="25-08"/>
    <x v="5"/>
    <s v="Luxembourg (Beggen) WWTP"/>
    <s v="Luxembourg Airport"/>
    <n v="0.66666666666666663"/>
    <s v="Instituto Superior Tecnico"/>
    <s v="Remco"/>
    <s v="1ZRJ73868619806094"/>
    <s v="Jason"/>
    <s v="29N7K8G9B55"/>
    <s v="0082_WWI_00005_F9H_01"/>
    <s v="YES"/>
    <s v="y"/>
    <m/>
    <m/>
    <s v="2025_08_13"/>
    <s v="Luxembourg"/>
    <s v="Luxembourg"/>
    <n v="31"/>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265"/>
    <s v="3rd-party-sample-UPS"/>
    <n v="1"/>
    <d v="2025-08-28T00:00:00"/>
    <x v="48"/>
    <n v="35"/>
    <s v="25-08"/>
    <x v="5"/>
    <s v="Luxembourg (Beggen) WWTP"/>
    <s v="Luxembourg Airport"/>
    <n v="0.66666666666666663"/>
    <s v="Instituto Superior Tecnico"/>
    <s v="Tom"/>
    <s v="1ZRJ76798634035147"/>
    <s v="Tom"/>
    <s v="29RM299J2SJ"/>
    <s v="0082_WWI_00006_F9H_01"/>
    <s v="YES"/>
    <s v="N"/>
    <m/>
    <m/>
    <s v="2025_08_28"/>
    <s v="Luxembourg"/>
    <s v="Luxembourg"/>
    <n v="34"/>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267"/>
    <s v="3rd-party-sample-UPS"/>
    <n v="1"/>
    <d v="2025-09-04T00:00:00"/>
    <x v="49"/>
    <n v="36"/>
    <s v="25-09"/>
    <x v="5"/>
    <s v="Luxembourg (Beggen) WWTP"/>
    <s v="Luxembourg Airport"/>
    <n v="0.66666666666666663"/>
    <s v="Instituto Superior Tecnico"/>
    <s v="Tom"/>
    <s v="1ZRJ76798619110334"/>
    <s v="Tom"/>
    <s v="298M3820JKG (failed); 29JMAMIAHRB"/>
    <s v="0082_WWI_00007_J3T_01"/>
    <s v="YES"/>
    <s v="y"/>
    <m/>
    <m/>
    <s v="2025_09_04"/>
    <s v="Luxembourg"/>
    <s v="Luxembourg"/>
    <n v="35"/>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268"/>
    <s v="3rd-party-sample-UPS"/>
    <n v="1"/>
    <d v="2025-09-22T00:00:00"/>
    <x v="50"/>
    <n v="39"/>
    <s v="25-09"/>
    <x v="5"/>
    <s v="Luxembourg (Beggen) WWTP"/>
    <s v="Luxembourg Airport"/>
    <n v="0.66666666666666663"/>
    <s v="Instituto Superior Tecnico"/>
    <s v="Remco"/>
    <s v="1ZRJ76798618096424"/>
    <s v="Jason"/>
    <s v="29Q91AM1HQ5"/>
    <m/>
    <s v="YES"/>
    <s v="y"/>
    <m/>
    <m/>
    <s v="2025_09_22"/>
    <s v="Luxembourg"/>
    <s v="Luxembourg"/>
    <n v="37"/>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269"/>
    <s v="3rd-party-sample-UPS"/>
    <n v="1"/>
    <d v="2025-07-22T00:00:00"/>
    <x v="51"/>
    <n v="30"/>
    <s v="25-07"/>
    <x v="11"/>
    <s v="Vilnius WWTP"/>
    <s v="Vilnius Bus Terminal"/>
    <n v="0.58333333333333337"/>
    <s v="European Commission - JRC"/>
    <s v="Remco"/>
    <s v="1ZRJ73868621836477"/>
    <s v="Jason"/>
    <s v="29JMDMSRJ85"/>
    <s v="0082_WWI_00001_J6Q_01"/>
    <s v="YES"/>
    <s v="y"/>
    <m/>
    <m/>
    <s v="2025_07_22"/>
    <s v="Vilnius"/>
    <s v="Lithuania"/>
    <n v="28"/>
    <s v="Zolyno 36 gatve, Vilnius, 10210, Lithuania"/>
    <s v="Via E. Fermi 2749, T.P. 120, Directorate D Sustainable Resources, Ispra, 21027, Italy"/>
    <n v="89"/>
    <s v="Pick-up service of hypothetic package as defined in the Tech. Specs. and delivery to lots_x000a_2 and 3 contractors according to Scenario 1"/>
    <s v="YES"/>
    <s v="EUEU"/>
  </r>
  <r>
    <n v="270"/>
    <s v="3rd-party-sample-UPS"/>
    <n v="1"/>
    <d v="2025-08-05T00:00:00"/>
    <x v="24"/>
    <n v="32"/>
    <s v="25-08"/>
    <x v="11"/>
    <s v="Vilnius WWTP"/>
    <s v="Vilnius Bus Terminal"/>
    <n v="0.58333333333333337"/>
    <s v="Instituto Superior Tecnico"/>
    <s v="Remco"/>
    <s v="1ZRJ73868610126040"/>
    <s v="Jason"/>
    <s v="29JMDMSRJ85"/>
    <s v="0082_WWI_00002_J6Q"/>
    <s v="YES"/>
    <s v="y"/>
    <m/>
    <m/>
    <s v="2025_08_05"/>
    <s v="Vilnius"/>
    <s v="Lithuania"/>
    <n v="30"/>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71"/>
    <s v="3rd-party-sample-UPS"/>
    <n v="1"/>
    <d v="2025-08-19T00:00:00"/>
    <x v="25"/>
    <n v="34"/>
    <s v="25-08"/>
    <x v="11"/>
    <s v="Vilnius WWTP"/>
    <s v="Vilnius Bus Terminal"/>
    <n v="0.58333333333333337"/>
    <s v="Instituto Superior Tecnico"/>
    <s v="Tom"/>
    <s v="1ZRJ76798600998091"/>
    <s v="Jason"/>
    <s v="29JMDMSRJ85"/>
    <s v="0082_WWI_00003_Z1V_01"/>
    <s v="YES"/>
    <s v="y"/>
    <m/>
    <s v="Collection day later! "/>
    <s v="2025_08_19"/>
    <s v="Vilnius"/>
    <s v="Lithuania"/>
    <n v="32"/>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72"/>
    <s v="3rd-party-sample-UPS"/>
    <n v="1"/>
    <d v="2025-09-02T00:00:00"/>
    <x v="26"/>
    <n v="36"/>
    <s v="25-09"/>
    <x v="11"/>
    <s v="Vilnius WWTP"/>
    <s v="Vilnius Bus Terminal"/>
    <n v="0.58333333333333337"/>
    <s v="Instituto Superior Tecnico"/>
    <s v="Tom"/>
    <s v="1ZRJ76798601350251"/>
    <s v="Tom"/>
    <s v="29K8988NFG6"/>
    <s v="00082_WWI_00004_J6Q_01"/>
    <s v="YES"/>
    <s v="y"/>
    <m/>
    <m/>
    <s v="2025_09_02"/>
    <s v="Vilnius"/>
    <s v="Lithuania"/>
    <n v="34"/>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73"/>
    <s v="3rd-party-sample-UPS"/>
    <n v="1"/>
    <d v="2025-09-16T00:00:00"/>
    <x v="27"/>
    <n v="38"/>
    <s v="25-09"/>
    <x v="11"/>
    <s v="Vilnius WWTP"/>
    <s v="Vilnius Bus Terminal"/>
    <n v="0.58333333333333337"/>
    <s v="Instituto Superior Tecnico"/>
    <s v="Tom"/>
    <s v="1ZRJ76798622390777"/>
    <s v="Jason"/>
    <s v="299MGAS8HIK"/>
    <s v="0082_WWI_00005_J6Q_01"/>
    <s v="YES"/>
    <s v="y"/>
    <m/>
    <m/>
    <s v="2025_09_16"/>
    <s v="Vilnius"/>
    <s v="Lithuania"/>
    <n v="36"/>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74"/>
    <s v="3rd-party-sample-UPS"/>
    <n v="1"/>
    <d v="2025-10-07T00:00:00"/>
    <x v="28"/>
    <n v="41"/>
    <s v="25-10"/>
    <x v="11"/>
    <s v="Vilnius WWTP"/>
    <s v="Vilnius Bus Terminal"/>
    <n v="0.58333333333333337"/>
    <s v="Instituto Superior Tecnico"/>
    <s v="Remco"/>
    <s v="1ZRJ76798626900922"/>
    <s v="Tom"/>
    <s v="29K9JCBLEE1"/>
    <s v="0082_WWI_00006_J6Q_01"/>
    <s v="YES"/>
    <s v="y"/>
    <m/>
    <m/>
    <s v="2025_10_07"/>
    <s v="Vilnius"/>
    <s v="Lithuania"/>
    <n v="39"/>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75"/>
    <s v="3rd-party-sample-UPS"/>
    <n v="1"/>
    <d v="2025-10-21T00:00:00"/>
    <x v="29"/>
    <n v="43"/>
    <s v="25-10"/>
    <x v="11"/>
    <s v="Vilnius WWTP"/>
    <s v="Vilnius Bus Terminal"/>
    <n v="0.58333333333333337"/>
    <s v="Instituto Superior Tecnico"/>
    <s v="Tom"/>
    <s v="1ZRJ76798611696922"/>
    <m/>
    <m/>
    <m/>
    <s v="YES"/>
    <m/>
    <m/>
    <m/>
    <s v="2025_10_21"/>
    <s v="Vilnius"/>
    <s v="Lithuania"/>
    <n v="41"/>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76"/>
    <s v="3rd-party-sample-UPS"/>
    <n v="1"/>
    <d v="2025-11-04T00:00:00"/>
    <x v="30"/>
    <n v="45"/>
    <s v="25-11"/>
    <x v="11"/>
    <s v="Vilnius WWTP"/>
    <s v="Vilnius Bus Terminal"/>
    <n v="0.58333333333333337"/>
    <s v="Instituto Superior Tecnico"/>
    <s v="Remco"/>
    <s v="1ZRJ73868623490391"/>
    <m/>
    <m/>
    <m/>
    <s v="YES"/>
    <m/>
    <m/>
    <m/>
    <s v="2025_11_04"/>
    <s v="Vilnius"/>
    <s v="Lithuania"/>
    <n v="43"/>
    <s v="Zolyno 36 gatve, Vilnius, 10210, Lithuania"/>
    <s v="Av. Rovisco Pais 1, Laboratorio de Analises de Agua, Lisbon, 1049-001, Portugal"/>
    <n v="89"/>
    <s v="Pick-up service of hypothetic package as defined in the Tech. Specs. and delivery to lots_x000a_2 and 3 contractors according to Scenario 1"/>
    <s v="NO"/>
    <s v="EUEU"/>
  </r>
  <r>
    <n v="277"/>
    <s v="3rd-party-sample-UPS"/>
    <n v="1"/>
    <d v="2025-11-18T00:00:00"/>
    <x v="31"/>
    <n v="47"/>
    <s v="25-11"/>
    <x v="11"/>
    <s v="Vilnius WWTP"/>
    <s v="Vilnius Bus Terminal"/>
    <n v="0.58333333333333337"/>
    <m/>
    <m/>
    <m/>
    <m/>
    <m/>
    <m/>
    <s v="NO"/>
    <m/>
    <m/>
    <m/>
    <s v="2025_11_18"/>
    <s v="Vilnius"/>
    <s v="Lithuania"/>
    <n v="45"/>
    <s v="Zolyno 36 gatve, Vilnius, 10210, Lithuania"/>
    <n v="0"/>
    <s v=""/>
    <s v=""/>
    <s v="NO"/>
    <s v="EU"/>
  </r>
  <r>
    <n v="278"/>
    <s v="3rd-party-sample-UPS"/>
    <n v="1"/>
    <d v="2025-12-02T00:00:00"/>
    <x v="32"/>
    <n v="49"/>
    <s v="25-12"/>
    <x v="11"/>
    <s v="Vilnius WWTP"/>
    <s v="Vilnius Bus Terminal"/>
    <n v="0.58333333333333337"/>
    <m/>
    <m/>
    <m/>
    <m/>
    <m/>
    <m/>
    <s v="NO"/>
    <m/>
    <m/>
    <m/>
    <s v="2025_12_02"/>
    <s v="Vilnius"/>
    <s v="Lithuania"/>
    <n v="47"/>
    <s v="Zolyno 36 gatve, Vilnius, 10210, Lithuania"/>
    <n v="0"/>
    <s v=""/>
    <s v=""/>
    <s v="NO"/>
    <s v="EU"/>
  </r>
  <r>
    <n v="279"/>
    <s v="3rd-party-sample-UPS"/>
    <n v="1"/>
    <d v="2025-12-16T00:00:00"/>
    <x v="33"/>
    <n v="51"/>
    <s v="25-12"/>
    <x v="11"/>
    <s v="Vilnius WWTP"/>
    <s v="Vilnius Bus Terminal"/>
    <n v="0.58333333333333337"/>
    <m/>
    <m/>
    <m/>
    <m/>
    <m/>
    <m/>
    <s v="NO"/>
    <m/>
    <m/>
    <m/>
    <s v="2025_12_16"/>
    <s v="Vilnius"/>
    <s v="Lithuania"/>
    <n v="49"/>
    <s v="Zolyno 36 gatve, Vilnius, 10210, Lithuania"/>
    <n v="0"/>
    <s v=""/>
    <s v=""/>
    <s v="NO"/>
    <s v="EU"/>
  </r>
  <r>
    <n v="280"/>
    <s v="3rd-party-sample-UPS"/>
    <n v="1"/>
    <d v="2025-07-22T00:00:00"/>
    <x v="51"/>
    <n v="30"/>
    <s v="25-07"/>
    <x v="11"/>
    <s v="Vilnius WWTP"/>
    <s v="Vilnius Bus Terminal"/>
    <n v="0.58333333333333337"/>
    <s v="European Commission - JRC"/>
    <s v="Remco"/>
    <s v="1ZRJ73868622592881"/>
    <s v="Remco"/>
    <s v="29FKJIQ9A8D"/>
    <s v="0082_WWI_00001_Q4L_01"/>
    <s v="YES"/>
    <s v="y"/>
    <m/>
    <m/>
    <s v="2025_07_22"/>
    <s v="Vilnius"/>
    <s v="Lithuania"/>
    <n v="28"/>
    <s v="Zolyno 36 gatve, Vilnius, 10210, Lithuania"/>
    <s v="Via E. Fermi 2749, T.P. 120, Directorate D Sustainable Resources, Ispra, 21027, Italy"/>
    <n v="89"/>
    <s v="Pick-up service of hypothetic package as defined in the Tech. Specs. and delivery to lots_x000a_2 and 3 contractors according to Scenario 1"/>
    <s v="YES"/>
    <s v="EUEU"/>
  </r>
  <r>
    <n v="281"/>
    <s v="3rd-party-sample-UPS"/>
    <n v="1"/>
    <d v="2025-08-05T00:00:00"/>
    <x v="24"/>
    <n v="32"/>
    <s v="25-08"/>
    <x v="11"/>
    <s v="Vilnius WWTP"/>
    <s v="Vilnius Bus Terminal"/>
    <n v="0.58333333333333337"/>
    <s v="Instituto Superior Tecnico"/>
    <s v="Remco"/>
    <s v="1ZRJ73868610801257"/>
    <s v="Remco/Jason"/>
    <s v="29K76DJ1SFR"/>
    <s v="0082_WWI_00002_Q4L"/>
    <s v="YES"/>
    <s v="y"/>
    <m/>
    <m/>
    <s v="2025_08_05"/>
    <s v="Vilnius"/>
    <s v="Lithuania"/>
    <n v="30"/>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82"/>
    <s v="3rd-party-sample-UPS"/>
    <n v="1"/>
    <d v="2025-08-19T00:00:00"/>
    <x v="25"/>
    <n v="34"/>
    <s v="25-08"/>
    <x v="11"/>
    <s v="Vilnius WWTP"/>
    <s v="Vilnius Bus Terminal"/>
    <n v="0.58333333333333337"/>
    <s v="Instituto Superior Tecnico"/>
    <s v="Tom"/>
    <s v="1ZRJ76798600240103"/>
    <s v="Tom"/>
    <s v="29HLL517NCO"/>
    <s v="0082_WWI_00003_Q4L_01"/>
    <s v="YES"/>
    <s v="y"/>
    <m/>
    <m/>
    <s v="2025_08_19"/>
    <s v="Vilnius"/>
    <s v="Lithuania"/>
    <n v="32"/>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83"/>
    <s v="3rd-party-sample-UPS"/>
    <n v="1"/>
    <d v="2025-09-02T00:00:00"/>
    <x v="26"/>
    <n v="36"/>
    <s v="25-09"/>
    <x v="11"/>
    <s v="Vilnius WWTP"/>
    <s v="Vilnius Bus Terminal"/>
    <n v="0.58333333333333337"/>
    <s v="Instituto Superior Tecnico"/>
    <s v="Tom"/>
    <s v="1ZRJ76798602048247"/>
    <s v="Tom"/>
    <s v="29K8988NFG6"/>
    <s v="0082_WWI_00004_Q4L_01"/>
    <s v="YES"/>
    <s v="y"/>
    <m/>
    <m/>
    <s v="2025_09_02"/>
    <s v="Vilnius"/>
    <s v="Lithuania"/>
    <n v="34"/>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84"/>
    <s v="3rd-party-sample-UPS"/>
    <n v="1"/>
    <d v="2025-09-16T00:00:00"/>
    <x v="27"/>
    <n v="38"/>
    <s v="25-09"/>
    <x v="11"/>
    <s v="Vilnius WWTP"/>
    <s v="Vilnius Bus Terminal"/>
    <n v="0.58333333333333337"/>
    <s v="Instituto Superior Tecnico"/>
    <s v="Tom"/>
    <s v="1ZRJ76798637988185"/>
    <s v="Jason"/>
    <s v="299MGAS8HIK"/>
    <s v="0082_WWI_00005_Q4L_01"/>
    <s v="YES"/>
    <s v="y"/>
    <m/>
    <m/>
    <s v="2025_09_16"/>
    <s v="Vilnius"/>
    <s v="Lithuania"/>
    <n v="36"/>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85"/>
    <s v="3rd-party-sample-UPS"/>
    <n v="1"/>
    <d v="2025-10-07T00:00:00"/>
    <x v="28"/>
    <n v="41"/>
    <s v="25-10"/>
    <x v="11"/>
    <s v="Vilnius WWTP"/>
    <s v="Vilnius Bus Terminal"/>
    <n v="0.58333333333333337"/>
    <s v="Instituto Superior Tecnico"/>
    <s v="Remco"/>
    <s v="1ZRJ76798630565331"/>
    <s v="Tom"/>
    <s v="29K9JCBLEE1"/>
    <m/>
    <s v="YES"/>
    <s v="y"/>
    <m/>
    <m/>
    <s v="2025_10_07"/>
    <s v="Vilnius"/>
    <s v="Lithuania"/>
    <n v="39"/>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86"/>
    <s v="3rd-party-sample-UPS"/>
    <n v="1"/>
    <d v="2025-10-21T00:00:00"/>
    <x v="29"/>
    <n v="43"/>
    <s v="25-10"/>
    <x v="11"/>
    <s v="Vilnius WWTP"/>
    <s v="Vilnius Bus Terminal"/>
    <n v="0.58333333333333337"/>
    <s v="Instituto Superior Tecnico"/>
    <s v="Tom"/>
    <s v="1ZRJ76798610470935"/>
    <m/>
    <m/>
    <m/>
    <s v="YES"/>
    <m/>
    <m/>
    <m/>
    <s v="2025_10_21"/>
    <s v="Vilnius"/>
    <s v="Lithuania"/>
    <n v="41"/>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87"/>
    <s v="3rd-party-sample-UPS"/>
    <n v="1"/>
    <d v="2025-11-04T00:00:00"/>
    <x v="30"/>
    <n v="45"/>
    <s v="25-11"/>
    <x v="11"/>
    <s v="Vilnius WWTP"/>
    <s v="Vilnius Bus Terminal"/>
    <n v="0.58333333333333337"/>
    <s v="Instituto Superior Tecnico"/>
    <s v="Remco"/>
    <s v="1ZRJ73868621187606"/>
    <m/>
    <m/>
    <m/>
    <s v="YES"/>
    <m/>
    <m/>
    <m/>
    <s v="2025_11_04"/>
    <s v="Vilnius"/>
    <s v="Lithuania"/>
    <n v="43"/>
    <s v="Zolyno 36 gatve, Vilnius, 10210, Lithuania"/>
    <s v="Av. Rovisco Pais 1, Laboratorio de Analises de Agua, Lisbon, 1049-001, Portugal"/>
    <n v="89"/>
    <s v="Pick-up service of hypothetic package as defined in the Tech. Specs. and delivery to lots_x000a_2 and 3 contractors according to Scenario 1"/>
    <s v="NO"/>
    <s v="EUEU"/>
  </r>
  <r>
    <n v="288"/>
    <s v="3rd-party-sample-UPS"/>
    <n v="1"/>
    <d v="2025-11-18T00:00:00"/>
    <x v="31"/>
    <n v="47"/>
    <s v="25-11"/>
    <x v="11"/>
    <s v="Vilnius WWTP"/>
    <s v="Vilnius Bus Terminal"/>
    <n v="0.58333333333333337"/>
    <m/>
    <m/>
    <m/>
    <m/>
    <m/>
    <m/>
    <s v="NO"/>
    <m/>
    <m/>
    <m/>
    <s v="2025_11_18"/>
    <s v="Vilnius"/>
    <s v="Lithuania"/>
    <n v="45"/>
    <s v="Zolyno 36 gatve, Vilnius, 10210, Lithuania"/>
    <n v="0"/>
    <s v=""/>
    <s v=""/>
    <s v="NO"/>
    <s v="EU"/>
  </r>
  <r>
    <n v="289"/>
    <s v="3rd-party-sample-UPS"/>
    <n v="1"/>
    <d v="2025-12-02T00:00:00"/>
    <x v="32"/>
    <n v="49"/>
    <s v="25-12"/>
    <x v="11"/>
    <s v="Vilnius WWTP"/>
    <s v="Vilnius Bus Terminal"/>
    <n v="0.58333333333333337"/>
    <m/>
    <m/>
    <m/>
    <m/>
    <m/>
    <m/>
    <s v="NO"/>
    <m/>
    <m/>
    <m/>
    <s v="2025_12_02"/>
    <s v="Vilnius"/>
    <s v="Lithuania"/>
    <n v="47"/>
    <s v="Zolyno 36 gatve, Vilnius, 10210, Lithuania"/>
    <n v="0"/>
    <s v=""/>
    <s v=""/>
    <s v="NO"/>
    <s v="EU"/>
  </r>
  <r>
    <n v="290"/>
    <s v="3rd-party-sample-UPS"/>
    <n v="1"/>
    <d v="2025-12-16T00:00:00"/>
    <x v="33"/>
    <n v="51"/>
    <s v="25-12"/>
    <x v="11"/>
    <s v="Vilnius WWTP"/>
    <s v="Vilnius Bus Terminal"/>
    <n v="0.58333333333333337"/>
    <m/>
    <m/>
    <m/>
    <m/>
    <m/>
    <m/>
    <s v="NO"/>
    <m/>
    <m/>
    <m/>
    <s v="2025_12_16"/>
    <s v="Vilnius"/>
    <s v="Lithuania"/>
    <n v="49"/>
    <s v="Zolyno 36 gatve, Vilnius, 10210, Lithuania"/>
    <n v="0"/>
    <s v=""/>
    <s v=""/>
    <s v="NO"/>
    <s v="EU"/>
  </r>
  <r>
    <n v="291"/>
    <s v="3rd-party-sample-UPS"/>
    <n v="1"/>
    <d v="2025-07-23T00:00:00"/>
    <x v="52"/>
    <n v="30"/>
    <s v="25-07"/>
    <x v="11"/>
    <s v="Vilnius WWTP"/>
    <s v="Vilnius Bus Terminal"/>
    <n v="0.58333333333333337"/>
    <s v="European Commission - JRC"/>
    <s v="Remco"/>
    <s v="1ZRJ73868624887694"/>
    <s v="Remco"/>
    <s v="29J6PD4QC5A"/>
    <s v="0082_WWI_00001_Z1V_01"/>
    <s v="YES"/>
    <s v="y"/>
    <m/>
    <m/>
    <s v="2025_07_23"/>
    <s v="Vilnius"/>
    <s v="Lithuania"/>
    <n v="28"/>
    <s v="Zolyno 36 gatve, Vilnius, 10210, Lithuania"/>
    <s v="Via E. Fermi 2749, T.P. 120, Directorate D Sustainable Resources, Ispra, 21027, Italy"/>
    <n v="89"/>
    <s v="Pick-up service of hypothetic package as defined in the Tech. Specs. and delivery to lots_x000a_2 and 3 contractors according to Scenario 1"/>
    <s v="YES"/>
    <s v="EUEU"/>
  </r>
  <r>
    <n v="292"/>
    <s v="3rd-party-sample-UPS"/>
    <n v="1"/>
    <d v="2025-08-06T00:00:00"/>
    <x v="53"/>
    <n v="32"/>
    <s v="25-08"/>
    <x v="11"/>
    <s v="Vilnius WWTP"/>
    <s v="Vilnius Bus Terminal"/>
    <n v="0.58333333333333337"/>
    <s v="Instituto Superior Tecnico"/>
    <s v="Remco"/>
    <s v="1ZRJ73868603610860"/>
    <s v="Remco/Jason"/>
    <s v="29T76HQ67OF"/>
    <s v="0082_WWI_00002_Z1V"/>
    <s v="YES"/>
    <s v="y"/>
    <m/>
    <m/>
    <s v="2025_08_06"/>
    <s v="Vilnius"/>
    <s v="Lithuania"/>
    <n v="30"/>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93"/>
    <s v="3rd-party-sample-UPS"/>
    <n v="1"/>
    <d v="2025-08-20T00:00:00"/>
    <x v="54"/>
    <n v="34"/>
    <s v="25-08"/>
    <x v="11"/>
    <s v="Vilnius WWTP"/>
    <s v="Vilnius Bus Terminal"/>
    <n v="0.58333333333333337"/>
    <s v="Instituto Superior Tecnico"/>
    <s v="Tom"/>
    <s v="1ZRJ76798616286115"/>
    <s v="Tom"/>
    <s v="29XLLE082MI"/>
    <s v="0082_WWI_00003_J6Q_01"/>
    <s v="YES"/>
    <s v="y"/>
    <m/>
    <m/>
    <s v="2025_08_20"/>
    <s v="Vilnius"/>
    <s v="Lithuania"/>
    <n v="32"/>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94"/>
    <s v="3rd-party-sample-UPS"/>
    <n v="1"/>
    <d v="2025-09-03T00:00:00"/>
    <x v="55"/>
    <n v="36"/>
    <s v="25-09"/>
    <x v="11"/>
    <s v="Vilnius WWTP"/>
    <s v="Vilnius Bus Terminal"/>
    <n v="0.58333333333333337"/>
    <s v="Instituto Superior Tecnico"/>
    <s v="Tom"/>
    <s v="1ZRJ76798601456263"/>
    <s v="Tom"/>
    <s v="29B8995JPCL"/>
    <s v="0082_WWI_00004_Z1V_01"/>
    <s v="YES"/>
    <s v="y"/>
    <m/>
    <m/>
    <s v="2025_09_03"/>
    <s v="Vilnius"/>
    <s v="Lithuania"/>
    <n v="34"/>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95"/>
    <s v="3rd-party-sample-UPS"/>
    <n v="1"/>
    <d v="2025-09-17T00:00:00"/>
    <x v="56"/>
    <n v="38"/>
    <s v="25-09"/>
    <x v="11"/>
    <s v="Vilnius WWTP"/>
    <s v="Vilnius Bus Terminal"/>
    <n v="0.58333333333333337"/>
    <s v="Instituto Superior Tecnico"/>
    <s v="Tom"/>
    <s v="1ZRJ76798636975397"/>
    <s v="Jason"/>
    <s v="29Z8M98F163"/>
    <s v="0082_WWI_00005_Z1V_01"/>
    <s v="YES"/>
    <s v="y"/>
    <m/>
    <m/>
    <s v="2025_09_17"/>
    <s v="Vilnius"/>
    <s v="Lithuania"/>
    <n v="36"/>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96"/>
    <s v="3rd-party-sample-UPS"/>
    <n v="1"/>
    <d v="2025-10-08T00:00:00"/>
    <x v="57"/>
    <n v="41"/>
    <s v="25-10"/>
    <x v="11"/>
    <s v="Vilnius WWTP"/>
    <s v="Vilnius Bus Terminal"/>
    <n v="0.58333333333333337"/>
    <s v="Instituto Superior Tecnico"/>
    <s v="Remco"/>
    <s v="1ZRJ76798636879545"/>
    <s v="Tom"/>
    <s v="29P9JARDH0K, 294NF2A1K56"/>
    <s v="0082_WWI_00006_Z1V_06"/>
    <s v="YES"/>
    <s v="y"/>
    <m/>
    <m/>
    <s v="2025_10_08"/>
    <s v="Vilnius"/>
    <s v="Lithuania"/>
    <n v="39"/>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97"/>
    <s v="3rd-party-sample-UPS"/>
    <n v="1"/>
    <d v="2025-10-22T00:00:00"/>
    <x v="58"/>
    <n v="43"/>
    <s v="25-10"/>
    <x v="11"/>
    <s v="Vilnius WWTP"/>
    <s v="Vilnius Bus Terminal"/>
    <n v="0.58333333333333337"/>
    <s v="Instituto Superior Tecnico"/>
    <s v="Tom"/>
    <s v="1ZRJ76798618848942"/>
    <m/>
    <m/>
    <m/>
    <s v="YES"/>
    <m/>
    <m/>
    <m/>
    <s v="2025_10_22"/>
    <s v="Vilnius"/>
    <s v="Lithuania"/>
    <n v="41"/>
    <s v="Zolyno 36 gatve, Vilnius, 10210, Lithuania"/>
    <s v="Av. Rovisco Pais 1, Laboratorio de Analises de Agua, Lisbon, 1049-001, Portugal"/>
    <n v="89"/>
    <s v="Pick-up service of hypothetic package as defined in the Tech. Specs. and delivery to lots_x000a_2 and 3 contractors according to Scenario 1"/>
    <s v="YES"/>
    <s v="EUEU"/>
  </r>
  <r>
    <n v="298"/>
    <s v="3rd-party-sample-UPS"/>
    <n v="1"/>
    <d v="2025-11-05T00:00:00"/>
    <x v="59"/>
    <n v="45"/>
    <s v="25-11"/>
    <x v="11"/>
    <s v="Vilnius WWTP"/>
    <s v="Vilnius Bus Terminal"/>
    <n v="0.58333333333333337"/>
    <s v="Instituto Superior Tecnico"/>
    <s v="Remco"/>
    <s v="1ZRJ73868626215218"/>
    <m/>
    <m/>
    <m/>
    <s v="YES"/>
    <m/>
    <m/>
    <m/>
    <s v="2025_11_05"/>
    <s v="Vilnius"/>
    <s v="Lithuania"/>
    <n v="43"/>
    <s v="Zolyno 36 gatve, Vilnius, 10210, Lithuania"/>
    <s v="Av. Rovisco Pais 1, Laboratorio de Analises de Agua, Lisbon, 1049-001, Portugal"/>
    <n v="89"/>
    <s v="Pick-up service of hypothetic package as defined in the Tech. Specs. and delivery to lots_x000a_2 and 3 contractors according to Scenario 1"/>
    <s v="NO"/>
    <s v="EUEU"/>
  </r>
  <r>
    <n v="299"/>
    <s v="3rd-party-sample-UPS"/>
    <n v="1"/>
    <d v="2025-11-19T00:00:00"/>
    <x v="60"/>
    <n v="47"/>
    <s v="25-11"/>
    <x v="11"/>
    <s v="Vilnius WWTP"/>
    <s v="Vilnius Bus Terminal"/>
    <n v="0.58333333333333337"/>
    <m/>
    <m/>
    <m/>
    <m/>
    <m/>
    <m/>
    <s v="NO"/>
    <m/>
    <m/>
    <m/>
    <s v="2025_11_19"/>
    <s v="Vilnius"/>
    <s v="Lithuania"/>
    <n v="45"/>
    <s v="Zolyno 36 gatve, Vilnius, 10210, Lithuania"/>
    <n v="0"/>
    <s v=""/>
    <s v=""/>
    <s v="NO"/>
    <s v="EU"/>
  </r>
  <r>
    <n v="300"/>
    <s v="3rd-party-sample-UPS"/>
    <n v="1"/>
    <d v="2025-12-03T00:00:00"/>
    <x v="61"/>
    <n v="49"/>
    <s v="25-12"/>
    <x v="11"/>
    <s v="Vilnius WWTP"/>
    <s v="Vilnius Bus Terminal"/>
    <n v="0.58333333333333337"/>
    <m/>
    <m/>
    <m/>
    <m/>
    <m/>
    <m/>
    <s v="NO"/>
    <m/>
    <m/>
    <m/>
    <s v="2025_12_03"/>
    <s v="Vilnius"/>
    <s v="Lithuania"/>
    <n v="47"/>
    <s v="Zolyno 36 gatve, Vilnius, 10210, Lithuania"/>
    <n v="0"/>
    <s v=""/>
    <s v=""/>
    <s v="NO"/>
    <s v="EU"/>
  </r>
  <r>
    <n v="301"/>
    <s v="3rd-party-sample-UPS"/>
    <n v="1"/>
    <d v="2025-12-17T00:00:00"/>
    <x v="62"/>
    <n v="51"/>
    <s v="25-12"/>
    <x v="11"/>
    <s v="Vilnius WWTP"/>
    <s v="Vilnius Bus Terminal"/>
    <n v="0.58333333333333337"/>
    <m/>
    <m/>
    <m/>
    <m/>
    <m/>
    <m/>
    <s v="NO"/>
    <m/>
    <m/>
    <m/>
    <s v="2025_12_17"/>
    <s v="Vilnius"/>
    <s v="Lithuania"/>
    <n v="49"/>
    <s v="Zolyno 36 gatve, Vilnius, 10210, Lithuania"/>
    <n v="0"/>
    <s v=""/>
    <s v=""/>
    <s v="NO"/>
    <s v="EU"/>
  </r>
  <r>
    <n v="302"/>
    <s v="3rd-party-sample-UPS"/>
    <n v="1"/>
    <d v="2025-08-13T00:00:00"/>
    <x v="47"/>
    <n v="33"/>
    <s v="25-08"/>
    <x v="12"/>
    <s v="Funchal WWTP"/>
    <s v="Madeira, 10 locations"/>
    <n v="0.70833333333333337"/>
    <s v="Instituto Superior Tecnico"/>
    <s v="Tom"/>
    <n v="6623801074"/>
    <s v="Tom"/>
    <m/>
    <s v="0082_WWI_00002_D5P_01"/>
    <s v="YES"/>
    <s v="y"/>
    <m/>
    <s v="Waybill 1"/>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03"/>
    <s v="3rd-party-sample-UPS"/>
    <n v="1"/>
    <d v="2025-08-27T00:00:00"/>
    <x v="63"/>
    <n v="35"/>
    <s v="25-08"/>
    <x v="12"/>
    <s v="Funchal WWTP"/>
    <s v="Madeira, 10 locations"/>
    <n v="0.70833333333333337"/>
    <s v="Instituto Superior Tecnico"/>
    <s v="Tom"/>
    <n v="2942611501"/>
    <s v="Tom"/>
    <s v="PRG250828006315"/>
    <s v="0082_WWI_00004_Y1W_01"/>
    <s v="YES"/>
    <s v="N"/>
    <m/>
    <s v="parcel 1"/>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04"/>
    <s v="3rd-party-sample-UPS"/>
    <n v="1"/>
    <d v="2025-09-03T00:00:00"/>
    <x v="55"/>
    <n v="36"/>
    <s v="25-09"/>
    <x v="12"/>
    <s v="Funchal WWTP"/>
    <s v="Madeira, 10 locations"/>
    <n v="0.70833333333333337"/>
    <s v="Instituto Superior Tecnico"/>
    <s v="Tom"/>
    <n v="1794477591"/>
    <m/>
    <m/>
    <s v="0082_WWI_00005_S3N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05"/>
    <s v="3rd-party-sample-UPS"/>
    <n v="1"/>
    <d v="2025-09-17T00:00:00"/>
    <x v="56"/>
    <n v="38"/>
    <s v="25-09"/>
    <x v="12"/>
    <s v="Funchal WWTP"/>
    <s v="Madeira, 10 locations"/>
    <n v="0.70833333333333337"/>
    <s v="Instituto Superior Tecnico"/>
    <s v="Tom"/>
    <n v="5988527355"/>
    <m/>
    <s v="LET OP: collection voor 47 dozen"/>
    <s v="0082_WWI_00007_S3N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0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0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0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09"/>
    <s v="3rd-party-sample-UPS"/>
    <n v="1"/>
    <d v="2025-11-19T00:00:00"/>
    <x v="60"/>
    <n v="47"/>
    <s v="25-11"/>
    <x v="12"/>
    <s v="Funchal WWTP"/>
    <s v="Madeira, 10 locations"/>
    <n v="0.70833333333333337"/>
    <s v="Instituto Superior Tecnico"/>
    <m/>
    <m/>
    <m/>
    <s v="PRG251009012088"/>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10"/>
    <s v="3rd-party-sample-UPS"/>
    <n v="1"/>
    <d v="2025-12-03T00:00:00"/>
    <x v="61"/>
    <n v="49"/>
    <s v="25-12"/>
    <x v="12"/>
    <s v="Funchal WWTP"/>
    <s v="Madeira, 10 locations"/>
    <n v="0.70833333333333337"/>
    <s v="Instituto Superior Tecnico"/>
    <m/>
    <m/>
    <m/>
    <s v="PRG251009012088"/>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11"/>
    <s v="3rd-party-sample-UPS"/>
    <n v="1"/>
    <d v="2025-12-17T00:00:00"/>
    <x v="62"/>
    <n v="51"/>
    <s v="25-12"/>
    <x v="12"/>
    <s v="Funchal WWTP"/>
    <s v="Madeira, 10 locations"/>
    <n v="0.70833333333333337"/>
    <s v="Instituto Superior Tecnico"/>
    <m/>
    <m/>
    <m/>
    <s v="PRG251009012088"/>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12"/>
    <s v="3rd-party-sample-UPS"/>
    <n v="1"/>
    <d v="2025-08-13T00:00:00"/>
    <x v="47"/>
    <n v="33"/>
    <s v="25-08"/>
    <x v="12"/>
    <s v="Funchal WWTP"/>
    <s v="Madeira, 10 locations"/>
    <n v="0.70833333333333337"/>
    <s v="Instituto Superior Tecnico"/>
    <s v="Tom"/>
    <n v="6623801074"/>
    <s v="Tom"/>
    <s v="PRG251009012088"/>
    <s v="0082_WWI_00002_X1J_01"/>
    <s v="YES"/>
    <s v="y"/>
    <m/>
    <s v="Waybill 2"/>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13"/>
    <s v="3rd-party-sample-UPS"/>
    <n v="1"/>
    <d v="2025-08-27T00:00:00"/>
    <x v="63"/>
    <n v="35"/>
    <s v="25-08"/>
    <x v="12"/>
    <s v="Funchal WWTP"/>
    <s v="Madeira, 10 locations"/>
    <n v="0.70833333333333337"/>
    <s v="Instituto Superior Tecnico"/>
    <s v="Tom"/>
    <n v="2942611501"/>
    <s v="Tom"/>
    <s v="PRG251009012088"/>
    <s v="0082_WWI_00003_Y1W_01"/>
    <s v="YES"/>
    <s v="N"/>
    <m/>
    <s v="parcel 2"/>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14"/>
    <s v="3rd-party-sample-UPS"/>
    <n v="1"/>
    <d v="2025-09-03T00:00:00"/>
    <x v="55"/>
    <n v="36"/>
    <s v="25-09"/>
    <x v="12"/>
    <s v="Funchal WWTP"/>
    <s v="Madeira, 10 locations"/>
    <n v="0.70833333333333337"/>
    <s v="Instituto Superior Tecnico"/>
    <s v="Tom"/>
    <n v="1794477591"/>
    <m/>
    <s v="PRG251009012088"/>
    <s v="0082_WWI_00006_S3N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15"/>
    <s v="3rd-party-sample-UPS"/>
    <n v="1"/>
    <d v="2025-09-17T00:00:00"/>
    <x v="56"/>
    <n v="38"/>
    <s v="25-09"/>
    <x v="12"/>
    <s v="Funchal WWTP"/>
    <s v="Madeira, 10 locations"/>
    <n v="0.70833333333333337"/>
    <s v="Instituto Superior Tecnico"/>
    <s v="Tom"/>
    <n v="5988527355"/>
    <m/>
    <s v="PRG251009012088"/>
    <s v="0082_WWI_00008_S3N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1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1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1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1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2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2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22"/>
    <s v="3rd-party-sample-UPS"/>
    <n v="1"/>
    <d v="2025-08-13T00:00:00"/>
    <x v="47"/>
    <n v="33"/>
    <s v="25-08"/>
    <x v="12"/>
    <s v="Funchal WWTP"/>
    <s v="Madeira, 10 locations"/>
    <n v="0.70833333333333337"/>
    <s v="Instituto Superior Tecnico"/>
    <s v="Tom"/>
    <n v="6623801074"/>
    <s v="Tom"/>
    <m/>
    <s v="0082_WWI_00002_S3N_01"/>
    <s v="YES"/>
    <s v="y"/>
    <m/>
    <s v="Waybill 3"/>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23"/>
    <s v="3rd-party-sample-UPS"/>
    <n v="1"/>
    <d v="2025-08-27T00:00:00"/>
    <x v="63"/>
    <n v="35"/>
    <s v="25-08"/>
    <x v="12"/>
    <s v="Funchal WWTP"/>
    <s v="Madeira, 10 locations"/>
    <n v="0.70833333333333337"/>
    <s v="Instituto Superior Tecnico"/>
    <s v="Tom"/>
    <n v="2942611501"/>
    <s v="Tom"/>
    <s v="PRG250828006315"/>
    <s v="0082_WWI_00004_N7B_01"/>
    <s v="YES"/>
    <s v="N"/>
    <m/>
    <s v="parcel 3"/>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24"/>
    <s v="3rd-party-sample-UPS"/>
    <n v="1"/>
    <d v="2025-09-03T00:00:00"/>
    <x v="55"/>
    <n v="36"/>
    <s v="25-09"/>
    <x v="12"/>
    <s v="Funchal WWTP"/>
    <s v="Madeira, 10 locations"/>
    <n v="0.70833333333333337"/>
    <s v="Instituto Superior Tecnico"/>
    <s v="Tom"/>
    <n v="1794477591"/>
    <m/>
    <m/>
    <s v="0082_WWI_00005_L9Q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25"/>
    <s v="3rd-party-sample-UPS"/>
    <n v="1"/>
    <d v="2025-09-17T00:00:00"/>
    <x v="56"/>
    <n v="38"/>
    <s v="25-09"/>
    <x v="12"/>
    <s v="Funchal WWTP"/>
    <s v="Madeira, 10 locations"/>
    <n v="0.70833333333333337"/>
    <s v="Instituto Superior Tecnico"/>
    <s v="Tom"/>
    <n v="5988527355"/>
    <m/>
    <s v="LET OP: collection voor 47 dozen"/>
    <s v="0082_WWI_00008_V3C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2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2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2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2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3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3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32"/>
    <s v="3rd-party-sample-UPS"/>
    <n v="1"/>
    <d v="2025-08-13T00:00:00"/>
    <x v="47"/>
    <n v="33"/>
    <s v="25-08"/>
    <x v="12"/>
    <s v="Funchal WWTP"/>
    <s v="Madeira, 10 locations"/>
    <n v="0.70833333333333337"/>
    <s v="Instituto Superior Tecnico"/>
    <s v="Tom"/>
    <n v="6623801074"/>
    <s v="Tom"/>
    <m/>
    <s v="0082_WWI_00002_Y1W_01"/>
    <s v="YES"/>
    <s v="y"/>
    <m/>
    <s v="Waybill 4"/>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33"/>
    <s v="3rd-party-sample-UPS"/>
    <n v="1"/>
    <d v="2025-08-27T00:00:00"/>
    <x v="63"/>
    <n v="35"/>
    <s v="25-08"/>
    <x v="12"/>
    <s v="Funchal WWTP"/>
    <s v="Madeira, 10 locations"/>
    <n v="0.70833333333333337"/>
    <s v="Instituto Superior Tecnico"/>
    <s v="Tom"/>
    <n v="2942611501"/>
    <s v="Tom"/>
    <s v="PRG250828006315"/>
    <s v="0082_WWI_00004_V3C_01"/>
    <s v="YES"/>
    <s v="N"/>
    <m/>
    <s v="parcel 4"/>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34"/>
    <s v="3rd-party-sample-UPS"/>
    <n v="1"/>
    <d v="2025-09-03T00:00:00"/>
    <x v="55"/>
    <n v="36"/>
    <s v="25-09"/>
    <x v="12"/>
    <s v="Funchal WWTP"/>
    <s v="Madeira, 10 locations"/>
    <n v="0.70833333333333337"/>
    <s v="Instituto Superior Tecnico"/>
    <s v="Tom"/>
    <n v="1794477591"/>
    <m/>
    <m/>
    <s v="0082_WWI_00006_L9Q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35"/>
    <s v="3rd-party-sample-UPS"/>
    <n v="1"/>
    <d v="2025-09-17T00:00:00"/>
    <x v="56"/>
    <n v="38"/>
    <s v="25-09"/>
    <x v="12"/>
    <s v="Funchal WWTP"/>
    <s v="Madeira, 10 locations"/>
    <n v="0.70833333333333337"/>
    <s v="Instituto Superior Tecnico"/>
    <s v="Tom"/>
    <n v="5988527355"/>
    <m/>
    <s v="LET OP: collection voor 47 dozen"/>
    <s v="0082_WWI_00007_L9Q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3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3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3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3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4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4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42"/>
    <s v="3rd-party-sample-UPS"/>
    <n v="1"/>
    <d v="2025-08-13T00:00:00"/>
    <x v="47"/>
    <n v="33"/>
    <s v="25-08"/>
    <x v="12"/>
    <s v="Funchal WWTP"/>
    <s v="Madeira, 10 locations"/>
    <n v="0.70833333333333337"/>
    <s v="Instituto Superior Tecnico"/>
    <s v="Tom"/>
    <n v="6623801074"/>
    <s v="Tom"/>
    <m/>
    <s v="0082_WWI_00002_V3C_01"/>
    <s v="YES"/>
    <s v="y"/>
    <m/>
    <s v="Waybill 5"/>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43"/>
    <s v="3rd-party-sample-UPS"/>
    <n v="1"/>
    <d v="2025-08-27T00:00:00"/>
    <x v="63"/>
    <n v="35"/>
    <s v="25-08"/>
    <x v="12"/>
    <s v="Funchal WWTP"/>
    <s v="Madeira, 10 locations"/>
    <n v="0.70833333333333337"/>
    <s v="Instituto Superior Tecnico"/>
    <s v="Tom"/>
    <n v="2942611501"/>
    <s v="Tom"/>
    <s v="PRG250828006315"/>
    <s v="0082_WWI_00003_L9Q_01"/>
    <s v="YES"/>
    <s v="N"/>
    <m/>
    <s v="parcel 5"/>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44"/>
    <s v="3rd-party-sample-UPS"/>
    <n v="1"/>
    <d v="2025-09-03T00:00:00"/>
    <x v="55"/>
    <n v="36"/>
    <s v="25-09"/>
    <x v="12"/>
    <s v="Funchal WWTP"/>
    <s v="Madeira, 10 locations"/>
    <n v="0.70833333333333337"/>
    <s v="Instituto Superior Tecnico"/>
    <s v="Tom"/>
    <n v="1794477591"/>
    <m/>
    <m/>
    <s v="0082_WWI_00005_C2M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45"/>
    <s v="3rd-party-sample-UPS"/>
    <n v="1"/>
    <d v="2025-09-17T00:00:00"/>
    <x v="56"/>
    <n v="38"/>
    <s v="25-09"/>
    <x v="12"/>
    <s v="Funchal WWTP"/>
    <s v="Madeira, 10 locations"/>
    <n v="0.70833333333333337"/>
    <s v="Instituto Superior Tecnico"/>
    <s v="Tom"/>
    <n v="5988527355"/>
    <m/>
    <s v="LET OP: collection voor 47 dozen"/>
    <s v="0082_WWI_00007_X1J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4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4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4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4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5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5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52"/>
    <s v="3rd-party-sample-UPS"/>
    <n v="1"/>
    <d v="2025-08-13T00:00:00"/>
    <x v="47"/>
    <n v="33"/>
    <s v="25-08"/>
    <x v="12"/>
    <s v="Funchal WWTP"/>
    <s v="Madeira, 10 locations"/>
    <n v="0.70833333333333337"/>
    <s v="Instituto Superior Tecnico"/>
    <s v="Tom"/>
    <n v="6623801074"/>
    <s v="Tom"/>
    <m/>
    <s v="0082_WWI_00002_L9Q_01"/>
    <s v="YES"/>
    <s v="y"/>
    <m/>
    <s v="Waybill 6"/>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53"/>
    <s v="3rd-party-sample-UPS"/>
    <n v="1"/>
    <d v="2025-08-27T00:00:00"/>
    <x v="63"/>
    <n v="35"/>
    <s v="25-08"/>
    <x v="12"/>
    <s v="Funchal WWTP"/>
    <s v="Madeira, 10 locations"/>
    <n v="0.70833333333333337"/>
    <s v="Instituto Superior Tecnico"/>
    <s v="Tom"/>
    <n v="2942611501"/>
    <s v="Tom"/>
    <s v="PRG250828006315"/>
    <s v="0082_WWI_00004_L9Q_01"/>
    <s v="YES"/>
    <s v="N"/>
    <m/>
    <s v="parcel 6"/>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54"/>
    <s v="3rd-party-sample-UPS"/>
    <n v="1"/>
    <d v="2025-09-03T00:00:00"/>
    <x v="55"/>
    <n v="36"/>
    <s v="25-09"/>
    <x v="12"/>
    <s v="Funchal WWTP"/>
    <s v="Madeira, 10 locations"/>
    <n v="0.70833333333333337"/>
    <s v="Instituto Superior Tecnico"/>
    <s v="Tom"/>
    <n v="1794477591"/>
    <m/>
    <m/>
    <s v="0082_WWI_00005_Y1W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55"/>
    <s v="3rd-party-sample-UPS"/>
    <n v="1"/>
    <d v="2025-09-17T00:00:00"/>
    <x v="56"/>
    <n v="38"/>
    <s v="25-09"/>
    <x v="12"/>
    <s v="Funchal WWTP"/>
    <s v="Madeira, 10 locations"/>
    <n v="0.70833333333333337"/>
    <s v="Instituto Superior Tecnico"/>
    <s v="Tom"/>
    <n v="5988527355"/>
    <m/>
    <s v="LET OP: collection voor 47 dozen"/>
    <s v="0082_WWI_00008_X1J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5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5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5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5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6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6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62"/>
    <s v="3rd-party-sample-UPS"/>
    <n v="1"/>
    <d v="2025-08-13T00:00:00"/>
    <x v="47"/>
    <n v="33"/>
    <s v="25-08"/>
    <x v="12"/>
    <s v="Funchal WWTP"/>
    <s v="Madeira, 10 locations"/>
    <n v="0.70833333333333337"/>
    <s v="Instituto Superior Tecnico"/>
    <s v="Tom"/>
    <n v="6623801074"/>
    <s v="Tom"/>
    <m/>
    <s v="0082_WWI_00001_X1J_01"/>
    <s v="YES"/>
    <s v="y"/>
    <m/>
    <s v="Waybill 7"/>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63"/>
    <s v="3rd-party-sample-UPS"/>
    <n v="1"/>
    <d v="2025-08-27T00:00:00"/>
    <x v="63"/>
    <n v="35"/>
    <s v="25-08"/>
    <x v="12"/>
    <s v="Funchal WWTP"/>
    <s v="Madeira, 10 locations"/>
    <n v="0.70833333333333337"/>
    <s v="Instituto Superior Tecnico"/>
    <s v="Tom"/>
    <n v="2942611501"/>
    <s v="Tom"/>
    <s v="PRG250828006315"/>
    <s v="0082_WWI_00003_D5P_01"/>
    <s v="YES"/>
    <s v="N"/>
    <m/>
    <s v="parcel 7"/>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64"/>
    <s v="3rd-party-sample-UPS"/>
    <n v="1"/>
    <d v="2025-09-03T00:00:00"/>
    <x v="55"/>
    <n v="36"/>
    <s v="25-09"/>
    <x v="12"/>
    <s v="Funchal WWTP"/>
    <s v="Madeira, 10 locations"/>
    <n v="0.70833333333333337"/>
    <s v="Instituto Superior Tecnico"/>
    <s v="Tom"/>
    <n v="1794477591"/>
    <m/>
    <m/>
    <s v="0082_WWI_00006_W3K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65"/>
    <s v="3rd-party-sample-UPS"/>
    <n v="1"/>
    <d v="2025-09-17T00:00:00"/>
    <x v="56"/>
    <n v="38"/>
    <s v="25-09"/>
    <x v="12"/>
    <s v="Funchal WWTP"/>
    <s v="Madeira, 10 locations"/>
    <n v="0.70833333333333337"/>
    <s v="Instituto Superior Tecnico"/>
    <s v="Tom"/>
    <n v="5988527355"/>
    <m/>
    <s v="LET OP: collection voor 47 dozen"/>
    <s v="0082_WWI_00008_Y1W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6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6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6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6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7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7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72"/>
    <s v="3rd-party-sample-UPS"/>
    <n v="1"/>
    <d v="2025-08-13T00:00:00"/>
    <x v="47"/>
    <n v="33"/>
    <s v="25-08"/>
    <x v="12"/>
    <s v="Funchal WWTP"/>
    <s v="Madeira, 10 locations"/>
    <n v="0.70833333333333337"/>
    <s v="Instituto Superior Tecnico"/>
    <s v="Tom"/>
    <n v="6623801074"/>
    <s v="Tom"/>
    <m/>
    <s v="0082_WWI_00002_N7B_01"/>
    <s v="YES"/>
    <s v="y"/>
    <m/>
    <s v="Waybill 8"/>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73"/>
    <s v="3rd-party-sample-UPS"/>
    <n v="1"/>
    <d v="2025-08-27T00:00:00"/>
    <x v="63"/>
    <n v="35"/>
    <s v="25-08"/>
    <x v="12"/>
    <s v="Funchal WWTP"/>
    <s v="Madeira, 10 locations"/>
    <n v="0.70833333333333337"/>
    <s v="Instituto Superior Tecnico"/>
    <s v="Tom"/>
    <n v="2942611501"/>
    <s v="Tom"/>
    <s v="PRG250828006315"/>
    <s v="0082_WWI_00004_D5P_01"/>
    <s v="YES"/>
    <s v="N"/>
    <m/>
    <s v="parcel 8"/>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74"/>
    <s v="3rd-party-sample-UPS"/>
    <n v="1"/>
    <d v="2025-09-03T00:00:00"/>
    <x v="55"/>
    <n v="36"/>
    <s v="25-09"/>
    <x v="12"/>
    <s v="Funchal WWTP"/>
    <s v="Madeira, 10 locations"/>
    <n v="0.70833333333333337"/>
    <s v="Instituto Superior Tecnico"/>
    <s v="Tom"/>
    <n v="1794477591"/>
    <m/>
    <m/>
    <s v="0082_WWI_00006_Y1W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75"/>
    <s v="3rd-party-sample-UPS"/>
    <n v="1"/>
    <d v="2025-09-17T00:00:00"/>
    <x v="56"/>
    <n v="38"/>
    <s v="25-09"/>
    <x v="12"/>
    <s v="Funchal WWTP"/>
    <s v="Madeira, 10 locations"/>
    <n v="0.70833333333333337"/>
    <s v="Instituto Superior Tecnico"/>
    <s v="Tom"/>
    <n v="5988527355"/>
    <m/>
    <s v="LET OP: collection voor 47 dozen"/>
    <s v="0082_WWI_00007_Y1W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7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7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7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7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8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8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82"/>
    <s v="3rd-party-sample-UPS"/>
    <n v="1"/>
    <d v="2025-08-13T00:00:00"/>
    <x v="47"/>
    <n v="33"/>
    <s v="25-08"/>
    <x v="12"/>
    <s v="Funchal WWTP"/>
    <s v="Madeira, 10 locations"/>
    <n v="0.70833333333333337"/>
    <s v="Instituto Superior Tecnico"/>
    <s v="Tom"/>
    <n v="6623801074"/>
    <s v="Tom"/>
    <m/>
    <s v="0082_WWI_00002_C2M_01"/>
    <s v="YES"/>
    <s v="y"/>
    <m/>
    <s v="Waybill 9"/>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83"/>
    <s v="3rd-party-sample-UPS"/>
    <n v="1"/>
    <d v="2025-08-27T00:00:00"/>
    <x v="63"/>
    <n v="35"/>
    <s v="25-08"/>
    <x v="12"/>
    <s v="Funchal WWTP"/>
    <s v="Madeira, 10 locations"/>
    <n v="0.70833333333333337"/>
    <s v="Instituto Superior Tecnico"/>
    <s v="Tom"/>
    <n v="2942611501"/>
    <s v="Tom"/>
    <s v="PRG250828006315"/>
    <s v="0082_WWI_00003_C2M_01"/>
    <s v="YES"/>
    <s v="N"/>
    <m/>
    <s v="parcel 9"/>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84"/>
    <s v="3rd-party-sample-UPS"/>
    <n v="1"/>
    <d v="2025-09-03T00:00:00"/>
    <x v="55"/>
    <n v="36"/>
    <s v="25-09"/>
    <x v="12"/>
    <s v="Funchal WWTP"/>
    <s v="Madeira, 10 locations"/>
    <n v="0.70833333333333337"/>
    <s v="Instituto Superior Tecnico"/>
    <s v="Tom"/>
    <n v="1794477591"/>
    <m/>
    <m/>
    <s v="0082_WWI_00005_N9G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85"/>
    <s v="3rd-party-sample-UPS"/>
    <n v="1"/>
    <d v="2025-09-17T00:00:00"/>
    <x v="56"/>
    <n v="38"/>
    <s v="25-09"/>
    <x v="12"/>
    <s v="Funchal WWTP"/>
    <s v="Madeira, 10 locations"/>
    <n v="0.70833333333333337"/>
    <s v="Instituto Superior Tecnico"/>
    <s v="Tom"/>
    <n v="5988527355"/>
    <m/>
    <s v="LET OP: collection voor 47 dozen"/>
    <s v="0082_WWI_00007_C2M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8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8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8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8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9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9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92"/>
    <s v="3rd-party-sample-UPS"/>
    <n v="1"/>
    <d v="2025-08-13T00:00:00"/>
    <x v="47"/>
    <n v="33"/>
    <s v="25-08"/>
    <x v="12"/>
    <s v="Funchal WWTP"/>
    <s v="Madeira, 10 locations"/>
    <n v="0.70833333333333337"/>
    <s v="Instituto Superior Tecnico"/>
    <s v="Tom"/>
    <n v="6623801074"/>
    <s v="Tom"/>
    <m/>
    <s v="0082_WWI_00001_L9Q_01"/>
    <s v="YES"/>
    <s v="y"/>
    <m/>
    <s v="Waybill 10"/>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93"/>
    <s v="3rd-party-sample-UPS"/>
    <n v="1"/>
    <d v="2025-08-27T00:00:00"/>
    <x v="63"/>
    <n v="35"/>
    <s v="25-08"/>
    <x v="12"/>
    <s v="Funchal WWTP"/>
    <s v="Madeira, 10 locations"/>
    <n v="0.70833333333333337"/>
    <s v="Instituto Superior Tecnico"/>
    <s v="Tom"/>
    <n v="2942611501"/>
    <s v="Tom"/>
    <s v="PRG250828006315"/>
    <s v="0082_WWI_00004_C2M_01"/>
    <s v="YES"/>
    <s v="N"/>
    <m/>
    <s v="parcel 10"/>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94"/>
    <s v="3rd-party-sample-UPS"/>
    <n v="1"/>
    <d v="2025-09-03T00:00:00"/>
    <x v="55"/>
    <n v="36"/>
    <s v="25-09"/>
    <x v="12"/>
    <s v="Funchal WWTP"/>
    <s v="Madeira, 10 locations"/>
    <n v="0.70833333333333337"/>
    <s v="Instituto Superior Tecnico"/>
    <s v="Tom"/>
    <n v="1794477591"/>
    <m/>
    <m/>
    <s v="0082_WWI_00006_X1J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95"/>
    <s v="3rd-party-sample-UPS"/>
    <n v="1"/>
    <d v="2025-09-17T00:00:00"/>
    <x v="56"/>
    <n v="38"/>
    <s v="25-09"/>
    <x v="12"/>
    <s v="Funchal WWTP"/>
    <s v="Madeira, 10 locations"/>
    <n v="0.70833333333333337"/>
    <s v="Instituto Superior Tecnico"/>
    <s v="Tom"/>
    <n v="5988527355"/>
    <m/>
    <s v="LET OP: collection voor 47 dozen"/>
    <s v="0082_WWI_00008_C2M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9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39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9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39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0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0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02"/>
    <s v="3rd-party-sample-UPS"/>
    <n v="1"/>
    <d v="2025-08-13T00:00:00"/>
    <x v="47"/>
    <n v="33"/>
    <s v="25-08"/>
    <x v="12"/>
    <s v="Funchal WWTP"/>
    <s v="Madeira, 10 locations"/>
    <n v="0.70833333333333337"/>
    <s v="Instituto Superior Tecnico"/>
    <s v="Tom"/>
    <n v="6623801074"/>
    <s v="Tom"/>
    <m/>
    <s v="0082_WWI_00001_N7B_01"/>
    <s v="YES"/>
    <s v="y"/>
    <m/>
    <s v="Waybill 11"/>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03"/>
    <s v="3rd-party-sample-UPS"/>
    <n v="1"/>
    <d v="2025-08-27T00:00:00"/>
    <x v="63"/>
    <n v="35"/>
    <s v="25-08"/>
    <x v="12"/>
    <s v="Funchal WWTP"/>
    <s v="Madeira, 10 locations"/>
    <n v="0.70833333333333337"/>
    <s v="Instituto Superior Tecnico"/>
    <s v="Tom"/>
    <n v="2942611501"/>
    <s v="Tom"/>
    <s v="PRG250828006315"/>
    <s v="0082_WWI_00003_S3N_01"/>
    <s v="YES"/>
    <s v="N"/>
    <m/>
    <s v="parcel 11"/>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04"/>
    <s v="3rd-party-sample-UPS"/>
    <n v="1"/>
    <d v="2025-09-03T00:00:00"/>
    <x v="55"/>
    <n v="36"/>
    <s v="25-09"/>
    <x v="12"/>
    <s v="Funchal WWTP"/>
    <s v="Madeira, 10 locations"/>
    <n v="0.70833333333333337"/>
    <s v="Instituto Superior Tecnico"/>
    <s v="Tom"/>
    <n v="1794477591"/>
    <m/>
    <m/>
    <s v="0082_WWI_00005_W3K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05"/>
    <s v="3rd-party-sample-UPS"/>
    <n v="1"/>
    <d v="2025-09-17T00:00:00"/>
    <x v="56"/>
    <n v="38"/>
    <s v="25-09"/>
    <x v="12"/>
    <s v="Funchal WWTP"/>
    <s v="Madeira, 10 locations"/>
    <n v="0.70833333333333337"/>
    <s v="Instituto Superior Tecnico"/>
    <s v="Tom"/>
    <n v="5988527355"/>
    <m/>
    <s v="LET OP: collection voor 47 dozen"/>
    <s v="0082_WWI_00008_N7B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0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0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0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0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1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1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12"/>
    <s v="3rd-party-sample-UPS"/>
    <n v="1"/>
    <d v="2025-08-13T00:00:00"/>
    <x v="47"/>
    <n v="33"/>
    <s v="25-08"/>
    <x v="12"/>
    <s v="Funchal WWTP"/>
    <s v="Madeira, 10 locations"/>
    <n v="0.70833333333333337"/>
    <s v="Instituto Superior Tecnico"/>
    <s v="Tom"/>
    <n v="6623801074"/>
    <s v="Tom"/>
    <m/>
    <s v="0082_WWI_00001_Y1W_01"/>
    <s v="YES"/>
    <s v="y"/>
    <m/>
    <s v="Waybill 12"/>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13"/>
    <s v="3rd-party-sample-UPS"/>
    <n v="1"/>
    <d v="2025-08-27T00:00:00"/>
    <x v="63"/>
    <n v="35"/>
    <s v="25-08"/>
    <x v="12"/>
    <s v="Funchal WWTP"/>
    <s v="Madeira, 10 locations"/>
    <n v="0.70833333333333337"/>
    <s v="Instituto Superior Tecnico"/>
    <s v="Tom"/>
    <n v="2942611501"/>
    <s v="Tom"/>
    <s v="PRG250828006315"/>
    <s v="0082_WWI_00004_S3N_01"/>
    <s v="YES"/>
    <s v="N"/>
    <m/>
    <s v="parcel 12"/>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14"/>
    <s v="3rd-party-sample-UPS"/>
    <n v="1"/>
    <d v="2025-09-03T00:00:00"/>
    <x v="55"/>
    <n v="36"/>
    <s v="25-09"/>
    <x v="12"/>
    <s v="Funchal WWTP"/>
    <s v="Madeira, 10 locations"/>
    <n v="0.70833333333333337"/>
    <s v="Instituto Superior Tecnico"/>
    <s v="Tom"/>
    <n v="1794477591"/>
    <m/>
    <m/>
    <s v="0082_WWI_00006_D5P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15"/>
    <s v="3rd-party-sample-UPS"/>
    <n v="1"/>
    <d v="2025-09-17T00:00:00"/>
    <x v="56"/>
    <n v="38"/>
    <s v="25-09"/>
    <x v="12"/>
    <s v="Funchal WWTP"/>
    <s v="Madeira, 10 locations"/>
    <n v="0.70833333333333337"/>
    <s v="Instituto Superior Tecnico"/>
    <s v="Tom"/>
    <n v="5988527355"/>
    <m/>
    <s v="LET OP: collection voor 47 dozen"/>
    <s v="0082_WWI_00007_N7B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1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1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1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1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2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2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22"/>
    <s v="3rd-party-sample-UPS"/>
    <n v="1"/>
    <d v="2025-08-13T00:00:00"/>
    <x v="47"/>
    <n v="33"/>
    <s v="25-08"/>
    <x v="12"/>
    <s v="Funchal WWTP"/>
    <s v="Madeira, 10 locations"/>
    <n v="0.70833333333333337"/>
    <s v="Instituto Superior Tecnico"/>
    <s v="Tom"/>
    <n v="6623801074"/>
    <s v="Tom"/>
    <m/>
    <s v="0082_WWI_00002_W3K_01"/>
    <s v="YES"/>
    <s v="y"/>
    <m/>
    <s v="Waybill 13"/>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23"/>
    <s v="3rd-party-sample-UPS"/>
    <n v="1"/>
    <d v="2025-08-27T00:00:00"/>
    <x v="63"/>
    <n v="35"/>
    <s v="25-08"/>
    <x v="12"/>
    <s v="Funchal WWTP"/>
    <s v="Madeira, 10 locations"/>
    <n v="0.70833333333333337"/>
    <s v="Instituto Superior Tecnico"/>
    <s v="Tom"/>
    <n v="2942611501"/>
    <s v="Tom"/>
    <s v="PRG250828006315"/>
    <s v="0082_WWI_00003_N9G_01"/>
    <s v="YES"/>
    <s v="N"/>
    <m/>
    <s v="parcel 13"/>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24"/>
    <s v="3rd-party-sample-UPS"/>
    <n v="1"/>
    <d v="2025-09-03T00:00:00"/>
    <x v="55"/>
    <n v="36"/>
    <s v="25-09"/>
    <x v="12"/>
    <s v="Funchal WWTP"/>
    <s v="Madeira, 10 locations"/>
    <n v="0.70833333333333337"/>
    <s v="Instituto Superior Tecnico"/>
    <s v="Tom"/>
    <n v="1794477591"/>
    <m/>
    <m/>
    <s v="0082_WWI_00005_X1J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25"/>
    <s v="3rd-party-sample-UPS"/>
    <n v="1"/>
    <d v="2025-09-17T00:00:00"/>
    <x v="56"/>
    <n v="38"/>
    <s v="25-09"/>
    <x v="12"/>
    <s v="Funchal WWTP"/>
    <s v="Madeira, 10 locations"/>
    <n v="0.70833333333333337"/>
    <s v="Instituto Superior Tecnico"/>
    <s v="Tom"/>
    <n v="5988527355"/>
    <m/>
    <s v="LET OP: collection voor 47 dozen"/>
    <s v="0082_WWI_00007_D5P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2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2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2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2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3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3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32"/>
    <s v="3rd-party-sample-UPS"/>
    <n v="1"/>
    <d v="2025-08-13T00:00:00"/>
    <x v="47"/>
    <n v="33"/>
    <s v="25-08"/>
    <x v="12"/>
    <s v="Funchal WWTP"/>
    <s v="Madeira, 10 locations"/>
    <n v="0.70833333333333337"/>
    <s v="Instituto Superior Tecnico"/>
    <s v="Tom"/>
    <n v="6623801074"/>
    <s v="Tom"/>
    <m/>
    <s v="0082_WWI_00001_C2M_01"/>
    <s v="YES"/>
    <s v="y"/>
    <m/>
    <s v="Waybill 14"/>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33"/>
    <s v="3rd-party-sample-UPS"/>
    <n v="1"/>
    <d v="2025-08-27T00:00:00"/>
    <x v="63"/>
    <n v="35"/>
    <s v="25-08"/>
    <x v="12"/>
    <s v="Funchal WWTP"/>
    <s v="Madeira, 10 locations"/>
    <n v="0.70833333333333337"/>
    <s v="Instituto Superior Tecnico"/>
    <s v="Tom"/>
    <n v="2942611501"/>
    <s v="Tom"/>
    <s v="PRG250828006315"/>
    <s v="0082_WWI_00004_N9H_01"/>
    <s v="YES"/>
    <s v="N"/>
    <m/>
    <s v="parcel 14"/>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34"/>
    <s v="3rd-party-sample-UPS"/>
    <n v="1"/>
    <d v="2025-09-03T00:00:00"/>
    <x v="55"/>
    <n v="36"/>
    <s v="25-09"/>
    <x v="12"/>
    <s v="Funchal WWTP"/>
    <s v="Madeira, 10 locations"/>
    <n v="0.70833333333333337"/>
    <s v="Instituto Superior Tecnico"/>
    <s v="Tom"/>
    <n v="1794477591"/>
    <m/>
    <m/>
    <s v="0082_WWI_00006_N9G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35"/>
    <s v="3rd-party-sample-UPS"/>
    <n v="1"/>
    <d v="2025-09-17T00:00:00"/>
    <x v="56"/>
    <n v="38"/>
    <s v="25-09"/>
    <x v="12"/>
    <s v="Funchal WWTP"/>
    <s v="Madeira, 10 locations"/>
    <n v="0.70833333333333337"/>
    <s v="Instituto Superior Tecnico"/>
    <s v="Tom"/>
    <n v="5988527355"/>
    <m/>
    <s v="LET OP: collection voor 47 dozen"/>
    <s v="0082_WWI_00008_D5P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3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3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3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3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4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4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42"/>
    <s v="3rd-party-sample-UPS"/>
    <n v="1"/>
    <d v="2025-08-13T00:00:00"/>
    <x v="47"/>
    <n v="33"/>
    <s v="25-08"/>
    <x v="12"/>
    <s v="Funchal WWTP"/>
    <s v="Madeira, 10 locations"/>
    <n v="0.70833333333333337"/>
    <s v="Instituto Superior Tecnico"/>
    <s v="Tom"/>
    <n v="6623801074"/>
    <s v="Tom"/>
    <m/>
    <s v="0082_WWI_00002_N9G_01"/>
    <s v="YES"/>
    <s v="y"/>
    <m/>
    <s v="Waybill 15"/>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43"/>
    <s v="3rd-party-sample-UPS"/>
    <n v="1"/>
    <d v="2025-08-27T00:00:00"/>
    <x v="63"/>
    <n v="35"/>
    <s v="25-08"/>
    <x v="12"/>
    <s v="Funchal WWTP"/>
    <s v="Madeira, 10 locations"/>
    <n v="0.70833333333333337"/>
    <s v="Instituto Superior Tecnico"/>
    <s v="Tom"/>
    <n v="2942611501"/>
    <s v="Tom"/>
    <s v="PRG250828006315"/>
    <s v="0082_WWI_00003_N7B_01"/>
    <s v="YES"/>
    <s v="N"/>
    <m/>
    <s v="parcel 15"/>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44"/>
    <s v="3rd-party-sample-UPS"/>
    <n v="1"/>
    <d v="2025-09-03T00:00:00"/>
    <x v="55"/>
    <n v="36"/>
    <s v="25-09"/>
    <x v="12"/>
    <s v="Funchal WWTP"/>
    <s v="Madeira, 10 locations"/>
    <n v="0.70833333333333337"/>
    <s v="Instituto Superior Tecnico"/>
    <s v="Tom"/>
    <n v="1794477591"/>
    <m/>
    <m/>
    <s v="0082_WWI_00006_V3C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45"/>
    <s v="3rd-party-sample-UPS"/>
    <n v="1"/>
    <d v="2025-09-17T00:00:00"/>
    <x v="56"/>
    <n v="38"/>
    <s v="25-09"/>
    <x v="12"/>
    <s v="Funchal WWTP"/>
    <s v="Madeira, 10 locations"/>
    <n v="0.70833333333333337"/>
    <s v="Instituto Superior Tecnico"/>
    <s v="Tom"/>
    <n v="5988527355"/>
    <m/>
    <s v="LET OP: collection voor 47 dozen"/>
    <s v="0082_WWI_00008_W3K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4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4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4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4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5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5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52"/>
    <s v="3rd-party-sample-UPS"/>
    <n v="1"/>
    <d v="2025-08-13T00:00:00"/>
    <x v="47"/>
    <n v="33"/>
    <s v="25-08"/>
    <x v="12"/>
    <s v="Funchal WWTP"/>
    <s v="Madeira, 10 locations"/>
    <n v="0.70833333333333337"/>
    <s v="Instituto Superior Tecnico"/>
    <s v="Tom"/>
    <n v="6623801074"/>
    <s v="Tom"/>
    <m/>
    <s v="0082_WWI_00001_V3C_01"/>
    <s v="YES"/>
    <s v="y"/>
    <m/>
    <s v="Waybill 16"/>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53"/>
    <s v="3rd-party-sample-UPS"/>
    <n v="1"/>
    <d v="2025-08-27T00:00:00"/>
    <x v="63"/>
    <n v="35"/>
    <s v="25-08"/>
    <x v="12"/>
    <s v="Funchal WWTP"/>
    <s v="Madeira, 10 locations"/>
    <n v="0.70833333333333337"/>
    <s v="Instituto Superior Tecnico"/>
    <s v="Tom"/>
    <n v="2942611501"/>
    <s v="Tom"/>
    <s v="PRG250828006315"/>
    <s v="0082_WWI_00003_X1J_01"/>
    <s v="YES"/>
    <s v="N"/>
    <m/>
    <s v="parcel 16"/>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54"/>
    <s v="3rd-party-sample-UPS"/>
    <n v="1"/>
    <d v="2025-09-03T00:00:00"/>
    <x v="55"/>
    <n v="36"/>
    <s v="25-09"/>
    <x v="12"/>
    <s v="Funchal WWTP"/>
    <s v="Madeira, 10 locations"/>
    <n v="0.70833333333333337"/>
    <s v="Instituto Superior Tecnico"/>
    <s v="Tom"/>
    <n v="1794477591"/>
    <m/>
    <m/>
    <s v="0082_WWI_00005_V3C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55"/>
    <s v="3rd-party-sample-UPS"/>
    <n v="1"/>
    <d v="2025-09-17T00:00:00"/>
    <x v="56"/>
    <n v="38"/>
    <s v="25-09"/>
    <x v="12"/>
    <s v="Funchal WWTP"/>
    <s v="Madeira, 10 locations"/>
    <n v="0.70833333333333337"/>
    <s v="Instituto Superior Tecnico"/>
    <s v="Tom"/>
    <n v="5988527355"/>
    <m/>
    <s v="LET OP: collection voor 47 dozen"/>
    <s v="0082_WWI_00007_W3K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5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5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5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5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6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6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62"/>
    <s v="3rd-party-sample-UPS"/>
    <n v="1"/>
    <d v="2025-08-13T00:00:00"/>
    <x v="47"/>
    <n v="33"/>
    <s v="25-08"/>
    <x v="12"/>
    <s v="Funchal WWTP"/>
    <s v="Madeira, 10 locations"/>
    <n v="0.70833333333333337"/>
    <s v="Instituto Superior Tecnico"/>
    <s v="Tom"/>
    <n v="6623801074"/>
    <s v="Tom"/>
    <m/>
    <s v="0082_WWI_00001_D5P_01"/>
    <s v="YES"/>
    <s v="y"/>
    <m/>
    <s v="Waybill 17"/>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63"/>
    <s v="3rd-party-sample-UPS"/>
    <n v="1"/>
    <d v="2025-08-27T00:00:00"/>
    <x v="63"/>
    <n v="35"/>
    <s v="25-08"/>
    <x v="12"/>
    <s v="Funchal WWTP"/>
    <s v="Madeira, 10 locations"/>
    <n v="0.70833333333333337"/>
    <s v="Instituto Superior Tecnico"/>
    <s v="Tom"/>
    <n v="2942611501"/>
    <s v="Tom"/>
    <s v="PRG250828006315"/>
    <s v="0082_WWI_00004_X1J_01"/>
    <s v="YES"/>
    <s v="N"/>
    <m/>
    <s v="parcel 17"/>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64"/>
    <s v="3rd-party-sample-UPS"/>
    <n v="1"/>
    <d v="2025-09-03T00:00:00"/>
    <x v="55"/>
    <n v="36"/>
    <s v="25-09"/>
    <x v="12"/>
    <s v="Funchal WWTP"/>
    <s v="Madeira, 10 locations"/>
    <n v="0.70833333333333337"/>
    <s v="Instituto Superior Tecnico"/>
    <s v="Tom"/>
    <n v="1794477591"/>
    <m/>
    <m/>
    <s v="0082_WWI_00005_N7B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65"/>
    <s v="3rd-party-sample-UPS"/>
    <n v="1"/>
    <d v="2025-09-17T00:00:00"/>
    <x v="56"/>
    <n v="38"/>
    <s v="25-09"/>
    <x v="12"/>
    <s v="Funchal WWTP"/>
    <s v="Madeira, 10 locations"/>
    <n v="0.70833333333333337"/>
    <s v="Instituto Superior Tecnico"/>
    <s v="Tom"/>
    <n v="5988527355"/>
    <m/>
    <s v="LET OP: collection voor 47 dozen"/>
    <s v="0082_WWI_00007_N9G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6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6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6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6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7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7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72"/>
    <s v="3rd-party-sample-UPS"/>
    <n v="1"/>
    <d v="2025-08-13T00:00:00"/>
    <x v="47"/>
    <n v="33"/>
    <s v="25-08"/>
    <x v="12"/>
    <s v="Funchal WWTP"/>
    <s v="Madeira, 10 locations"/>
    <n v="0.70833333333333337"/>
    <s v="Instituto Superior Tecnico"/>
    <s v="Tom"/>
    <n v="6623801074"/>
    <s v="Tom"/>
    <m/>
    <s v="0082_WWI_00001_N9G_01"/>
    <s v="YES"/>
    <s v="y"/>
    <m/>
    <s v="Waybill 18"/>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73"/>
    <s v="3rd-party-sample-UPS"/>
    <n v="1"/>
    <d v="2025-08-27T00:00:00"/>
    <x v="63"/>
    <n v="35"/>
    <s v="25-08"/>
    <x v="12"/>
    <s v="Funchal WWTP"/>
    <s v="Madeira, 10 locations"/>
    <n v="0.70833333333333337"/>
    <s v="Instituto Superior Tecnico"/>
    <s v="Tom"/>
    <n v="2942611501"/>
    <s v="Tom"/>
    <s v="PRG250828006315"/>
    <s v="0082_WWI_00003_W3K_01"/>
    <s v="YES"/>
    <s v="N"/>
    <m/>
    <s v="parcel 18"/>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74"/>
    <s v="3rd-party-sample-UPS"/>
    <n v="1"/>
    <d v="2025-09-03T00:00:00"/>
    <x v="55"/>
    <n v="36"/>
    <s v="25-09"/>
    <x v="12"/>
    <s v="Funchal WWTP"/>
    <s v="Madeira, 10 locations"/>
    <n v="0.70833333333333337"/>
    <s v="Instituto Superior Tecnico"/>
    <s v="Tom"/>
    <n v="1794477591"/>
    <m/>
    <m/>
    <s v="0082_WWI_00006_C2M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75"/>
    <s v="3rd-party-sample-UPS"/>
    <n v="1"/>
    <d v="2025-09-17T00:00:00"/>
    <x v="56"/>
    <n v="38"/>
    <s v="25-09"/>
    <x v="12"/>
    <s v="Funchal WWTP"/>
    <s v="Madeira, 10 locations"/>
    <n v="0.70833333333333337"/>
    <s v="Instituto Superior Tecnico"/>
    <s v="Tom"/>
    <n v="5988527355"/>
    <m/>
    <s v="LET OP: collection voor 47 dozen"/>
    <s v="0082_WWI_00008_N9G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7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7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7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7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8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8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82"/>
    <s v="3rd-party-sample-UPS"/>
    <n v="1"/>
    <d v="2025-08-13T00:00:00"/>
    <x v="47"/>
    <n v="33"/>
    <s v="25-08"/>
    <x v="12"/>
    <s v="Funchal WWTP"/>
    <s v="Madeira, 10 locations"/>
    <n v="0.70833333333333337"/>
    <s v="Instituto Superior Tecnico"/>
    <s v="Tom"/>
    <n v="6623801074"/>
    <s v="Tom"/>
    <m/>
    <s v="0082_WWI_00001_S3N_01"/>
    <s v="YES"/>
    <s v="y"/>
    <m/>
    <s v="Waybill 19"/>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83"/>
    <s v="3rd-party-sample-UPS"/>
    <n v="1"/>
    <d v="2025-08-27T00:00:00"/>
    <x v="63"/>
    <n v="35"/>
    <s v="25-08"/>
    <x v="12"/>
    <s v="Funchal WWTP"/>
    <s v="Madeira, 10 locations"/>
    <n v="0.70833333333333337"/>
    <s v="Instituto Superior Tecnico"/>
    <s v="Tom"/>
    <n v="2942611501"/>
    <s v="Tom"/>
    <s v="PRG250828006315"/>
    <s v="0082_WWI_00004_W3K_01"/>
    <s v="YES"/>
    <s v="N"/>
    <m/>
    <s v="parcel 19"/>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84"/>
    <s v="3rd-party-sample-UPS"/>
    <n v="1"/>
    <d v="2025-09-03T00:00:00"/>
    <x v="55"/>
    <n v="36"/>
    <s v="25-09"/>
    <x v="12"/>
    <s v="Funchal WWTP"/>
    <s v="Madeira, 10 locations"/>
    <n v="0.70833333333333337"/>
    <s v="Instituto Superior Tecnico"/>
    <s v="Tom"/>
    <n v="1794477591"/>
    <m/>
    <m/>
    <s v="0082_WWI_00006_N7B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85"/>
    <s v="3rd-party-sample-UPS"/>
    <n v="1"/>
    <d v="2025-09-17T00:00:00"/>
    <x v="56"/>
    <n v="38"/>
    <s v="25-09"/>
    <x v="12"/>
    <s v="Funchal WWTP"/>
    <s v="Madeira, 10 locations"/>
    <n v="0.70833333333333337"/>
    <s v="Instituto Superior Tecnico"/>
    <s v="Tom"/>
    <n v="5988527355"/>
    <m/>
    <s v="LET OP: collection voor 47 dozen"/>
    <s v="0082_WWI_00007_N9G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8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87"/>
    <s v="3rd-party-sample-UPS"/>
    <n v="1"/>
    <d v="2025-10-22T00:00:00"/>
    <x v="58"/>
    <n v="43"/>
    <s v="25-10"/>
    <x v="12"/>
    <s v="Funchal WWTP"/>
    <s v="Madeira, 10 locations"/>
    <n v="0.70833333333333337"/>
    <s v="Instituto Superior Tecnico"/>
    <s v="Tom"/>
    <s v="18 0049 517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8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8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9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9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92"/>
    <s v="3rd-party-sample-UPS"/>
    <n v="1"/>
    <d v="2025-08-13T00:00:00"/>
    <x v="47"/>
    <n v="33"/>
    <s v="25-08"/>
    <x v="12"/>
    <s v="Funchal WWTP"/>
    <s v="Madeira, 10 locations"/>
    <n v="0.70833333333333337"/>
    <s v="Instituto Superior Tecnico"/>
    <s v="Tom"/>
    <n v="6623801074"/>
    <s v="Tom"/>
    <m/>
    <s v="0082_WWI_00001_W3K_01"/>
    <s v="YES"/>
    <s v="y"/>
    <m/>
    <s v="Waybill 20"/>
    <s v="2025_08_13"/>
    <s v="Funchal"/>
    <s v="Portugal"/>
    <n v="31"/>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93"/>
    <s v="3rd-party-sample-UPS"/>
    <n v="1"/>
    <d v="2025-08-27T00:00:00"/>
    <x v="63"/>
    <n v="35"/>
    <s v="25-08"/>
    <x v="12"/>
    <s v="Funchal WWTP"/>
    <s v="Madeira, 10 locations"/>
    <n v="0.70833333333333337"/>
    <s v="Instituto Superior Tecnico"/>
    <s v="Tom"/>
    <n v="2942611501"/>
    <s v="Tom"/>
    <s v="PRG250828006315"/>
    <s v="0082_WWI_00003_V3C_01"/>
    <s v="YES"/>
    <s v="N"/>
    <m/>
    <s v="parcel 20"/>
    <s v="2025_08_27"/>
    <s v="Funchal"/>
    <s v="Portugal"/>
    <n v="33"/>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94"/>
    <s v="3rd-party-sample-UPS"/>
    <n v="1"/>
    <d v="2025-09-03T00:00:00"/>
    <x v="55"/>
    <n v="36"/>
    <s v="25-09"/>
    <x v="12"/>
    <s v="Funchal WWTP"/>
    <s v="Madeira, 10 locations"/>
    <n v="0.70833333333333337"/>
    <s v="Instituto Superior Tecnico"/>
    <s v="Tom"/>
    <n v="1794477591"/>
    <m/>
    <m/>
    <s v="0082_WWI_00005_D5P_01"/>
    <s v="YES"/>
    <s v="y"/>
    <m/>
    <m/>
    <s v="2025_09_03"/>
    <s v="Funchal"/>
    <s v="Portugal"/>
    <n v="34"/>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95"/>
    <s v="3rd-party-sample-UPS"/>
    <n v="1"/>
    <d v="2025-09-17T00:00:00"/>
    <x v="56"/>
    <n v="38"/>
    <s v="25-09"/>
    <x v="12"/>
    <s v="Funchal WWTP"/>
    <s v="Madeira, 10 locations"/>
    <n v="0.70833333333333337"/>
    <s v="Instituto Superior Tecnico"/>
    <s v="Tom"/>
    <n v="5988527355"/>
    <m/>
    <s v="LET OP: collection voor 47 dozen"/>
    <s v="0082_WWI_00007_V3C_01"/>
    <s v="YES"/>
    <s v="y"/>
    <m/>
    <m/>
    <s v="2025_09_17"/>
    <s v="Funchal"/>
    <s v="Portugal"/>
    <n v="36"/>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96"/>
    <s v="3rd-party-sample-UPS"/>
    <n v="1"/>
    <d v="2025-10-08T00:00:00"/>
    <x v="57"/>
    <n v="41"/>
    <s v="25-10"/>
    <x v="12"/>
    <s v="Funchal WWTP"/>
    <s v="Madeira, 10 locations"/>
    <n v="0.70833333333333337"/>
    <s v="Instituto Superior Tecnico"/>
    <s v="Tom"/>
    <n v="7014743444"/>
    <s v="Tom"/>
    <s v="PRG251009012088"/>
    <m/>
    <s v="NO"/>
    <s v="y"/>
    <m/>
    <m/>
    <s v="2025_10_08"/>
    <s v="Funchal"/>
    <s v="Portugal"/>
    <n v="39"/>
    <s v="R. do Matadouro 4, Funchal, 9050-100, Portugal"/>
    <s v="Av. Rovisco Pais 1, Laboratorio de Analises de Agua, Lisbon, 1049-001, Portugal"/>
    <n v="89"/>
    <s v="Pick-up service of hypothetic package as defined in the Tech. Specs. and delivery to lots_x000a_2 and 3 contractors according to Scenario 1"/>
    <s v="YES"/>
    <s v="EUEU"/>
  </r>
  <r>
    <n v="497"/>
    <s v="3rd-party-sample-UPS"/>
    <n v="1"/>
    <d v="2025-10-22T00:00:00"/>
    <x v="58"/>
    <n v="43"/>
    <s v="25-10"/>
    <x v="12"/>
    <s v="Funchal WWTP"/>
    <s v="Madeira, 10 locations"/>
    <n v="0.70833333333333337"/>
    <s v="Instituto Superior Tecnico"/>
    <s v="Tom"/>
    <n v="1094957614"/>
    <m/>
    <m/>
    <m/>
    <s v="YES"/>
    <m/>
    <m/>
    <m/>
    <s v="2025_10_22"/>
    <s v="Funchal"/>
    <s v="Portugal"/>
    <n v="41"/>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98"/>
    <s v="3rd-party-sample-UPS"/>
    <n v="1"/>
    <d v="2025-11-05T00:00:00"/>
    <x v="59"/>
    <n v="45"/>
    <s v="25-11"/>
    <x v="12"/>
    <s v="Funchal WWTP"/>
    <s v="Madeira, 10 locations"/>
    <n v="0.70833333333333337"/>
    <s v="Instituto Superior Tecnico"/>
    <s v="Tom"/>
    <n v="1010383780"/>
    <m/>
    <m/>
    <m/>
    <s v="YES"/>
    <m/>
    <m/>
    <m/>
    <s v="2025_11_05"/>
    <s v="Funchal"/>
    <s v="Portugal"/>
    <n v="43"/>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499"/>
    <s v="3rd-party-sample-UPS"/>
    <n v="1"/>
    <d v="2025-11-19T00:00:00"/>
    <x v="60"/>
    <n v="47"/>
    <s v="25-11"/>
    <x v="12"/>
    <s v="Funchal WWTP"/>
    <s v="Madeira, 10 locations"/>
    <n v="0.70833333333333337"/>
    <s v="Instituto Superior Tecnico"/>
    <m/>
    <m/>
    <m/>
    <m/>
    <m/>
    <s v="NO"/>
    <m/>
    <m/>
    <m/>
    <s v="2025_11_19"/>
    <s v="Funchal"/>
    <s v="Portugal"/>
    <n v="45"/>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500"/>
    <s v="3rd-party-sample-UPS"/>
    <n v="1"/>
    <d v="2025-12-03T00:00:00"/>
    <x v="61"/>
    <n v="49"/>
    <s v="25-12"/>
    <x v="12"/>
    <s v="Funchal WWTP"/>
    <s v="Madeira, 10 locations"/>
    <n v="0.70833333333333337"/>
    <s v="Instituto Superior Tecnico"/>
    <m/>
    <m/>
    <m/>
    <m/>
    <m/>
    <s v="NO"/>
    <m/>
    <m/>
    <m/>
    <s v="2025_12_03"/>
    <s v="Funchal"/>
    <s v="Portugal"/>
    <n v="47"/>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501"/>
    <s v="3rd-party-sample-UPS"/>
    <n v="1"/>
    <d v="2025-12-17T00:00:00"/>
    <x v="62"/>
    <n v="51"/>
    <s v="25-12"/>
    <x v="12"/>
    <s v="Funchal WWTP"/>
    <s v="Madeira, 10 locations"/>
    <n v="0.70833333333333337"/>
    <s v="Instituto Superior Tecnico"/>
    <m/>
    <m/>
    <m/>
    <m/>
    <m/>
    <s v="NO"/>
    <m/>
    <m/>
    <m/>
    <s v="2025_12_17"/>
    <s v="Funchal"/>
    <s v="Portugal"/>
    <n v="49"/>
    <s v="R. do Matadouro 4, Funchal, 9050-100, Portugal"/>
    <s v="Av. Rovisco Pais 1, Laboratorio de Analises de Agua, Lisbon, 1049-001, Portugal"/>
    <n v="89"/>
    <s v="Pick-up service of hypothetic package as defined in the Tech. Specs. and delivery to lots_x000a_2 and 3 contractors according to Scenario 1"/>
    <s v="NO"/>
    <s v="EUEU"/>
  </r>
  <r>
    <n v="502"/>
    <s v="3rd-party-sample-UPS"/>
    <n v="1"/>
    <d v="2025-08-18T00:00:00"/>
    <x v="54"/>
    <n v="34"/>
    <s v="25-08"/>
    <x v="13"/>
    <s v="Uppsala WWTP"/>
    <s v="-"/>
    <n v="0.58333333333333337"/>
    <s v="Instituto Superior Tecnico"/>
    <s v="Tom"/>
    <s v="1ZRJ76798634440520"/>
    <s v="Tom"/>
    <s v="29H7RFRK2GS"/>
    <s v="0082_WWI_00001_L3F_01"/>
    <s v="YES"/>
    <s v="y"/>
    <m/>
    <m/>
    <s v="2025_08_18"/>
    <s v="Uppsala"/>
    <s v="Sweden"/>
    <n v="32"/>
    <s v="Gerda Nilssons väg 5, Uppsala, 756 51, Sweden"/>
    <s v="Av. Rovisco Pais 1, Laboratorio de Analises de Agua, Lisbon, 1049-001, Portugal"/>
    <n v="89"/>
    <s v="Pick-up service of hypothetic package as defined in the Tech. Specs. and delivery to lots_x000a_2 and 3 contractors according to Scenario 1"/>
    <s v="YES"/>
    <s v="EUEU"/>
  </r>
  <r>
    <n v="503"/>
    <s v="3rd-party-sample-UPS"/>
    <n v="1"/>
    <d v="2025-09-01T00:00:00"/>
    <x v="55"/>
    <n v="36"/>
    <s v="25-09"/>
    <x v="13"/>
    <s v="Uppsala WWTP"/>
    <s v="-"/>
    <n v="0.58333333333333337"/>
    <s v="Instituto Superior Tecnico"/>
    <s v="Tom"/>
    <s v="1ZRJ76798635038204"/>
    <s v="Tom"/>
    <s v="29C891573EP"/>
    <s v="0082_WWI_00002_L3F_01"/>
    <s v="YES"/>
    <s v="y"/>
    <m/>
    <m/>
    <s v="2025_09_01"/>
    <s v="Uppsala"/>
    <s v="Sweden"/>
    <n v="34"/>
    <s v="Gerda Nilssons väg 5, Uppsala, 756 51, Sweden"/>
    <s v="Av. Rovisco Pais 1, Laboratorio de Analises de Agua, Lisbon, 1049-001, Portugal"/>
    <n v="89"/>
    <s v="Pick-up service of hypothetic package as defined in the Tech. Specs. and delivery to lots_x000a_2 and 3 contractors according to Scenario 1"/>
    <s v="YES"/>
    <s v="EUEU"/>
  </r>
  <r>
    <n v="504"/>
    <s v="3rd-party-sample-UPS"/>
    <n v="1"/>
    <d v="2025-09-15T00:00:00"/>
    <x v="56"/>
    <n v="38"/>
    <s v="25-09"/>
    <x v="13"/>
    <s v="Uppsala WWTP"/>
    <s v="-"/>
    <n v="0.58333333333333337"/>
    <s v="Instituto Superior Tecnico"/>
    <s v="Tom"/>
    <s v="1ZRJ76798633915822"/>
    <s v="Jason"/>
    <s v="29XMG3JAC6P"/>
    <s v="0082_WWI_00003_L3F_01"/>
    <s v="YES"/>
    <s v="y"/>
    <m/>
    <m/>
    <s v="2025_09_15"/>
    <s v="Uppsala"/>
    <s v="Sweden"/>
    <n v="36"/>
    <s v="Gerda Nilssons väg 5, Uppsala, 756 51, Sweden"/>
    <s v="Av. Rovisco Pais 1, Laboratorio de Analises de Agua, Lisbon, 1049-001, Portugal"/>
    <n v="89"/>
    <s v="Pick-up service of hypothetic package as defined in the Tech. Specs. and delivery to lots_x000a_2 and 3 contractors according to Scenario 1"/>
    <s v="YES"/>
    <s v="EUEU"/>
  </r>
  <r>
    <n v="505"/>
    <s v="3rd-party-sample-UPS"/>
    <n v="1"/>
    <d v="2025-10-06T00:00:00"/>
    <x v="57"/>
    <n v="41"/>
    <s v="25-10"/>
    <x v="13"/>
    <s v="Uppsala WWTP"/>
    <s v="-"/>
    <n v="0.58333333333333337"/>
    <s v="Instituto Superior Tecnico"/>
    <s v="Remco"/>
    <s v="1ZRJ76798630353364"/>
    <s v="Tom"/>
    <s v="29BNDB3SEI2"/>
    <s v="0082_WWI_00004_L3F_01"/>
    <s v="YES"/>
    <s v="y"/>
    <m/>
    <m/>
    <s v="2025_10_06"/>
    <s v="Uppsala"/>
    <s v="Sweden"/>
    <n v="39"/>
    <s v="Gerda Nilssons väg 5, Uppsala, 756 51, Sweden"/>
    <s v="Av. Rovisco Pais 1, Laboratorio de Analises de Agua, Lisbon, 1049-001, Portugal"/>
    <n v="89"/>
    <s v="Pick-up service of hypothetic package as defined in the Tech. Specs. and delivery to lots_x000a_2 and 3 contractors according to Scenario 1"/>
    <s v="YES"/>
    <s v="EUEU"/>
  </r>
  <r>
    <n v="506"/>
    <s v="3rd-party-sample-UPS"/>
    <n v="1"/>
    <d v="2025-10-20T00:00:00"/>
    <x v="58"/>
    <n v="43"/>
    <s v="25-10"/>
    <x v="13"/>
    <s v="Uppsala WWTP"/>
    <s v="-"/>
    <n v="0.58333333333333337"/>
    <s v="Instituto Superior Tecnico"/>
    <s v="Tom"/>
    <s v="1ZRJ76798605886872"/>
    <m/>
    <m/>
    <m/>
    <s v="YES"/>
    <m/>
    <m/>
    <m/>
    <s v="2025_10_20"/>
    <s v="Uppsala"/>
    <s v="Sweden"/>
    <n v="41"/>
    <s v="Gerda Nilssons väg 5, Uppsala, 756 51, Sweden"/>
    <s v="Av. Rovisco Pais 1, Laboratorio de Analises de Agua, Lisbon, 1049-001, Portugal"/>
    <n v="89"/>
    <s v="Pick-up service of hypothetic package as defined in the Tech. Specs. and delivery to lots_x000a_2 and 3 contractors according to Scenario 1"/>
    <s v="YES"/>
    <s v="EUEU"/>
  </r>
  <r>
    <n v="507"/>
    <s v="3rd-party-sample-UPS"/>
    <n v="1"/>
    <d v="2025-11-03T00:00:00"/>
    <x v="59"/>
    <n v="45"/>
    <s v="25-11"/>
    <x v="13"/>
    <s v="Uppsala WWTP"/>
    <s v="-"/>
    <n v="0.58333333333333337"/>
    <m/>
    <s v="Remco"/>
    <s v="1ZRJ73868630509536"/>
    <m/>
    <m/>
    <m/>
    <s v="YES"/>
    <m/>
    <m/>
    <m/>
    <s v="2025_11_03"/>
    <s v="Uppsala"/>
    <s v="Sweden"/>
    <n v="43"/>
    <s v="Gerda Nilssons väg 5, Uppsala, 756 51, Sweden"/>
    <n v="0"/>
    <s v=""/>
    <s v=""/>
    <s v="NO"/>
    <s v="EU"/>
  </r>
  <r>
    <n v="508"/>
    <s v="3rd-party-sample-UPS"/>
    <n v="1"/>
    <d v="2025-11-17T00:00:00"/>
    <x v="60"/>
    <n v="47"/>
    <s v="25-11"/>
    <x v="13"/>
    <s v="Uppsala WWTP"/>
    <s v="-"/>
    <n v="0.58333333333333337"/>
    <m/>
    <m/>
    <m/>
    <m/>
    <m/>
    <m/>
    <s v="NO"/>
    <m/>
    <m/>
    <m/>
    <s v="2025_11_17"/>
    <s v="Uppsala"/>
    <s v="Sweden"/>
    <n v="45"/>
    <s v="Gerda Nilssons väg 5, Uppsala, 756 51, Sweden"/>
    <n v="0"/>
    <s v=""/>
    <s v=""/>
    <s v="NO"/>
    <s v="NO"/>
  </r>
  <r>
    <n v="509"/>
    <s v="3rd-party-sample-UPS"/>
    <n v="1"/>
    <d v="2025-12-01T00:00:00"/>
    <x v="61"/>
    <n v="49"/>
    <s v="25-12"/>
    <x v="13"/>
    <s v="Uppsala WWTP"/>
    <s v="-"/>
    <n v="0.58333333333333337"/>
    <m/>
    <m/>
    <m/>
    <m/>
    <m/>
    <m/>
    <s v="NO"/>
    <m/>
    <m/>
    <m/>
    <s v="2025_12_01"/>
    <s v="Uppsala"/>
    <s v="Sweden"/>
    <n v="47"/>
    <s v="Gerda Nilssons väg 5, Uppsala, 756 51, Sweden"/>
    <n v="0"/>
    <s v=""/>
    <s v=""/>
    <s v="NO"/>
    <s v="NO"/>
  </r>
  <r>
    <n v="510"/>
    <s v="3rd-party-sample-UPS"/>
    <n v="1"/>
    <d v="2025-12-15T00:00:00"/>
    <x v="62"/>
    <n v="51"/>
    <s v="25-12"/>
    <x v="13"/>
    <s v="Uppsala WWTP"/>
    <s v="-"/>
    <n v="0.58333333333333337"/>
    <m/>
    <m/>
    <m/>
    <m/>
    <m/>
    <m/>
    <s v="NO"/>
    <m/>
    <m/>
    <m/>
    <s v="2025_12_15"/>
    <s v="Uppsala"/>
    <s v="Sweden"/>
    <n v="49"/>
    <s v="Gerda Nilssons väg 5, Uppsala, 756 51, Sweden"/>
    <n v="0"/>
    <s v=""/>
    <s v=""/>
    <s v="NO"/>
    <s v="NO"/>
  </r>
  <r>
    <n v="511"/>
    <s v="3rd-party-sample-UPS"/>
    <n v="1"/>
    <d v="2025-08-19T00:00:00"/>
    <x v="37"/>
    <n v="34"/>
    <s v="25-08"/>
    <x v="14"/>
    <s v="Cluj-SCBI"/>
    <s v="-"/>
    <n v="0.66666666666666663"/>
    <s v="Instituto Superior Tecnico"/>
    <s v="Tom"/>
    <s v="1ZRJ76798629448881"/>
    <s v="Tom"/>
    <s v="2997RLRPCRP"/>
    <s v="0082_WWI_00001_J8V_01"/>
    <s v="YES"/>
    <s v="y"/>
    <m/>
    <m/>
    <s v="2025_08_19"/>
    <s v="Cluj-SCBI"/>
    <s v="Romania"/>
    <n v="32"/>
    <s v="Strada Iuliu Moldovan 23, Cluj-Napoca, 400003, Romania"/>
    <s v="Av. Rovisco Pais 1, Laboratorio de Analises de Agua, Lisbon, 1049-001, Portugal"/>
    <n v="89"/>
    <s v="Pick-up service of hypothetic package as defined in the Tech. Specs. and delivery to lots_x000a_2 and 3 contractors according to Scenario 1"/>
    <s v="YES"/>
    <s v="EUEU"/>
  </r>
  <r>
    <n v="512"/>
    <s v="3rd-party-sample-UPS"/>
    <n v="1"/>
    <d v="2025-09-02T00:00:00"/>
    <x v="3"/>
    <n v="36"/>
    <s v="25-09"/>
    <x v="14"/>
    <s v="Cluj-SCBI"/>
    <s v="-"/>
    <n v="0.66666666666666663"/>
    <s v="Instituto Superior Tecnico"/>
    <s v="Tom"/>
    <s v="1ZRJ76798601920304"/>
    <s v="Tom"/>
    <s v="294M32NHI1A"/>
    <s v="0082_WWI_00002_J8V_01"/>
    <s v="YES"/>
    <s v="y"/>
    <m/>
    <m/>
    <s v="2025_09_02"/>
    <s v="Cluj-SCBI"/>
    <s v="Romania"/>
    <n v="34"/>
    <s v="Strada Iuliu Moldovan 23, Cluj-Napoca, 400003, Romania"/>
    <s v="Av. Rovisco Pais 1, Laboratorio de Analises de Agua, Lisbon, 1049-001, Portugal"/>
    <n v="89"/>
    <s v="Pick-up service of hypothetic package as defined in the Tech. Specs. and delivery to lots_x000a_2 and 3 contractors according to Scenario 1"/>
    <s v="YES"/>
    <s v="EUEU"/>
  </r>
  <r>
    <n v="513"/>
    <s v="3rd-party-sample-UPS"/>
    <n v="1"/>
    <d v="2025-09-16T00:00:00"/>
    <x v="38"/>
    <n v="38"/>
    <s v="25-09"/>
    <x v="14"/>
    <s v="Cluj-SCBI"/>
    <s v="-"/>
    <n v="0.66666666666666663"/>
    <s v="Instituto Superior Tecnico"/>
    <s v="Tom"/>
    <s v="1ZRJ76798621348459"/>
    <s v="Jason"/>
    <s v="29Q8ME7L66N"/>
    <s v="0082_WWI_00003_R6D_06"/>
    <s v="YES"/>
    <s v="y"/>
    <m/>
    <m/>
    <s v="2025_09_16"/>
    <s v="Cluj-SCBI"/>
    <s v="Romania"/>
    <n v="36"/>
    <s v="Strada Iuliu Moldovan 23, Cluj-Napoca, 400003, Romania"/>
    <s v="Av. Rovisco Pais 1, Laboratorio de Analises de Agua, Lisbon, 1049-001, Portugal"/>
    <n v="89"/>
    <s v="Pick-up service of hypothetic package as defined in the Tech. Specs. and delivery to lots_x000a_2 and 3 contractors according to Scenario 1"/>
    <s v="YES"/>
    <s v="EUEU"/>
  </r>
  <r>
    <n v="514"/>
    <s v="3rd-party-sample-UPS"/>
    <n v="1"/>
    <d v="2025-10-07T00:00:00"/>
    <x v="39"/>
    <n v="41"/>
    <s v="25-10"/>
    <x v="14"/>
    <s v="Cluj-SCBI"/>
    <s v="-"/>
    <n v="0.66666666666666663"/>
    <s v="Instituto Superior Tecnico"/>
    <s v="Remco"/>
    <s v="1ZRJ76798606848545"/>
    <s v="Tom"/>
    <s v="292NC4HRIPB"/>
    <s v="0082_WWI_00004_J8V_07"/>
    <s v="YES"/>
    <s v="y"/>
    <m/>
    <m/>
    <s v="2025_10_07"/>
    <s v="Cluj-SCBI"/>
    <s v="Romania"/>
    <n v="39"/>
    <s v="Strada Iuliu Moldovan 23, Cluj-Napoca, 400003, Romania"/>
    <s v="Av. Rovisco Pais 1, Laboratorio de Analises de Agua, Lisbon, 1049-001, Portugal"/>
    <n v="89"/>
    <s v="Pick-up service of hypothetic package as defined in the Tech. Specs. and delivery to lots_x000a_2 and 3 contractors according to Scenario 1"/>
    <s v="YES"/>
    <s v="EUEU"/>
  </r>
  <r>
    <n v="515"/>
    <s v="3rd-party-sample-UPS"/>
    <n v="1"/>
    <d v="2025-10-21T00:00:00"/>
    <x v="40"/>
    <n v="43"/>
    <s v="25-10"/>
    <x v="14"/>
    <s v="Cluj-SCBI"/>
    <s v="-"/>
    <n v="0.66666666666666663"/>
    <s v="Instituto Superior Tecnico"/>
    <s v="Tom"/>
    <s v="1ZRJ76798628716075"/>
    <m/>
    <m/>
    <m/>
    <s v="YES"/>
    <m/>
    <m/>
    <m/>
    <s v="2025_10_21"/>
    <s v="Cluj-SCBI"/>
    <s v="Romania"/>
    <n v="41"/>
    <s v="Strada Iuliu Moldovan 23, Cluj-Napoca, 400003, Romania"/>
    <s v="Av. Rovisco Pais 1, Laboratorio de Analises de Agua, Lisbon, 1049-001, Portugal"/>
    <n v="89"/>
    <s v="Pick-up service of hypothetic package as defined in the Tech. Specs. and delivery to lots_x000a_2 and 3 contractors according to Scenario 1"/>
    <s v="YES"/>
    <s v="EUEU"/>
  </r>
  <r>
    <n v="516"/>
    <s v="3rd-party-sample-UPS"/>
    <n v="1"/>
    <d v="2025-11-04T00:00:00"/>
    <x v="41"/>
    <n v="45"/>
    <s v="25-11"/>
    <x v="14"/>
    <s v="Cluj-SCBI"/>
    <s v="-"/>
    <n v="0.66666666666666663"/>
    <s v="Instituto Superior Tecnico"/>
    <s v="Jason"/>
    <s v="1ZRJ73868611107087"/>
    <m/>
    <m/>
    <m/>
    <s v="YES"/>
    <m/>
    <m/>
    <m/>
    <s v="2025_11_04"/>
    <s v="Cluj-SCBI"/>
    <s v="Romania"/>
    <n v="43"/>
    <s v="Strada Iuliu Moldovan 23, Cluj-Napoca, 400003, Romania"/>
    <s v="Av. Rovisco Pais 1, Laboratorio de Analises de Agua, Lisbon, 1049-001, Portugal"/>
    <s v=""/>
    <s v=""/>
    <s v="NO"/>
    <s v="NO"/>
  </r>
  <r>
    <n v="517"/>
    <s v="3rd-party-sample-UPS"/>
    <n v="1"/>
    <d v="2025-11-18T00:00:00"/>
    <x v="42"/>
    <n v="47"/>
    <s v="25-11"/>
    <x v="14"/>
    <s v="Cluj-SCBI"/>
    <s v="-"/>
    <n v="0.66666666666666663"/>
    <m/>
    <m/>
    <m/>
    <m/>
    <m/>
    <m/>
    <s v="NO"/>
    <m/>
    <m/>
    <m/>
    <s v="2025_11_18"/>
    <s v="Cluj-SCBI"/>
    <s v="Romania"/>
    <n v="45"/>
    <s v="Strada Iuliu Moldovan 23, Cluj-Napoca, 400003, Romania"/>
    <n v="0"/>
    <s v=""/>
    <s v=""/>
    <s v="NO"/>
    <s v="NO"/>
  </r>
  <r>
    <n v="518"/>
    <s v="3rd-party-sample-UPS"/>
    <n v="1"/>
    <d v="2025-12-02T00:00:00"/>
    <x v="43"/>
    <n v="49"/>
    <s v="25-12"/>
    <x v="14"/>
    <s v="Cluj-SCBI"/>
    <s v="-"/>
    <n v="0.66666666666666663"/>
    <m/>
    <m/>
    <m/>
    <m/>
    <m/>
    <m/>
    <s v="NO"/>
    <m/>
    <m/>
    <m/>
    <s v="2025_12_02"/>
    <s v="Cluj-SCBI"/>
    <s v="Romania"/>
    <n v="47"/>
    <s v="Strada Iuliu Moldovan 23, Cluj-Napoca, 400003, Romania"/>
    <n v="0"/>
    <s v=""/>
    <s v=""/>
    <s v="NO"/>
    <s v="NO"/>
  </r>
  <r>
    <n v="519"/>
    <s v="3rd-party-sample-UPS"/>
    <n v="1"/>
    <d v="2025-12-16T00:00:00"/>
    <x v="44"/>
    <n v="51"/>
    <s v="25-12"/>
    <x v="14"/>
    <s v="Cluj-SCBI"/>
    <s v="-"/>
    <n v="0.66666666666666663"/>
    <m/>
    <m/>
    <m/>
    <m/>
    <m/>
    <m/>
    <s v="NO"/>
    <m/>
    <m/>
    <m/>
    <s v="2025_12_16"/>
    <s v="Cluj-SCBI"/>
    <s v="Romania"/>
    <n v="49"/>
    <s v="Strada Iuliu Moldovan 23, Cluj-Napoca, 400003, Romania"/>
    <n v="0"/>
    <s v=""/>
    <s v=""/>
    <s v="NO"/>
    <s v="NO"/>
  </r>
  <r>
    <n v="520"/>
    <s v="3rd-party-sample-UPS"/>
    <n v="1"/>
    <d v="2025-08-19T00:00:00"/>
    <x v="37"/>
    <n v="34"/>
    <s v="25-08"/>
    <x v="15"/>
    <s v="Cluj-MNC"/>
    <s v="-"/>
    <n v="0.66666666666666663"/>
    <s v="Instituto Superior Tecnico"/>
    <s v="Tom"/>
    <s v="1ZRJ76798628482096"/>
    <s v="Tom"/>
    <s v="2997RK9ISD4"/>
    <s v="0082_WWI-00001_R6D_01"/>
    <s v="YES"/>
    <s v="y"/>
    <m/>
    <m/>
    <s v="2025_08_19"/>
    <s v="Cluj-MNC"/>
    <s v="Romania"/>
    <n v="32"/>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YES"/>
    <s v="EUEU"/>
  </r>
  <r>
    <n v="521"/>
    <s v="3rd-party-sample-UPS"/>
    <n v="1"/>
    <d v="2025-09-02T00:00:00"/>
    <x v="3"/>
    <n v="36"/>
    <s v="25-09"/>
    <x v="15"/>
    <s v="Cluj-MNC"/>
    <s v="-"/>
    <n v="0.66666666666666663"/>
    <s v="Instituto Superior Tecnico"/>
    <s v="Tom"/>
    <s v="1ZRJ76798625981981"/>
    <s v="Tom"/>
    <s v="29VM36ORN69"/>
    <s v="0082_WWI_00002_R6D_01"/>
    <s v="YES"/>
    <s v="y"/>
    <m/>
    <m/>
    <s v="2025_09_02"/>
    <s v="Cluj-MNC"/>
    <s v="Romania"/>
    <n v="34"/>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YES"/>
    <s v="EUEU"/>
  </r>
  <r>
    <n v="522"/>
    <s v="3rd-party-sample-UPS"/>
    <n v="1"/>
    <d v="2025-09-16T00:00:00"/>
    <x v="38"/>
    <n v="38"/>
    <s v="25-09"/>
    <x v="15"/>
    <s v="Cluj-MNC"/>
    <s v="-"/>
    <n v="0.66666666666666663"/>
    <s v="Instituto Superior Tecnico"/>
    <s v="Tom"/>
    <s v="1ZRJ76798603998399"/>
    <s v="Jason"/>
    <s v="2988MKJISRS"/>
    <s v="0082_WWI_00003_J8V_06"/>
    <s v="YES"/>
    <s v="y"/>
    <m/>
    <m/>
    <s v="2025_09_16"/>
    <s v="Cluj-MNC"/>
    <s v="Romania"/>
    <n v="36"/>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YES"/>
    <s v="EUEU"/>
  </r>
  <r>
    <n v="523"/>
    <s v="3rd-party-sample-UPS"/>
    <n v="1"/>
    <d v="2025-10-07T00:00:00"/>
    <x v="39"/>
    <n v="41"/>
    <s v="25-10"/>
    <x v="15"/>
    <s v="Cluj-MNC"/>
    <s v="-"/>
    <n v="0.66666666666666663"/>
    <s v="Instituto Superior Tecnico"/>
    <s v="Remco"/>
    <s v="1ZRJ76798606270552"/>
    <s v="Tom"/>
    <s v="29FNC8G1F7K?"/>
    <s v="0082_WWI_00004_R6D_07"/>
    <s v="YES"/>
    <s v="y"/>
    <m/>
    <m/>
    <s v="2025_10_07"/>
    <s v="Cluj-MNC"/>
    <s v="Romania"/>
    <n v="39"/>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YES"/>
    <s v="EUEU"/>
  </r>
  <r>
    <n v="524"/>
    <s v="3rd-party-sample-UPS"/>
    <n v="1"/>
    <d v="2025-10-21T00:00:00"/>
    <x v="40"/>
    <n v="43"/>
    <s v="25-10"/>
    <x v="15"/>
    <s v="Cluj-MNC"/>
    <s v="-"/>
    <n v="0.66666666666666663"/>
    <s v="Instituto Superior Tecnico"/>
    <s v="Tom"/>
    <s v="1ZRJ76798616560907"/>
    <m/>
    <m/>
    <m/>
    <s v="YES"/>
    <m/>
    <m/>
    <m/>
    <s v="2025_10_21"/>
    <s v="Cluj-MNC"/>
    <s v="Romania"/>
    <n v="41"/>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YES"/>
    <s v="EUEU"/>
  </r>
  <r>
    <n v="525"/>
    <s v="3rd-party-sample-UPS"/>
    <n v="1"/>
    <d v="2025-11-04T00:00:00"/>
    <x v="41"/>
    <n v="45"/>
    <s v="25-11"/>
    <x v="15"/>
    <s v="Cluj-MNC"/>
    <s v="-"/>
    <n v="0.66666666666666663"/>
    <s v="Instituto Superior Tecnico"/>
    <s v="Jason"/>
    <s v="1ZRJ73868619647891"/>
    <m/>
    <m/>
    <m/>
    <s v="YES"/>
    <m/>
    <m/>
    <m/>
    <s v="2025_11_04"/>
    <s v="Cluj-MNC"/>
    <s v="Romania"/>
    <n v="43"/>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NO"/>
    <s v="EUEU"/>
  </r>
  <r>
    <n v="526"/>
    <s v="3rd-party-sample-UPS"/>
    <n v="1"/>
    <d v="2025-11-18T00:00:00"/>
    <x v="42"/>
    <n v="47"/>
    <s v="25-11"/>
    <x v="15"/>
    <s v="Cluj-MNC"/>
    <s v="-"/>
    <n v="0.66666666666666663"/>
    <m/>
    <m/>
    <m/>
    <m/>
    <m/>
    <m/>
    <s v="NO"/>
    <m/>
    <m/>
    <m/>
    <s v="2025_11_18"/>
    <s v="Cluj-MNC"/>
    <s v="Romania"/>
    <n v="45"/>
    <s v="Strada Tăbăcarilor 11, Cluj-Napoca, 400139, Romania"/>
    <n v="0"/>
    <s v=""/>
    <s v=""/>
    <s v="NO"/>
    <s v="EU"/>
  </r>
  <r>
    <n v="527"/>
    <s v="3rd-party-sample-UPS"/>
    <n v="1"/>
    <d v="2025-12-02T00:00:00"/>
    <x v="43"/>
    <n v="49"/>
    <s v="25-12"/>
    <x v="15"/>
    <s v="Cluj-MNC"/>
    <s v="-"/>
    <n v="0.66666666666666663"/>
    <m/>
    <m/>
    <m/>
    <m/>
    <m/>
    <m/>
    <s v="NO"/>
    <m/>
    <m/>
    <m/>
    <s v="2025_12_02"/>
    <s v="Cluj-MNC"/>
    <s v="Romania"/>
    <n v="47"/>
    <s v="Strada Tăbăcarilor 11, Cluj-Napoca, 400139, Romania"/>
    <n v="0"/>
    <s v=""/>
    <s v=""/>
    <s v="NO"/>
    <s v="EU"/>
  </r>
  <r>
    <n v="528"/>
    <s v="3rd-party-sample-UPS"/>
    <n v="1"/>
    <d v="2025-12-16T00:00:00"/>
    <x v="44"/>
    <n v="51"/>
    <s v="25-12"/>
    <x v="15"/>
    <s v="Cluj-MNC"/>
    <s v="-"/>
    <n v="0.66666666666666663"/>
    <m/>
    <m/>
    <m/>
    <m/>
    <m/>
    <m/>
    <s v="NO"/>
    <m/>
    <m/>
    <m/>
    <s v="2025_12_16"/>
    <s v="Cluj-MNC"/>
    <s v="Romania"/>
    <n v="49"/>
    <s v="Strada Tăbăcarilor 11, Cluj-Napoca, 400139, Romania"/>
    <n v="0"/>
    <s v=""/>
    <s v=""/>
    <s v="NO"/>
    <s v="EU"/>
  </r>
  <r>
    <n v="529"/>
    <s v="3rd-party-sample-UPS"/>
    <n v="1"/>
    <d v="2025-08-17T00:00:00"/>
    <x v="64"/>
    <n v="0"/>
    <s v="00-01"/>
    <x v="16"/>
    <s v="Aachen WWTP"/>
    <s v="Aachen Hospital"/>
    <n v="0.66666666666666663"/>
    <m/>
    <s v="Jason"/>
    <s v="1ZRJ73868619617404"/>
    <m/>
    <m/>
    <s v="0082_WWI_00001_BX3_01"/>
    <s v="YES"/>
    <s v="y"/>
    <s v="Yes"/>
    <s v="Waybill moet gecanceld worden, waybill alleen voor film purposes (TK)"/>
    <s v="2025_08_17"/>
    <s v="Aachen"/>
    <s v="Germany"/>
    <n v="32"/>
    <s v="Krefelder Str. 299, Aachen, 52070, Germany"/>
    <n v="0"/>
    <s v=""/>
    <s v=""/>
    <s v="NO"/>
    <s v="EU"/>
  </r>
  <r>
    <n v="530"/>
    <s v="3rd-party-sample-UPS"/>
    <n v="1"/>
    <d v="2025-09-01T00:00:00"/>
    <x v="26"/>
    <n v="36"/>
    <s v="25-09"/>
    <x v="16"/>
    <s v="Aachen WWTP"/>
    <s v="Aachen Hospital"/>
    <n v="0.66666666666666663"/>
    <s v="Instituto Superior Tecnico"/>
    <s v="Tom"/>
    <s v="1ZRJ76798633933197"/>
    <s v="Tom"/>
    <s v="29O8933ANHH"/>
    <s v="0082_WWI_00002_BX3_01"/>
    <s v="YES"/>
    <s v="y"/>
    <m/>
    <m/>
    <s v="2025_09_01"/>
    <s v="Aachen"/>
    <s v="Germany"/>
    <n v="34"/>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31"/>
    <s v="3rd-party-sample-UPS"/>
    <n v="1"/>
    <d v="2025-09-15T00:00:00"/>
    <x v="27"/>
    <n v="38"/>
    <s v="25-09"/>
    <x v="16"/>
    <s v="Aachen WWTP"/>
    <s v="Aachen Hospital"/>
    <n v="0.66666666666666663"/>
    <s v="Instituto Superior Tecnico"/>
    <s v="Tom"/>
    <s v="1ZRJ76798624102235"/>
    <s v="Jason"/>
    <s v="294MD3EO50S"/>
    <s v="0082_WWI_00003_BX3_01"/>
    <s v="YES"/>
    <s v="y"/>
    <m/>
    <m/>
    <s v="2025_09_15"/>
    <s v="Aachen"/>
    <s v="Germany"/>
    <n v="36"/>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32"/>
    <s v="3rd-party-sample-UPS"/>
    <n v="1"/>
    <d v="2025-10-06T00:00:00"/>
    <x v="28"/>
    <n v="41"/>
    <s v="25-10"/>
    <x v="16"/>
    <s v="Aachen WWTP"/>
    <s v="Aachen Hospital"/>
    <n v="0.66666666666666663"/>
    <s v="Instituto Superior Tecnico"/>
    <s v="Remco"/>
    <s v="1ZRJ76798630945500"/>
    <s v="Tom"/>
    <s v="29RNDAJ7II7"/>
    <s v="0082_WWI_00003_G6V_01"/>
    <s v="YES"/>
    <s v="y"/>
    <m/>
    <m/>
    <s v="2025_10_06"/>
    <s v="Aachen"/>
    <s v="Germany"/>
    <n v="39"/>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33"/>
    <s v="3rd-party-sample-UPS"/>
    <n v="1"/>
    <d v="2025-10-20T00:00:00"/>
    <x v="29"/>
    <n v="43"/>
    <s v="25-10"/>
    <x v="16"/>
    <s v="Aachen WWTP"/>
    <s v="Aachen Hospital"/>
    <n v="0.66666666666666663"/>
    <s v="Instituto Superior Tecnico"/>
    <s v="Tom"/>
    <s v="1ZRJ76798618430955"/>
    <m/>
    <m/>
    <m/>
    <s v="YES"/>
    <m/>
    <m/>
    <m/>
    <s v="2025_10_20"/>
    <s v="Aachen"/>
    <s v="Germany"/>
    <n v="41"/>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34"/>
    <s v="3rd-party-sample-UPS"/>
    <n v="1"/>
    <d v="2025-11-03T00:00:00"/>
    <x v="30"/>
    <n v="45"/>
    <s v="25-11"/>
    <x v="16"/>
    <s v="Aachen WWTP"/>
    <s v="Aachen Hospital"/>
    <n v="0.66666666666666663"/>
    <s v="Instituto Superior Tecnico"/>
    <s v="Remco"/>
    <s v="1ZRJ73868638640147"/>
    <m/>
    <m/>
    <m/>
    <s v="YES"/>
    <m/>
    <m/>
    <m/>
    <s v="2025_11_03"/>
    <s v="Aachen"/>
    <s v="Germany"/>
    <n v="43"/>
    <s v="Krefelder Str. 299, Aachen, 52070, Germany"/>
    <s v="Av. Rovisco Pais 1, Laboratorio de Analises de Agua, Lisbon, 1049-001, Portugal"/>
    <n v="89"/>
    <s v="Pick-up service of hypothetic package as defined in the Tech. Specs. and delivery to lots_x000a_2 and 3 contractors according to Scenario 1"/>
    <s v="NO"/>
    <s v="EUEU"/>
  </r>
  <r>
    <n v="535"/>
    <s v="3rd-party-sample-UPS"/>
    <n v="1"/>
    <d v="2025-11-17T00:00:00"/>
    <x v="31"/>
    <n v="47"/>
    <s v="25-11"/>
    <x v="16"/>
    <s v="Aachen WWTP"/>
    <s v="Aachen Hospital"/>
    <n v="0.66666666666666663"/>
    <m/>
    <m/>
    <m/>
    <m/>
    <m/>
    <m/>
    <s v="NO"/>
    <m/>
    <m/>
    <m/>
    <s v="2025_11_17"/>
    <s v="Aachen"/>
    <s v="Germany"/>
    <n v="45"/>
    <s v="Krefelder Str. 299, Aachen, 52070, Germany"/>
    <n v="0"/>
    <s v=""/>
    <s v=""/>
    <s v="NO"/>
    <s v="EU"/>
  </r>
  <r>
    <n v="536"/>
    <s v="3rd-party-sample-UPS"/>
    <n v="1"/>
    <d v="2025-12-01T00:00:00"/>
    <x v="32"/>
    <n v="49"/>
    <s v="25-12"/>
    <x v="16"/>
    <s v="Aachen WWTP"/>
    <s v="Aachen Hospital"/>
    <n v="0.66666666666666663"/>
    <m/>
    <m/>
    <m/>
    <m/>
    <m/>
    <m/>
    <s v="NO"/>
    <m/>
    <m/>
    <m/>
    <s v="2025_12_01"/>
    <s v="Aachen"/>
    <s v="Germany"/>
    <n v="47"/>
    <s v="Krefelder Str. 299, Aachen, 52070, Germany"/>
    <n v="0"/>
    <s v=""/>
    <s v=""/>
    <s v="NO"/>
    <s v="EU"/>
  </r>
  <r>
    <n v="537"/>
    <s v="3rd-party-sample-UPS"/>
    <n v="1"/>
    <d v="2025-07-02T00:00:00"/>
    <x v="22"/>
    <n v="27"/>
    <s v="25-07"/>
    <x v="6"/>
    <s v="Rome WWTP"/>
    <s v="-"/>
    <n v="0.70833333333333337"/>
    <s v="European Commission - JRC"/>
    <s v="Tom"/>
    <s v="1ZRJ73868634170064"/>
    <m/>
    <m/>
    <s v="0082_WWI_00004_T6M_01"/>
    <s v="YES"/>
    <s v="y"/>
    <m/>
    <s v="1ZRJ73868634170064 is gebruikt i.p.v. 1ZRJ73868606125540 , deze was van sampling date 11/06/2025."/>
    <s v="2025_07_02"/>
    <s v="Rome"/>
    <s v="Italy"/>
    <n v="25"/>
    <s v="Via dell'Equitazione 10, Rome, 00144, Italy"/>
    <s v="Via E. Fermi 2749, T.P. 120, Directorate D Sustainable Resources, Ispra, 21027, Italy"/>
    <n v="89"/>
    <s v="Pick-up service of hypothetic package as defined in the Tech. Specs. and delivery to lots_x000a_2 and 3 contractors according to Scenario 1"/>
    <s v="YES"/>
    <s v="EUEU"/>
  </r>
  <r>
    <n v="538"/>
    <s v="3rd-party-sample-UPS"/>
    <n v="1"/>
    <d v="2025-12-15T00:00:00"/>
    <x v="33"/>
    <n v="51"/>
    <s v="25-12"/>
    <x v="16"/>
    <s v="Aachen WWTP"/>
    <s v="Aachen Hospital"/>
    <n v="0.66666666666666663"/>
    <m/>
    <m/>
    <m/>
    <m/>
    <m/>
    <m/>
    <s v="NO"/>
    <m/>
    <m/>
    <m/>
    <s v="2025_12_15"/>
    <s v="Aachen"/>
    <s v="Germany"/>
    <n v="49"/>
    <s v="Krefelder Str. 299, Aachen, 52070, Germany"/>
    <n v="0"/>
    <s v=""/>
    <s v=""/>
    <s v="NO"/>
    <s v="EU"/>
  </r>
  <r>
    <n v="539"/>
    <s v="3rd-party-sample-UPS"/>
    <n v="1"/>
    <d v="2025-09-03T00:00:00"/>
    <x v="55"/>
    <n v="36"/>
    <s v="25-09"/>
    <x v="12"/>
    <s v="Funchal WWTP"/>
    <s v="Madeira, 10 locations"/>
    <n v="0.70833333333333337"/>
    <s v="Labaqua"/>
    <s v="Tom"/>
    <n v="1794478103"/>
    <m/>
    <m/>
    <s v="0082_WWI_00005_S3N_09"/>
    <s v="YES"/>
    <s v="y"/>
    <m/>
    <m/>
    <s v="2025_09_03"/>
    <s v="Funchal"/>
    <s v="Portugal"/>
    <n v="34"/>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40"/>
    <s v="3rd-party-sample-UPS"/>
    <n v="1"/>
    <d v="2025-09-17T00:00:00"/>
    <x v="56"/>
    <n v="38"/>
    <s v="25-09"/>
    <x v="12"/>
    <s v="Funchal WWTP"/>
    <s v="Madeira, 10 locations"/>
    <n v="0.70833333333333337"/>
    <s v="Labaqua"/>
    <s v="Tom"/>
    <n v="1198186010"/>
    <m/>
    <s v="LET OP: collection voor 47 dozen"/>
    <s v="0082_WWI_00008_S3N_09"/>
    <s v="YES"/>
    <s v="y"/>
    <m/>
    <m/>
    <s v="2025_09_17"/>
    <s v="Funchal"/>
    <s v="Portugal"/>
    <n v="36"/>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41"/>
    <s v="3rd-party-sample-UPS"/>
    <n v="1"/>
    <d v="2025-10-08T00:00:00"/>
    <x v="57"/>
    <n v="41"/>
    <s v="25-10"/>
    <x v="12"/>
    <s v="Funchal WWTP"/>
    <s v="Madeira, 10 locations"/>
    <n v="0.70833333333333337"/>
    <s v="Labaqua"/>
    <s v="Tom"/>
    <n v="7014743680"/>
    <s v="Tom"/>
    <s v="PRG251009012088"/>
    <m/>
    <s v="YES"/>
    <s v="y"/>
    <m/>
    <m/>
    <s v="2025_10_08"/>
    <s v="Funchal"/>
    <s v="Portugal"/>
    <n v="39"/>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42"/>
    <s v="3rd-party-sample-UPS"/>
    <n v="1"/>
    <d v="2025-10-22T00:00:00"/>
    <x v="58"/>
    <n v="43"/>
    <s v="25-10"/>
    <x v="12"/>
    <s v="Funchal WWTP"/>
    <s v="Madeira, 10 locations"/>
    <n v="0.70833333333333337"/>
    <s v="Labaqua"/>
    <s v="Tom"/>
    <s v="18 0049 5270"/>
    <m/>
    <m/>
    <m/>
    <s v="YES"/>
    <m/>
    <m/>
    <m/>
    <s v="2025_10_22"/>
    <s v="Funchal"/>
    <s v="Portugal"/>
    <n v="41"/>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43"/>
    <s v="3rd-party-sample-UPS"/>
    <n v="1"/>
    <d v="2025-11-05T00:00:00"/>
    <x v="59"/>
    <n v="45"/>
    <s v="25-11"/>
    <x v="12"/>
    <s v="Funchal WWTP"/>
    <s v="Madeira, 10 locations"/>
    <n v="0.70833333333333337"/>
    <s v="Labaqua"/>
    <s v="Tom"/>
    <n v="1010383625"/>
    <m/>
    <m/>
    <m/>
    <s v="YES"/>
    <m/>
    <m/>
    <m/>
    <s v="2025_11_05"/>
    <s v="Funchal"/>
    <s v="Portugal"/>
    <n v="43"/>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44"/>
    <s v="3rd-party-sample-UPS"/>
    <n v="1"/>
    <d v="2025-11-19T00:00:00"/>
    <x v="60"/>
    <n v="47"/>
    <s v="25-11"/>
    <x v="12"/>
    <s v="Funchal WWTP"/>
    <s v="Madeira, 10 locations"/>
    <n v="0.70833333333333337"/>
    <s v="Labaqua"/>
    <m/>
    <m/>
    <m/>
    <m/>
    <m/>
    <s v="NO"/>
    <m/>
    <m/>
    <m/>
    <s v="2025_11_19"/>
    <s v="Funchal"/>
    <s v="Portugal"/>
    <n v="45"/>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45"/>
    <s v="3rd-party-sample-UPS"/>
    <n v="1"/>
    <d v="2025-12-03T00:00:00"/>
    <x v="61"/>
    <n v="49"/>
    <s v="25-12"/>
    <x v="12"/>
    <s v="Funchal WWTP"/>
    <s v="Madeira, 10 locations"/>
    <n v="0.70833333333333337"/>
    <s v="Labaqua"/>
    <m/>
    <m/>
    <m/>
    <m/>
    <m/>
    <s v="NO"/>
    <m/>
    <m/>
    <m/>
    <s v="2025_12_03"/>
    <s v="Funchal"/>
    <s v="Portugal"/>
    <n v="47"/>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46"/>
    <s v="3rd-party-sample-UPS"/>
    <n v="1"/>
    <d v="2025-12-17T00:00:00"/>
    <x v="62"/>
    <n v="51"/>
    <s v="25-12"/>
    <x v="12"/>
    <s v="Funchal WWTP"/>
    <s v="Madeira, 10 locations"/>
    <n v="0.70833333333333337"/>
    <s v="Labaqua"/>
    <m/>
    <m/>
    <m/>
    <m/>
    <m/>
    <s v="NO"/>
    <m/>
    <m/>
    <m/>
    <s v="2025_12_17"/>
    <s v="Funchal"/>
    <s v="Portugal"/>
    <n v="49"/>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47"/>
    <s v="3rd-party-sample-UPS"/>
    <n v="1"/>
    <d v="2025-08-31T00:00:00"/>
    <x v="12"/>
    <n v="36"/>
    <s v="25-09"/>
    <x v="1"/>
    <s v="Berlin (Schoenefeld) WWTP"/>
    <s v="Berlin Airport"/>
    <n v="0.58333333333333337"/>
    <s v="Labaqua"/>
    <s v="Tom"/>
    <s v="1ZRJ76798601248149"/>
    <s v="Tom"/>
    <s v="29GLSJ4JLHP"/>
    <s v="0082_WWI_00007_H2N_09"/>
    <s v="YES"/>
    <s v="y"/>
    <m/>
    <m/>
    <s v="2025_08_31"/>
    <s v="Berlin"/>
    <s v="Germany"/>
    <n v="34"/>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48"/>
    <s v="3rd-party-sample-UPS"/>
    <n v="1"/>
    <d v="2025-09-14T00:00:00"/>
    <x v="13"/>
    <n v="38"/>
    <s v="25-09"/>
    <x v="1"/>
    <s v="Berlin (Schoenefeld) WWTP"/>
    <s v="Berlin Airport"/>
    <n v="0.58333333333333337"/>
    <s v="Labaqua"/>
    <s v="Tom"/>
    <s v="1ZRJ76798632116036"/>
    <s v="Jason"/>
    <s v="29N8J422HMG"/>
    <s v="0082_WWI_00008_H2N_09"/>
    <s v="YES"/>
    <s v="y"/>
    <m/>
    <m/>
    <s v="2025_09_14"/>
    <s v="Berlin"/>
    <s v="Germany"/>
    <n v="36"/>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49"/>
    <s v="3rd-party-sample-UPS"/>
    <n v="1"/>
    <d v="2025-10-05T00:00:00"/>
    <x v="14"/>
    <n v="41"/>
    <s v="25-10"/>
    <x v="1"/>
    <s v="Berlin (Schoenefeld) WWTP"/>
    <s v="Berlin Airport"/>
    <n v="0.58333333333333337"/>
    <s v="Labaqua"/>
    <s v="Remco"/>
    <s v="1ZRJ76798605200503"/>
    <s v="Jason"/>
    <s v="29TNC2PDP6H"/>
    <s v="0082_WWI_00009_H2N_01"/>
    <s v="YES"/>
    <s v="y"/>
    <m/>
    <m/>
    <s v="2025_10_05"/>
    <s v="Berlin"/>
    <s v="Germany"/>
    <n v="39"/>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50"/>
    <s v="3rd-party-sample-UPS"/>
    <n v="1"/>
    <d v="2025-10-19T00:00:00"/>
    <x v="15"/>
    <n v="43"/>
    <s v="25-10"/>
    <x v="1"/>
    <s v="Berlin (Schoenefeld) WWTP"/>
    <s v="Berlin Airport"/>
    <n v="0.58333333333333337"/>
    <s v="Labaqua"/>
    <s v="Tom"/>
    <s v="1ZRJ76798614790850"/>
    <s v="Tom"/>
    <s v="29VNNA4F4PO"/>
    <m/>
    <s v="YES"/>
    <m/>
    <m/>
    <m/>
    <s v="2025_10_19"/>
    <s v="Berlin"/>
    <s v="Germany"/>
    <n v="41"/>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51"/>
    <s v="3rd-party-sample-UPS"/>
    <n v="1"/>
    <d v="2025-11-02T00:00:00"/>
    <x v="16"/>
    <n v="45"/>
    <s v="25-11"/>
    <x v="1"/>
    <s v="Berlin (Schoenefeld) WWTP"/>
    <s v="Berlin Airport"/>
    <n v="0.58333333333333337"/>
    <s v="Labaqua"/>
    <s v="Remco"/>
    <s v="1ZRJ73868607395300"/>
    <m/>
    <m/>
    <m/>
    <s v="YES"/>
    <m/>
    <m/>
    <m/>
    <s v="2025_11_02"/>
    <s v="Berlin"/>
    <s v="Germany"/>
    <n v="43"/>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52"/>
    <s v="3rd-party-sample-UPS"/>
    <n v="1"/>
    <d v="2025-11-16T00:00:00"/>
    <x v="17"/>
    <n v="47"/>
    <s v="25-11"/>
    <x v="1"/>
    <s v="Berlin (Schoenefeld) WWTP"/>
    <s v="Berlin Airport"/>
    <n v="0.58333333333333337"/>
    <s v="Labaqua"/>
    <m/>
    <m/>
    <m/>
    <m/>
    <m/>
    <s v="NO"/>
    <m/>
    <m/>
    <m/>
    <s v="2025_11_16"/>
    <s v="Berlin"/>
    <s v="Germany"/>
    <n v="45"/>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53"/>
    <s v="3rd-party-sample-UPS"/>
    <n v="1"/>
    <d v="2025-11-30T00:00:00"/>
    <x v="18"/>
    <n v="49"/>
    <s v="25-12"/>
    <x v="1"/>
    <s v="Berlin (Schoenefeld) WWTP"/>
    <s v="Berlin Airport"/>
    <n v="0.58333333333333337"/>
    <s v="Labaqua"/>
    <m/>
    <m/>
    <m/>
    <m/>
    <m/>
    <s v="NO"/>
    <m/>
    <m/>
    <m/>
    <s v="2025_11_30"/>
    <s v="Berlin"/>
    <s v="Germany"/>
    <n v="47"/>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54"/>
    <s v="3rd-party-sample-UPS"/>
    <n v="1"/>
    <d v="2025-12-14T00:00:00"/>
    <x v="19"/>
    <n v="51"/>
    <s v="25-12"/>
    <x v="1"/>
    <s v="Berlin (Schoenefeld) WWTP"/>
    <s v="Berlin Airport"/>
    <n v="0.58333333333333337"/>
    <s v="Labaqua"/>
    <m/>
    <m/>
    <m/>
    <m/>
    <m/>
    <s v="NO"/>
    <m/>
    <m/>
    <m/>
    <s v="2025_12_14"/>
    <s v="Berlin"/>
    <s v="Germany"/>
    <n v="49"/>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55"/>
    <s v="3rd-party-sample-UPS"/>
    <n v="1"/>
    <d v="2025-08-31T00:00:00"/>
    <x v="12"/>
    <n v="36"/>
    <s v="25-09"/>
    <x v="1"/>
    <s v="Berlin (Schoenefeld) WWTP"/>
    <s v="Berlin Airport"/>
    <s v="Labaqua"/>
    <s v="Labaqua"/>
    <s v="Tom"/>
    <s v="1ZRJ76798600510151"/>
    <s v="Tom"/>
    <s v="29GLSJ4JLHP"/>
    <s v="0082_WWI_00007_T8P_09"/>
    <s v="YES"/>
    <s v="y"/>
    <m/>
    <m/>
    <s v="2025_08_31"/>
    <s v="Berlin"/>
    <s v="Germany"/>
    <n v="34"/>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56"/>
    <s v="3rd-party-sample-UPS"/>
    <n v="1"/>
    <d v="2025-09-14T00:00:00"/>
    <x v="13"/>
    <n v="38"/>
    <s v="25-09"/>
    <x v="1"/>
    <s v="Berlin (Schoenefeld) WWTP"/>
    <s v="Berlin Airport"/>
    <s v="Labaqua"/>
    <s v="Labaqua"/>
    <s v="Tom"/>
    <s v="1ZRJ76798638676242"/>
    <s v="Jason"/>
    <s v="29N8J422HMG"/>
    <s v="0082_WWI_00008_T8P_09"/>
    <s v="YES"/>
    <s v="y"/>
    <m/>
    <m/>
    <s v="2025_09_14"/>
    <s v="Berlin"/>
    <s v="Germany"/>
    <n v="36"/>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57"/>
    <s v="3rd-party-sample-UPS"/>
    <n v="1"/>
    <d v="2025-10-05T00:00:00"/>
    <x v="14"/>
    <n v="41"/>
    <s v="25-10"/>
    <x v="1"/>
    <s v="Berlin (Schoenefeld) WWTP"/>
    <s v="Berlin Airport"/>
    <s v="Labaqua"/>
    <s v="Labaqua"/>
    <s v="Remco"/>
    <s v="1ZRJ76798605406514"/>
    <s v="Jason"/>
    <s v="29TNC2PDP6H"/>
    <s v="0082_WWI_00009_T8P_01"/>
    <s v="YES"/>
    <s v="y"/>
    <m/>
    <m/>
    <s v="2025_10_05"/>
    <s v="Berlin"/>
    <s v="Germany"/>
    <n v="39"/>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58"/>
    <s v="3rd-party-sample-UPS"/>
    <n v="1"/>
    <d v="2025-10-19T00:00:00"/>
    <x v="15"/>
    <n v="43"/>
    <s v="25-10"/>
    <x v="1"/>
    <s v="Berlin (Schoenefeld) WWTP"/>
    <s v="Berlin Airport"/>
    <s v="Labaqua"/>
    <s v="Labaqua"/>
    <s v="Tom"/>
    <s v="1ZRJ76798611136867"/>
    <s v="Tom"/>
    <s v="29VNNA4F4PO"/>
    <m/>
    <s v="YES"/>
    <m/>
    <m/>
    <m/>
    <s v="2025_10_19"/>
    <s v="Berlin"/>
    <s v="Germany"/>
    <n v="41"/>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YES"/>
    <s v="EUEU"/>
  </r>
  <r>
    <n v="559"/>
    <s v="3rd-party-sample-UPS"/>
    <n v="1"/>
    <d v="2025-11-02T00:00:00"/>
    <x v="16"/>
    <n v="45"/>
    <s v="25-11"/>
    <x v="1"/>
    <s v="Berlin (Schoenefeld) WWTP"/>
    <s v="Berlin Airport"/>
    <s v="Labaqua"/>
    <s v="Labaqua"/>
    <s v="Remco"/>
    <s v="1ZRJ73868600396910"/>
    <m/>
    <m/>
    <m/>
    <s v="YES"/>
    <m/>
    <m/>
    <m/>
    <s v="2025_11_02"/>
    <s v="Berlin"/>
    <s v="Germany"/>
    <n v="43"/>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60"/>
    <s v="3rd-party-sample-UPS"/>
    <n v="1"/>
    <d v="2025-11-16T00:00:00"/>
    <x v="17"/>
    <n v="47"/>
    <s v="25-11"/>
    <x v="1"/>
    <s v="Berlin (Schoenefeld) WWTP"/>
    <s v="Berlin Airport"/>
    <s v="Labaqua"/>
    <s v="Labaqua"/>
    <m/>
    <m/>
    <m/>
    <m/>
    <m/>
    <s v="NO"/>
    <m/>
    <m/>
    <m/>
    <s v="2025_11_16"/>
    <s v="Berlin"/>
    <s v="Germany"/>
    <n v="45"/>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61"/>
    <s v="3rd-party-sample-UPS"/>
    <n v="1"/>
    <d v="2025-11-30T00:00:00"/>
    <x v="18"/>
    <n v="49"/>
    <s v="25-12"/>
    <x v="1"/>
    <s v="Berlin (Schoenefeld) WWTP"/>
    <s v="Berlin Airport"/>
    <s v="Labaqua"/>
    <s v="Labaqua"/>
    <m/>
    <m/>
    <m/>
    <m/>
    <m/>
    <s v="NO"/>
    <m/>
    <m/>
    <m/>
    <s v="2025_11_30"/>
    <s v="Berlin"/>
    <s v="Germany"/>
    <n v="47"/>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62"/>
    <s v="3rd-party-sample-UPS"/>
    <n v="1"/>
    <d v="2025-12-14T00:00:00"/>
    <x v="19"/>
    <n v="51"/>
    <s v="25-12"/>
    <x v="1"/>
    <s v="Berlin (Schoenefeld) WWTP"/>
    <s v="Berlin Airport"/>
    <s v="Labaqua"/>
    <s v="Labaqua"/>
    <m/>
    <m/>
    <m/>
    <m/>
    <m/>
    <s v="NO"/>
    <m/>
    <m/>
    <m/>
    <s v="2025_12_14"/>
    <s v="Berlin"/>
    <s v="Germany"/>
    <n v="49"/>
    <s v="Strasse am Klarwerk 4, Klarwerk Wassmannsdorf, Schoenefeld, 12529, Germany"/>
    <s v="C. del Dracma 16-18, Labaqua SAU - Sede Alicante, Alicante, 03114 , Spain"/>
    <n v="89"/>
    <s v="Pick-up service of hypothetic package as defined in the Tech. Specs. and delivery to lots_x000a_2 and 3 contractors according to Scenario 1"/>
    <s v="NO"/>
    <s v="EUEU"/>
  </r>
  <r>
    <n v="563"/>
    <s v="3rd-party-sample-UPS"/>
    <n v="1"/>
    <d v="2025-09-03T00:00:00"/>
    <x v="55"/>
    <n v="36"/>
    <s v="25-09"/>
    <x v="12"/>
    <s v="Funchal WWTP"/>
    <s v="Madeira, 10 locations"/>
    <s v="Labaqua"/>
    <s v="Labaqua"/>
    <s v="Tom"/>
    <n v="1794478103"/>
    <m/>
    <m/>
    <s v="0082_WWI_00006_L9Q_09"/>
    <s v="YES"/>
    <s v="y"/>
    <m/>
    <m/>
    <s v="2025_09_03"/>
    <s v="Funchal"/>
    <s v="Portugal"/>
    <n v="34"/>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64"/>
    <s v="3rd-party-sample-UPS"/>
    <n v="1"/>
    <d v="2025-09-17T00:00:00"/>
    <x v="56"/>
    <n v="38"/>
    <s v="25-09"/>
    <x v="12"/>
    <s v="Funchal WWTP"/>
    <s v="Madeira, 10 locations"/>
    <s v="Labaqua"/>
    <s v="Labaqua"/>
    <s v="Tom"/>
    <n v="1198186010"/>
    <m/>
    <s v="LET OP: collection voor 47 dozen"/>
    <s v="0082_WWI_00007_S3N_09"/>
    <s v="YES"/>
    <s v="y"/>
    <m/>
    <m/>
    <s v="2025_09_17"/>
    <s v="Funchal"/>
    <s v="Portugal"/>
    <n v="36"/>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65"/>
    <s v="3rd-party-sample-UPS"/>
    <n v="1"/>
    <d v="2025-10-08T00:00:00"/>
    <x v="57"/>
    <n v="41"/>
    <s v="25-10"/>
    <x v="12"/>
    <s v="Funchal WWTP"/>
    <s v="Madeira, 10 locations"/>
    <s v="Labaqua"/>
    <s v="Labaqua"/>
    <s v="Tom"/>
    <n v="7014743680"/>
    <s v="Tom"/>
    <s v="PRG251009012088"/>
    <m/>
    <s v="YES"/>
    <s v="y"/>
    <m/>
    <m/>
    <s v="2025_10_08"/>
    <s v="Funchal"/>
    <s v="Portugal"/>
    <n v="39"/>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66"/>
    <s v="3rd-party-sample-UPS"/>
    <n v="1"/>
    <d v="2025-10-22T00:00:00"/>
    <x v="58"/>
    <n v="43"/>
    <s v="25-10"/>
    <x v="12"/>
    <s v="Funchal WWTP"/>
    <s v="Madeira, 10 locations"/>
    <s v="Labaqua"/>
    <s v="Labaqua"/>
    <s v="Tom"/>
    <s v="18 0049 5270"/>
    <m/>
    <m/>
    <m/>
    <s v="YES"/>
    <m/>
    <m/>
    <m/>
    <s v="2025_10_22"/>
    <s v="Funchal"/>
    <s v="Portugal"/>
    <n v="41"/>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67"/>
    <s v="3rd-party-sample-UPS"/>
    <n v="1"/>
    <d v="2025-11-05T00:00:00"/>
    <x v="59"/>
    <n v="45"/>
    <s v="25-11"/>
    <x v="12"/>
    <s v="Funchal WWTP"/>
    <s v="Madeira, 10 locations"/>
    <s v="Labaqua"/>
    <s v="Labaqua"/>
    <s v="Tom"/>
    <n v="1010383625"/>
    <m/>
    <m/>
    <m/>
    <s v="YES"/>
    <m/>
    <m/>
    <m/>
    <s v="2025_11_05"/>
    <s v="Funchal"/>
    <s v="Portugal"/>
    <n v="43"/>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68"/>
    <s v="3rd-party-sample-UPS"/>
    <n v="1"/>
    <d v="2025-11-19T00:00:00"/>
    <x v="60"/>
    <n v="47"/>
    <s v="25-11"/>
    <x v="12"/>
    <s v="Funchal WWTP"/>
    <s v="Madeira, 10 locations"/>
    <s v="Labaqua"/>
    <s v="Labaqua"/>
    <m/>
    <m/>
    <m/>
    <m/>
    <m/>
    <s v="NO"/>
    <m/>
    <m/>
    <m/>
    <s v="2025_11_19"/>
    <s v="Funchal"/>
    <s v="Portugal"/>
    <n v="45"/>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69"/>
    <s v="3rd-party-sample-UPS"/>
    <n v="1"/>
    <d v="2025-12-03T00:00:00"/>
    <x v="61"/>
    <n v="49"/>
    <s v="25-12"/>
    <x v="12"/>
    <s v="Funchal WWTP"/>
    <s v="Madeira, 10 locations"/>
    <s v="Labaqua"/>
    <s v="Labaqua"/>
    <m/>
    <m/>
    <m/>
    <m/>
    <m/>
    <s v="NO"/>
    <m/>
    <m/>
    <m/>
    <s v="2025_12_03"/>
    <s v="Funchal"/>
    <s v="Portugal"/>
    <n v="47"/>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0"/>
    <s v="3rd-party-sample-UPS"/>
    <n v="1"/>
    <d v="2025-12-17T00:00:00"/>
    <x v="62"/>
    <n v="51"/>
    <s v="25-12"/>
    <x v="12"/>
    <s v="Funchal WWTP"/>
    <s v="Madeira, 10 locations"/>
    <s v="Labaqua"/>
    <s v="Labaqua"/>
    <m/>
    <m/>
    <m/>
    <m/>
    <m/>
    <s v="NO"/>
    <m/>
    <m/>
    <m/>
    <s v="2025_12_17"/>
    <s v="Funchal"/>
    <s v="Portugal"/>
    <n v="49"/>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1"/>
    <s v="3rd-party-sample-UPS"/>
    <n v="1"/>
    <d v="2025-09-03T00:00:00"/>
    <x v="55"/>
    <n v="36"/>
    <s v="25-09"/>
    <x v="12"/>
    <s v="Funchal WWTP"/>
    <s v="Madeira, 10 locations"/>
    <s v="Labaqua"/>
    <s v="Labaqua"/>
    <s v="Tom"/>
    <n v="1794478103"/>
    <m/>
    <m/>
    <s v="0082_WWI_00005_L9Q_09"/>
    <s v="YES"/>
    <s v="y"/>
    <m/>
    <m/>
    <s v="2025_09_03"/>
    <s v="Funchal"/>
    <s v="Portugal"/>
    <n v="34"/>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72"/>
    <s v="3rd-party-sample-UPS"/>
    <n v="1"/>
    <d v="2025-09-17T00:00:00"/>
    <x v="56"/>
    <n v="38"/>
    <s v="25-09"/>
    <x v="12"/>
    <s v="Funchal WWTP"/>
    <s v="Madeira, 10 locations"/>
    <s v="Labaqua"/>
    <s v="Labaqua"/>
    <s v="Tom"/>
    <n v="1198186010"/>
    <m/>
    <s v="LET OP: collection voor 47 dozen"/>
    <s v="0082_WWI_00007_L9Q_09"/>
    <s v="YES"/>
    <s v="y"/>
    <m/>
    <m/>
    <s v="2025_09_17"/>
    <s v="Funchal"/>
    <s v="Portugal"/>
    <n v="36"/>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73"/>
    <s v="3rd-party-sample-UPS"/>
    <n v="1"/>
    <d v="2025-10-08T00:00:00"/>
    <x v="57"/>
    <n v="41"/>
    <s v="25-10"/>
    <x v="12"/>
    <s v="Funchal WWTP"/>
    <s v="Madeira, 10 locations"/>
    <s v="Labaqua"/>
    <s v="Labaqua"/>
    <s v="Tom"/>
    <n v="7014743680"/>
    <s v="Tom"/>
    <s v="PRG251009012088"/>
    <m/>
    <s v="YES"/>
    <s v="y"/>
    <m/>
    <m/>
    <s v="2025_10_08"/>
    <s v="Funchal"/>
    <s v="Portugal"/>
    <n v="39"/>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74"/>
    <s v="3rd-party-sample-UPS"/>
    <n v="1"/>
    <d v="2025-10-22T00:00:00"/>
    <x v="58"/>
    <n v="43"/>
    <s v="25-10"/>
    <x v="12"/>
    <s v="Funchal WWTP"/>
    <s v="Madeira, 10 locations"/>
    <s v="Labaqua"/>
    <s v="Labaqua"/>
    <s v="Tom"/>
    <s v="18 0049 5270"/>
    <m/>
    <m/>
    <m/>
    <s v="YES"/>
    <m/>
    <m/>
    <m/>
    <s v="2025_10_22"/>
    <s v="Funchal"/>
    <s v="Portugal"/>
    <n v="41"/>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5"/>
    <s v="3rd-party-sample-UPS"/>
    <n v="1"/>
    <d v="2025-11-05T00:00:00"/>
    <x v="59"/>
    <n v="45"/>
    <s v="25-11"/>
    <x v="12"/>
    <s v="Funchal WWTP"/>
    <s v="Madeira, 10 locations"/>
    <s v="Labaqua"/>
    <s v="Labaqua"/>
    <s v="Tom"/>
    <n v="1010383625"/>
    <m/>
    <m/>
    <m/>
    <s v="YES"/>
    <m/>
    <m/>
    <m/>
    <s v="2025_11_05"/>
    <s v="Funchal"/>
    <s v="Portugal"/>
    <n v="43"/>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6"/>
    <s v="3rd-party-sample-UPS"/>
    <n v="1"/>
    <d v="2025-11-19T00:00:00"/>
    <x v="60"/>
    <n v="47"/>
    <s v="25-11"/>
    <x v="12"/>
    <s v="Funchal WWTP"/>
    <s v="Madeira, 10 locations"/>
    <s v="Labaqua"/>
    <s v="Labaqua"/>
    <m/>
    <m/>
    <m/>
    <m/>
    <m/>
    <s v="NO"/>
    <m/>
    <m/>
    <m/>
    <s v="2025_11_19"/>
    <s v="Funchal"/>
    <s v="Portugal"/>
    <n v="45"/>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7"/>
    <s v="3rd-party-sample-UPS"/>
    <n v="1"/>
    <d v="2025-12-03T00:00:00"/>
    <x v="61"/>
    <n v="49"/>
    <s v="25-12"/>
    <x v="12"/>
    <s v="Funchal WWTP"/>
    <s v="Madeira, 10 locations"/>
    <s v="Labaqua"/>
    <s v="Labaqua"/>
    <m/>
    <m/>
    <m/>
    <m/>
    <m/>
    <s v="NO"/>
    <m/>
    <m/>
    <m/>
    <s v="2025_12_03"/>
    <s v="Funchal"/>
    <s v="Portugal"/>
    <n v="47"/>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8"/>
    <s v="3rd-party-sample-UPS"/>
    <n v="1"/>
    <d v="2025-12-17T00:00:00"/>
    <x v="62"/>
    <n v="51"/>
    <s v="25-12"/>
    <x v="12"/>
    <s v="Funchal WWTP"/>
    <s v="Madeira, 10 locations"/>
    <s v="Labaqua"/>
    <s v="Labaqua"/>
    <m/>
    <m/>
    <m/>
    <m/>
    <m/>
    <s v="NO"/>
    <m/>
    <m/>
    <m/>
    <s v="2025_12_17"/>
    <s v="Funchal"/>
    <s v="Portugal"/>
    <n v="49"/>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79"/>
    <s v="3rd-party-sample-UPS"/>
    <n v="1"/>
    <d v="2025-09-03T00:00:00"/>
    <x v="55"/>
    <n v="36"/>
    <s v="25-09"/>
    <x v="12"/>
    <s v="Funchal WWTP"/>
    <s v="Madeira, 10 locations"/>
    <s v="Labaqua"/>
    <s v="Labaqua"/>
    <s v="Tom"/>
    <n v="1794478103"/>
    <m/>
    <m/>
    <s v="0082_WWI_00006_S3N_09"/>
    <s v="YES"/>
    <s v="y"/>
    <m/>
    <m/>
    <s v="2025_09_03"/>
    <s v="Funchal"/>
    <s v="Portugal"/>
    <n v="34"/>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80"/>
    <s v="3rd-party-sample-UPS"/>
    <n v="1"/>
    <d v="2025-09-17T00:00:00"/>
    <x v="56"/>
    <n v="38"/>
    <s v="25-09"/>
    <x v="12"/>
    <s v="Funchal WWTP"/>
    <s v="Madeira, 10 locations"/>
    <s v="Labaqua"/>
    <s v="Labaqua"/>
    <s v="Tom"/>
    <n v="1198186010"/>
    <m/>
    <s v="LET OP: collection voor 47 dozen"/>
    <s v="0082_WWI_00008_L9Q_09"/>
    <s v="YES"/>
    <s v="y"/>
    <m/>
    <m/>
    <s v="2025_09_17"/>
    <s v="Funchal"/>
    <s v="Portugal"/>
    <n v="36"/>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81"/>
    <s v="3rd-party-sample-UPS"/>
    <n v="1"/>
    <d v="2025-10-08T00:00:00"/>
    <x v="57"/>
    <n v="41"/>
    <s v="25-10"/>
    <x v="12"/>
    <s v="Funchal WWTP"/>
    <s v="Madeira, 10 locations"/>
    <s v="Labaqua"/>
    <s v="Labaqua"/>
    <s v="Tom"/>
    <n v="7014743680"/>
    <s v="Tom"/>
    <s v="PRG251009012088"/>
    <m/>
    <s v="YES"/>
    <s v="y"/>
    <m/>
    <m/>
    <s v="2025_10_08"/>
    <s v="Funchal"/>
    <s v="Portugal"/>
    <n v="39"/>
    <s v="R. do Matadouro 4, Funchal, 9050-100, Portugal"/>
    <s v="C. del Dracma 16-18, Labaqua SAU - Sede Alicante, Alicante, 03114 , Spain"/>
    <n v="89"/>
    <s v="Pick-up service of hypothetic package as defined in the Tech. Specs. and delivery to lots_x000a_2 and 3 contractors according to Scenario 1"/>
    <s v="YES"/>
    <s v="EUEU"/>
  </r>
  <r>
    <n v="582"/>
    <s v="3rd-party-sample-UPS"/>
    <n v="1"/>
    <d v="2025-10-22T00:00:00"/>
    <x v="58"/>
    <n v="43"/>
    <s v="25-10"/>
    <x v="12"/>
    <s v="Funchal WWTP"/>
    <s v="Madeira, 10 locations"/>
    <s v="Labaqua"/>
    <s v="Labaqua"/>
    <s v="Tom"/>
    <s v="18 0049 5270"/>
    <m/>
    <m/>
    <m/>
    <s v="YES"/>
    <m/>
    <m/>
    <m/>
    <s v="2025_10_22"/>
    <s v="Funchal"/>
    <s v="Portugal"/>
    <n v="41"/>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83"/>
    <s v="3rd-party-sample-UPS"/>
    <n v="1"/>
    <d v="2025-11-05T00:00:00"/>
    <x v="59"/>
    <n v="45"/>
    <s v="25-11"/>
    <x v="12"/>
    <s v="Funchal WWTP"/>
    <s v="Madeira, 10 locations"/>
    <s v="Labaqua"/>
    <s v="Labaqua"/>
    <s v="Tom"/>
    <n v="1010383625"/>
    <m/>
    <m/>
    <m/>
    <s v="YES"/>
    <m/>
    <m/>
    <m/>
    <s v="2025_11_05"/>
    <s v="Funchal"/>
    <s v="Portugal"/>
    <n v="43"/>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84"/>
    <s v="3rd-party-sample-UPS"/>
    <n v="1"/>
    <d v="2025-11-19T00:00:00"/>
    <x v="60"/>
    <n v="47"/>
    <s v="25-11"/>
    <x v="12"/>
    <s v="Funchal WWTP"/>
    <s v="Madeira, 10 locations"/>
    <s v="Labaqua"/>
    <s v="Labaqua"/>
    <m/>
    <m/>
    <m/>
    <m/>
    <m/>
    <s v="NO"/>
    <m/>
    <m/>
    <m/>
    <s v="2025_11_19"/>
    <s v="Funchal"/>
    <s v="Portugal"/>
    <n v="45"/>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85"/>
    <s v="3rd-party-sample-UPS"/>
    <n v="1"/>
    <d v="2025-12-03T00:00:00"/>
    <x v="61"/>
    <n v="49"/>
    <s v="25-12"/>
    <x v="12"/>
    <s v="Funchal WWTP"/>
    <s v="Madeira, 10 locations"/>
    <s v="Labaqua"/>
    <s v="Labaqua"/>
    <m/>
    <m/>
    <m/>
    <m/>
    <m/>
    <s v="NO"/>
    <m/>
    <m/>
    <m/>
    <s v="2025_12_03"/>
    <s v="Funchal"/>
    <s v="Portugal"/>
    <n v="47"/>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86"/>
    <s v="3rd-party-sample-UPS"/>
    <n v="1"/>
    <d v="2025-12-17T00:00:00"/>
    <x v="62"/>
    <n v="51"/>
    <s v="25-12"/>
    <x v="12"/>
    <s v="Funchal WWTP"/>
    <s v="Madeira, 10 locations"/>
    <s v="Labaqua"/>
    <s v="Labaqua"/>
    <m/>
    <m/>
    <m/>
    <m/>
    <m/>
    <s v="NO"/>
    <m/>
    <m/>
    <m/>
    <s v="2025_12_17"/>
    <s v="Funchal"/>
    <s v="Portugal"/>
    <n v="49"/>
    <s v="R. do Matadouro 4, Funchal, 9050-100, Portugal"/>
    <s v="C. del Dracma 16-18, Labaqua SAU - Sede Alicante, Alicante, 03114 , Spain"/>
    <n v="89"/>
    <s v="Pick-up service of hypothetic package as defined in the Tech. Specs. and delivery to lots_x000a_2 and 3 contractors according to Scenario 1"/>
    <s v="NO"/>
    <s v="EUEU"/>
  </r>
  <r>
    <n v="587"/>
    <s v="3rd-party-sample-UPS"/>
    <n v="1"/>
    <d v="2025-09-01T00:00:00"/>
    <x v="3"/>
    <n v="36"/>
    <s v="25-09"/>
    <x v="17"/>
    <s v="Bologna WWTP"/>
    <s v="-"/>
    <n v="0.66666666666666663"/>
    <s v="Instituto Superior Tecnico"/>
    <s v="Tom"/>
    <s v="1ZRJ76798623061013"/>
    <s v="Tom"/>
    <s v="29C8906NHA7 (failed), 29C8D3DP36A"/>
    <s v="0082_WWI_00001_B8Q_01"/>
    <s v="YES"/>
    <s v="y"/>
    <m/>
    <m/>
    <s v="2025_09_01"/>
    <s v="Bologna"/>
    <s v="Italy"/>
    <n v="34"/>
    <s v="VIA SHAKESPEARE 29, Bologna, 40128, Italy"/>
    <s v="Av. Rovisco Pais 1, Laboratorio de Analises de Agua, Lisbon, 1049-001, Portugal"/>
    <n v="89"/>
    <s v="Pick-up service of hypothetic package as defined in the Tech. Specs. and delivery to lots_x000a_2 and 3 contractors according to Scenario 1"/>
    <s v="YES"/>
    <s v="EUEU"/>
  </r>
  <r>
    <n v="588"/>
    <s v="3rd-party-sample-UPS"/>
    <n v="1"/>
    <d v="2025-09-15T00:00:00"/>
    <x v="38"/>
    <n v="38"/>
    <s v="25-09"/>
    <x v="17"/>
    <s v="Bologna WWTP"/>
    <s v="-"/>
    <n v="0.66666666666666663"/>
    <s v="Instituto Superior Tecnico"/>
    <s v="Tom"/>
    <s v="1ZRJ76798613286371"/>
    <s v="Jason"/>
    <s v="29ZMG5BBNPP"/>
    <s v="0082_WWI_00002_B8Q_01"/>
    <s v="YES"/>
    <s v="y"/>
    <m/>
    <m/>
    <s v="2025_09_15"/>
    <s v="Bologna"/>
    <s v="Italy"/>
    <n v="36"/>
    <s v="VIA SHAKESPEARE 29, Bologna, 40128, Italy"/>
    <s v="Av. Rovisco Pais 1, Laboratorio de Analises de Agua, Lisbon, 1049-001, Portugal"/>
    <n v="89"/>
    <s v="Pick-up service of hypothetic package as defined in the Tech. Specs. and delivery to lots_x000a_2 and 3 contractors according to Scenario 1"/>
    <s v="YES"/>
    <s v="EUEU"/>
  </r>
  <r>
    <n v="589"/>
    <s v="3rd-party-sample-UPS"/>
    <n v="1"/>
    <d v="2025-10-06T00:00:00"/>
    <x v="39"/>
    <n v="41"/>
    <s v="25-10"/>
    <x v="17"/>
    <s v="Bologna WWTP"/>
    <s v="-"/>
    <n v="0.66666666666666663"/>
    <s v="Instituto Superior Tecnico"/>
    <s v="Remco"/>
    <s v="1ZRJ76798638585877"/>
    <s v="Tom"/>
    <s v="29FNC98FLPC"/>
    <s v="0082_WWI_00003_B8Q_01"/>
    <s v="YES"/>
    <s v="y"/>
    <m/>
    <m/>
    <s v="2025_10_06"/>
    <s v="Bologna"/>
    <s v="Italy"/>
    <n v="39"/>
    <s v="VIA SHAKESPEARE 29, Bologna, 40128, Italy"/>
    <s v="Av. Rovisco Pais 1, Laboratorio de Analises de Agua, Lisbon, 1049-001, Portugal"/>
    <n v="89"/>
    <s v="Pick-up service of hypothetic package as defined in the Tech. Specs. and delivery to lots_x000a_2 and 3 contractors according to Scenario 1"/>
    <s v="YES"/>
    <s v="EUEU"/>
  </r>
  <r>
    <n v="590"/>
    <s v="3rd-party-sample-UPS"/>
    <n v="1"/>
    <d v="2025-10-20T00:00:00"/>
    <x v="40"/>
    <n v="43"/>
    <s v="25-10"/>
    <x v="17"/>
    <s v="Bologna WWTP"/>
    <s v="-"/>
    <n v="0.66666666666666663"/>
    <s v="Instituto Superior Tecnico"/>
    <s v="Tom"/>
    <s v="1ZRJ76798636008431"/>
    <m/>
    <m/>
    <m/>
    <s v="YES"/>
    <m/>
    <m/>
    <m/>
    <s v="2025_10_20"/>
    <s v="Bologna"/>
    <s v="Italy"/>
    <n v="41"/>
    <s v="VIA SHAKESPEARE 29, Bologna, 40128, Italy"/>
    <s v="Av. Rovisco Pais 1, Laboratorio de Analises de Agua, Lisbon, 1049-001, Portugal"/>
    <n v="89"/>
    <s v="Pick-up service of hypothetic package as defined in the Tech. Specs. and delivery to lots_x000a_2 and 3 contractors according to Scenario 1"/>
    <s v="YES"/>
    <s v="EUEU"/>
  </r>
  <r>
    <n v="591"/>
    <s v="3rd-party-sample-UPS"/>
    <n v="1"/>
    <d v="2025-11-03T00:00:00"/>
    <x v="41"/>
    <n v="45"/>
    <s v="25-11"/>
    <x v="17"/>
    <s v="Bologna WWTP"/>
    <s v="-"/>
    <n v="0.66666666666666663"/>
    <s v="Instituto Superior Tecnico"/>
    <s v="Jason"/>
    <s v="1ZRJ73868620077334"/>
    <m/>
    <m/>
    <m/>
    <s v="YES"/>
    <m/>
    <m/>
    <m/>
    <s v="2025_11_03"/>
    <s v="Bologna"/>
    <s v="Italy"/>
    <n v="43"/>
    <s v="VIA SHAKESPEARE 29, Bologna, 40128, Italy"/>
    <s v="Av. Rovisco Pais 1, Laboratorio de Analises de Agua, Lisbon, 1049-001, Portugal"/>
    <n v="89"/>
    <s v="Pick-up service of hypothetic package as defined in the Tech. Specs. and delivery to lots_x000a_2 and 3 contractors according to Scenario 1"/>
    <s v="NO"/>
    <s v="EUEU"/>
  </r>
  <r>
    <n v="592"/>
    <s v="3rd-party-sample-UPS"/>
    <n v="1"/>
    <d v="2025-11-17T00:00:00"/>
    <x v="42"/>
    <n v="47"/>
    <s v="25-11"/>
    <x v="17"/>
    <s v="Bologna WWTP"/>
    <s v="-"/>
    <n v="0.66666666666666663"/>
    <m/>
    <m/>
    <m/>
    <m/>
    <m/>
    <m/>
    <s v="NO"/>
    <m/>
    <m/>
    <m/>
    <s v="2025_11_17"/>
    <s v="Bologna"/>
    <s v="Italy"/>
    <n v="45"/>
    <s v="VIA SHAKESPEARE 29, Bologna, 40128, Italy"/>
    <n v="0"/>
    <s v=""/>
    <s v=""/>
    <s v="NO"/>
    <s v="EU"/>
  </r>
  <r>
    <n v="593"/>
    <s v="3rd-party-sample-UPS"/>
    <n v="1"/>
    <d v="2025-12-01T00:00:00"/>
    <x v="43"/>
    <n v="49"/>
    <s v="25-12"/>
    <x v="17"/>
    <s v="Bologna WWTP"/>
    <s v="-"/>
    <n v="0.66666666666666663"/>
    <m/>
    <m/>
    <m/>
    <m/>
    <m/>
    <m/>
    <s v="NO"/>
    <m/>
    <m/>
    <m/>
    <s v="2025_12_01"/>
    <s v="Bologna"/>
    <s v="Italy"/>
    <n v="47"/>
    <s v="VIA SHAKESPEARE 29, Bologna, 40128, Italy"/>
    <n v="0"/>
    <s v=""/>
    <s v=""/>
    <s v="NO"/>
    <s v="EU"/>
  </r>
  <r>
    <n v="594"/>
    <s v="3rd-party-sample-UPS"/>
    <n v="1"/>
    <d v="2025-12-15T00:00:00"/>
    <x v="44"/>
    <n v="51"/>
    <s v="25-12"/>
    <x v="17"/>
    <s v="Bologna WWTP"/>
    <s v="-"/>
    <n v="0.66666666666666663"/>
    <m/>
    <m/>
    <m/>
    <m/>
    <m/>
    <m/>
    <s v="NO"/>
    <m/>
    <m/>
    <m/>
    <s v="2025_12_15"/>
    <s v="Bologna"/>
    <s v="Italy"/>
    <n v="49"/>
    <s v="VIA SHAKESPEARE 29, Bologna, 40128, Italy"/>
    <n v="0"/>
    <s v=""/>
    <s v=""/>
    <s v="NO"/>
    <s v="EU"/>
  </r>
  <r>
    <n v="595"/>
    <s v="3rd-party-sample-UPS"/>
    <n v="1"/>
    <d v="2025-09-01T00:00:00"/>
    <x v="26"/>
    <n v="36"/>
    <s v="25-09"/>
    <x v="16"/>
    <s v="Aachen WWTP"/>
    <s v="Aachen Hospital"/>
    <n v="0.66666666666666663"/>
    <s v="Instituto Superior Tecnico"/>
    <s v="Tom"/>
    <s v="1ZRJ76798631685629"/>
    <s v="Tom"/>
    <s v="29O8933ANHH"/>
    <s v="0082_WWI_00001_G6V_01"/>
    <s v="YES"/>
    <s v="y"/>
    <m/>
    <m/>
    <s v="2025_09_01"/>
    <s v="Aachen"/>
    <s v="Germany"/>
    <n v="34"/>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96"/>
    <s v="3rd-party-sample-UPS"/>
    <n v="1"/>
    <d v="2025-09-15T00:00:00"/>
    <x v="27"/>
    <n v="38"/>
    <s v="25-09"/>
    <x v="16"/>
    <s v="Aachen WWTP"/>
    <s v="Aachen Hospital"/>
    <n v="0.66666666666666663"/>
    <s v="Instituto Superior Tecnico"/>
    <s v="Tom"/>
    <s v="1ZRJ76798626098443"/>
    <s v="Jason"/>
    <s v="294MD3EO50S"/>
    <s v="0082_WWI_00002_G6V_01"/>
    <s v="YES"/>
    <s v="y"/>
    <m/>
    <m/>
    <s v="2025_09_15"/>
    <s v="Aachen"/>
    <s v="Germany"/>
    <n v="36"/>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97"/>
    <s v="3rd-party-sample-UPS"/>
    <n v="1"/>
    <d v="2025-10-06T00:00:00"/>
    <x v="28"/>
    <n v="41"/>
    <s v="25-10"/>
    <x v="16"/>
    <s v="Aachen WWTP"/>
    <s v="Aachen Hospital"/>
    <n v="0.66666666666666663"/>
    <s v="Instituto Superior Tecnico"/>
    <s v="Remco"/>
    <s v="1ZRJ76798633962316"/>
    <s v="Tom"/>
    <s v="29RNDAJ7II7"/>
    <s v="0082_WWI_00004_BX3_08"/>
    <s v="YES"/>
    <s v="y"/>
    <m/>
    <m/>
    <s v="2025_10_06"/>
    <s v="Aachen"/>
    <s v="Germany"/>
    <n v="39"/>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98"/>
    <s v="3rd-party-sample-UPS"/>
    <n v="1"/>
    <d v="2025-10-20T00:00:00"/>
    <x v="29"/>
    <n v="43"/>
    <s v="25-10"/>
    <x v="16"/>
    <s v="Aachen WWTP"/>
    <s v="Aachen Hospital"/>
    <n v="0.66666666666666663"/>
    <s v="Instituto Superior Tecnico"/>
    <s v="Tom"/>
    <s v="1ZRJ76798610816964"/>
    <m/>
    <m/>
    <m/>
    <s v="YES"/>
    <m/>
    <m/>
    <m/>
    <s v="2025_10_20"/>
    <s v="Aachen"/>
    <s v="Germany"/>
    <n v="41"/>
    <s v="Krefelder Str. 299, Aachen, 52070, Germany"/>
    <s v="Av. Rovisco Pais 1, Laboratorio de Analises de Agua, Lisbon, 1049-001, Portugal"/>
    <n v="89"/>
    <s v="Pick-up service of hypothetic package as defined in the Tech. Specs. and delivery to lots_x000a_2 and 3 contractors according to Scenario 1"/>
    <s v="YES"/>
    <s v="EUEU"/>
  </r>
  <r>
    <n v="599"/>
    <s v="3rd-party-sample-UPS"/>
    <n v="1"/>
    <d v="2025-11-03T00:00:00"/>
    <x v="30"/>
    <n v="45"/>
    <s v="25-11"/>
    <x v="16"/>
    <s v="Aachen WWTP"/>
    <s v="Aachen Hospital"/>
    <n v="0.66666666666666663"/>
    <s v="Instituto Superior Tecnico"/>
    <s v="Remco"/>
    <s v="1ZRJ73868632277355"/>
    <m/>
    <m/>
    <m/>
    <s v="YES"/>
    <m/>
    <m/>
    <m/>
    <s v="2025_11_03"/>
    <s v="Aachen"/>
    <s v="Germany"/>
    <n v="43"/>
    <s v="Krefelder Str. 299, Aachen, 52070, Germany"/>
    <s v="Av. Rovisco Pais 1, Laboratorio de Analises de Agua, Lisbon, 1049-001, Portugal"/>
    <n v="89"/>
    <s v="Pick-up service of hypothetic package as defined in the Tech. Specs. and delivery to lots_x000a_2 and 3 contractors according to Scenario 1"/>
    <s v="NO"/>
    <s v="EUEU"/>
  </r>
  <r>
    <n v="600"/>
    <s v="3rd-party-sample-UPS"/>
    <n v="1"/>
    <d v="2025-11-17T00:00:00"/>
    <x v="31"/>
    <n v="47"/>
    <s v="25-11"/>
    <x v="16"/>
    <s v="Aachen WWTP"/>
    <s v="Aachen Hospital"/>
    <n v="0.66666666666666663"/>
    <m/>
    <m/>
    <m/>
    <m/>
    <m/>
    <m/>
    <s v="NO"/>
    <m/>
    <m/>
    <m/>
    <s v="2025_11_17"/>
    <s v="Aachen"/>
    <s v="Germany"/>
    <n v="45"/>
    <s v="Krefelder Str. 299, Aachen, 52070, Germany"/>
    <n v="0"/>
    <s v=""/>
    <s v=""/>
    <s v="NO"/>
    <s v="EU"/>
  </r>
  <r>
    <n v="601"/>
    <s v="3rd-party-sample-UPS"/>
    <n v="1"/>
    <d v="2025-12-01T00:00:00"/>
    <x v="32"/>
    <n v="49"/>
    <s v="25-12"/>
    <x v="16"/>
    <s v="Aachen WWTP"/>
    <s v="Aachen Hospital"/>
    <n v="0.66666666666666663"/>
    <m/>
    <m/>
    <m/>
    <m/>
    <m/>
    <m/>
    <s v="NO"/>
    <m/>
    <m/>
    <m/>
    <s v="2025_12_01"/>
    <s v="Aachen"/>
    <s v="Germany"/>
    <n v="47"/>
    <s v="Krefelder Str. 299, Aachen, 52070, Germany"/>
    <n v="0"/>
    <s v=""/>
    <s v=""/>
    <s v="NO"/>
    <s v="EU"/>
  </r>
  <r>
    <n v="602"/>
    <s v="3rd-party-sample-UPS"/>
    <n v="1"/>
    <d v="2025-12-15T00:00:00"/>
    <x v="33"/>
    <n v="51"/>
    <s v="25-12"/>
    <x v="16"/>
    <s v="Aachen WWTP"/>
    <s v="Aachen Hospital"/>
    <n v="0.66666666666666663"/>
    <m/>
    <m/>
    <m/>
    <m/>
    <m/>
    <m/>
    <s v="NO"/>
    <m/>
    <m/>
    <m/>
    <s v="2025_12_15"/>
    <s v="Aachen"/>
    <s v="Germany"/>
    <n v="49"/>
    <s v="Krefelder Str. 299, Aachen, 52070, Germany"/>
    <n v="0"/>
    <s v=""/>
    <s v=""/>
    <s v="NO"/>
    <s v="EU"/>
  </r>
  <r>
    <n v="603"/>
    <s v="3rd-party-sample-UPS"/>
    <n v="1"/>
    <d v="2025-09-02T00:00:00"/>
    <x v="3"/>
    <n v="36"/>
    <s v="25-09"/>
    <x v="15"/>
    <s v="Cluj-MNC"/>
    <s v="-"/>
    <n v="0.66666666666666663"/>
    <s v="Instituto Superior Tecnico"/>
    <s v="Tom"/>
    <s v="1ZRJ76798603360406"/>
    <m/>
    <m/>
    <s v="0082_WWI_00002_R6D_01"/>
    <s v="YES"/>
    <s v="y"/>
    <m/>
    <m/>
    <s v="2025_09_02"/>
    <s v="Cluj-MNC"/>
    <s v="Romania"/>
    <n v="34"/>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YES"/>
    <s v="EUEU"/>
  </r>
  <r>
    <n v="604"/>
    <s v="3rd-party-sample-UPS"/>
    <n v="1"/>
    <d v="2025-09-02T00:00:00"/>
    <x v="3"/>
    <n v="36"/>
    <s v="25-09"/>
    <x v="14"/>
    <s v="Cluj-SCBI"/>
    <s v="-"/>
    <n v="0.66666666666666663"/>
    <s v="Instituto Superior Tecnico"/>
    <s v="Tom"/>
    <s v="1ZRJ76798621616267"/>
    <m/>
    <m/>
    <s v="0082_WWI_00002_J8V_01"/>
    <s v="YES"/>
    <s v="y"/>
    <m/>
    <m/>
    <s v="2025_09_02"/>
    <s v="Cluj-SCBI"/>
    <s v="Romania"/>
    <n v="34"/>
    <s v="Strada Iuliu Moldovan 23, Cluj-Napoca, 400003, Romania"/>
    <s v="Av. Rovisco Pais 1, Laboratorio de Analises de Agua, Lisbon, 1049-001, Portugal"/>
    <n v="89"/>
    <s v="Pick-up service of hypothetic package as defined in the Tech. Specs. and delivery to lots_x000a_2 and 3 contractors according to Scenario 1"/>
    <s v="YES"/>
    <s v="EUEU"/>
  </r>
  <r>
    <n v="605"/>
    <s v="3rd-party-sample-UPS"/>
    <n v="1"/>
    <d v="2025-09-23T00:00:00"/>
    <x v="65"/>
    <n v="39"/>
    <s v="25-09"/>
    <x v="18"/>
    <s v="Àthens WWTP"/>
    <s v="Athens Airport"/>
    <n v="0.66666666666666663"/>
    <s v="Instituto Superior Tecnico"/>
    <s v="Remco"/>
    <s v="1ZRJ76798616670431"/>
    <s v="Jason"/>
    <s v="29Z9165KOCD NEW: 29H968K0995"/>
    <m/>
    <s v="YES"/>
    <s v="y"/>
    <m/>
    <m/>
    <s v="2025_09_23"/>
    <s v="Àthens"/>
    <s v="Greece"/>
    <n v="37"/>
    <s v="Zografou, 4ος όροφος, εργαστήριο αριθμός 8, Athens,  157 71, Greece"/>
    <s v="Av. Rovisco Pais 1, Laboratorio de Analises de Agua, Lisbon, 1049-001, Portugal"/>
    <n v="89"/>
    <s v="Pick-up service of hypothetic package as defined in the Tech. Specs. and delivery to lots_x000a_2 and 3 contractors according to Scenario 1"/>
    <s v="YES"/>
    <s v="EUEU"/>
  </r>
  <r>
    <n v="606"/>
    <s v="3rd-party-sample-UPS"/>
    <n v="1"/>
    <d v="2025-10-08T00:00:00"/>
    <x v="57"/>
    <n v="41"/>
    <s v="25-10"/>
    <x v="18"/>
    <s v="Àthens WWTP"/>
    <s v="Athens Airport"/>
    <n v="0.66666666666666663"/>
    <s v="Instituto Superior Tecnico"/>
    <s v="Remco"/>
    <s v="1ZRJ76798602320684"/>
    <s v="Tom"/>
    <s v="294NDDLQ9AO"/>
    <s v="0082_WWI_00002_M1C_01"/>
    <s v="YES"/>
    <s v="y"/>
    <m/>
    <m/>
    <s v="2025_10_08"/>
    <s v="Àthens"/>
    <s v="Greece"/>
    <n v="39"/>
    <s v="Zografou, 4ος όροφος, εργαστήριο αριθμός 8, Athens,  157 71, Greece"/>
    <s v="Av. Rovisco Pais 1, Laboratorio de Analises de Agua, Lisbon, 1049-001, Portugal"/>
    <n v="89"/>
    <s v="Pick-up service of hypothetic package as defined in the Tech. Specs. and delivery to lots_x000a_2 and 3 contractors according to Scenario 1"/>
    <s v="NO"/>
    <s v="EUEU"/>
  </r>
  <r>
    <n v="607"/>
    <s v="3rd-party-sample-UPS"/>
    <n v="1"/>
    <d v="2025-10-22T00:00:00"/>
    <x v="58"/>
    <n v="43"/>
    <s v="25-10"/>
    <x v="18"/>
    <s v="Àthens WWTP"/>
    <s v="Athens Airport"/>
    <n v="0.66666666666666663"/>
    <s v="Instituto Superior Tecnico"/>
    <s v="Tom"/>
    <s v="1ZRJ76798612048746"/>
    <m/>
    <m/>
    <m/>
    <s v="YES"/>
    <m/>
    <m/>
    <m/>
    <s v="2025_10_22"/>
    <s v="Àthens"/>
    <s v="Greece"/>
    <n v="41"/>
    <s v="Zografou, 4ος όροφος, εργαστήριο αριθμός 8, Athens,  157 71, Greece"/>
    <s v="Av. Rovisco Pais 1, Laboratorio de Analises de Agua, Lisbon, 1049-001, Portugal"/>
    <n v="89"/>
    <s v="Pick-up service of hypothetic package as defined in the Tech. Specs. and delivery to lots_x000a_2 and 3 contractors according to Scenario 1"/>
    <s v="YES"/>
    <s v="EUEU"/>
  </r>
  <r>
    <n v="608"/>
    <s v="3rd-party-sample-UPS"/>
    <n v="1"/>
    <d v="2025-11-05T00:00:00"/>
    <x v="59"/>
    <n v="45"/>
    <s v="25-11"/>
    <x v="18"/>
    <s v="Àthens WWTP"/>
    <s v="Athens Airport"/>
    <n v="0.66666666666666663"/>
    <m/>
    <s v="Remco"/>
    <s v="1ZRJ73868608947337"/>
    <m/>
    <m/>
    <m/>
    <s v="YES"/>
    <m/>
    <m/>
    <m/>
    <s v="2025_11_05"/>
    <s v="Àthens"/>
    <s v="Greece"/>
    <n v="43"/>
    <s v="Zografou, 4ος όροφος, εργαστήριο αριθμός 8, Athens,  157 71, Greece"/>
    <n v="0"/>
    <s v=""/>
    <s v=""/>
    <s v="NO"/>
    <s v="EU"/>
  </r>
  <r>
    <n v="609"/>
    <s v="3rd-party-sample-UPS"/>
    <n v="1"/>
    <d v="2025-11-19T00:00:00"/>
    <x v="60"/>
    <n v="47"/>
    <s v="25-11"/>
    <x v="18"/>
    <s v="Àthens WWTP"/>
    <s v="Athens Airport"/>
    <n v="0.66666666666666663"/>
    <m/>
    <m/>
    <m/>
    <m/>
    <m/>
    <m/>
    <s v="NO"/>
    <m/>
    <m/>
    <m/>
    <s v="2025_11_19"/>
    <s v="Àthens"/>
    <s v="Greece"/>
    <n v="45"/>
    <s v="Zografou, 4ος όροφος, εργαστήριο αριθμός 8, Athens,  157 71, Greece"/>
    <n v="0"/>
    <s v=""/>
    <s v=""/>
    <s v="NO"/>
    <s v="EU"/>
  </r>
  <r>
    <n v="610"/>
    <s v="3rd-party-sample-UPS"/>
    <n v="1"/>
    <d v="2025-12-03T00:00:00"/>
    <x v="61"/>
    <n v="49"/>
    <s v="25-12"/>
    <x v="18"/>
    <s v="Àthens WWTP"/>
    <s v="Athens Airport"/>
    <n v="0.66666666666666663"/>
    <m/>
    <m/>
    <m/>
    <m/>
    <m/>
    <m/>
    <s v="NO"/>
    <m/>
    <m/>
    <m/>
    <s v="2025_12_03"/>
    <s v="Àthens"/>
    <s v="Greece"/>
    <n v="47"/>
    <s v="Zografou, 4ος όροφος, εργαστήριο αριθμός 8, Athens,  157 71, Greece"/>
    <n v="0"/>
    <s v=""/>
    <s v=""/>
    <s v="NO"/>
    <s v="EU"/>
  </r>
  <r>
    <n v="611"/>
    <s v="3rd-party-sample-UPS"/>
    <n v="1"/>
    <d v="2025-12-17T00:00:00"/>
    <x v="62"/>
    <n v="51"/>
    <s v="25-12"/>
    <x v="18"/>
    <s v="Àthens WWTP"/>
    <s v="Athens Airport"/>
    <n v="0.66666666666666663"/>
    <m/>
    <m/>
    <m/>
    <m/>
    <m/>
    <m/>
    <s v="NO"/>
    <m/>
    <m/>
    <m/>
    <s v="2025_12_17"/>
    <s v="Àthens"/>
    <s v="Greece"/>
    <n v="49"/>
    <s v="Zografou, 4ος όροφος, εργαστήριο αριθμός 8, Athens,  157 71, Greece"/>
    <n v="0"/>
    <s v=""/>
    <s v=""/>
    <s v="NO"/>
    <s v="EU"/>
  </r>
  <r>
    <n v="612"/>
    <s v="3rd-party-sample-UPS"/>
    <n v="1"/>
    <d v="2025-09-24T00:00:00"/>
    <x v="66"/>
    <n v="39"/>
    <s v="25-09"/>
    <x v="18"/>
    <s v="Àthens WWTP"/>
    <s v="Athens Airport"/>
    <n v="0.66666666666666663"/>
    <s v="Instituto Superior Tecnico"/>
    <s v="Remco"/>
    <s v="1ZRJ76798604848441"/>
    <s v="Jason"/>
    <s v="29891M1R0NF NEW: 29H968K0995"/>
    <m/>
    <s v="YES"/>
    <s v="y"/>
    <m/>
    <m/>
    <s v="2025_09_24"/>
    <s v="Àthens"/>
    <s v="Greece"/>
    <n v="37"/>
    <s v="Zografou, 4ος όροφος, εργαστήριο αριθμός 8, Athens,  157 71, Greece"/>
    <s v="Av. Rovisco Pais 1, Laboratorio de Analises de Agua, Lisbon, 1049-001, Portugal"/>
    <n v="89"/>
    <s v="Pick-up service of hypothetic package as defined in the Tech. Specs. and delivery to lots_x000a_2 and 3 contractors according to Scenario 1"/>
    <s v="YES"/>
    <s v="EUEU"/>
  </r>
  <r>
    <n v="613"/>
    <s v="3rd-party-sample-UPS"/>
    <n v="1"/>
    <d v="2025-10-09T00:00:00"/>
    <x v="67"/>
    <n v="41"/>
    <s v="25-10"/>
    <x v="18"/>
    <s v="Àthens WWTP"/>
    <s v="Athens Airport"/>
    <n v="0.66666666666666663"/>
    <s v="Instituto Superior Tecnico"/>
    <s v="Remco"/>
    <s v="1ZRJ76798610598692"/>
    <s v="Tom"/>
    <s v="29P9JBN64B2"/>
    <s v="0082_WWI_00002_P2D_01"/>
    <s v="YES"/>
    <s v="y"/>
    <m/>
    <m/>
    <s v="2025_10_09"/>
    <s v="Àthens"/>
    <s v="Greece"/>
    <n v="40"/>
    <s v="Zografou, 4ος όροφος, εργαστήριο αριθμός 8, Athens,  157 71, Greece"/>
    <s v="Av. Rovisco Pais 1, Laboratorio de Analises de Agua, Lisbon, 1049-001, Portugal"/>
    <n v="89"/>
    <s v="Pick-up service of hypothetic package as defined in the Tech. Specs. and delivery to lots_x000a_2 and 3 contractors according to Scenario 1"/>
    <s v="NO"/>
    <s v="EUEU"/>
  </r>
  <r>
    <n v="614"/>
    <s v="3rd-party-sample-UPS"/>
    <n v="1"/>
    <d v="2025-10-23T00:00:00"/>
    <x v="68"/>
    <n v="43"/>
    <s v="25-10"/>
    <x v="18"/>
    <s v="Àthens WWTP"/>
    <s v="Athens Airport"/>
    <n v="0.66666666666666663"/>
    <s v="Instituto Superior Tecnico"/>
    <s v="Tom"/>
    <s v="1ZRJ76798611550758"/>
    <m/>
    <m/>
    <m/>
    <s v="YES"/>
    <m/>
    <m/>
    <m/>
    <s v="2025_10_23"/>
    <s v="Àthens"/>
    <s v="Greece"/>
    <n v="42"/>
    <s v="Zografou, 4ος όροφος, εργαστήριο αριθμός 8, Athens,  157 71, Greece"/>
    <s v="Av. Rovisco Pais 1, Laboratorio de Analises de Agua, Lisbon, 1049-001, Portugal"/>
    <n v="89"/>
    <s v="Pick-up service of hypothetic package as defined in the Tech. Specs. and delivery to lots_x000a_2 and 3 contractors according to Scenario 1"/>
    <s v="YES"/>
    <s v="EUEU"/>
  </r>
  <r>
    <n v="615"/>
    <s v="3rd-party-sample-UPS"/>
    <n v="1"/>
    <d v="2025-11-06T00:00:00"/>
    <x v="69"/>
    <n v="45"/>
    <s v="25-11"/>
    <x v="18"/>
    <s v="Àthens WWTP"/>
    <s v="Athens Airport"/>
    <n v="0.66666666666666663"/>
    <m/>
    <s v="Remco"/>
    <s v="1ZRJ73868615248141"/>
    <m/>
    <m/>
    <m/>
    <s v="YES"/>
    <m/>
    <m/>
    <m/>
    <s v="2025_11_06"/>
    <s v="Àthens"/>
    <s v="Greece"/>
    <n v="44"/>
    <s v="Zografou, 4ος όροφος, εργαστήριο αριθμός 8, Athens,  157 71, Greece"/>
    <n v="0"/>
    <s v=""/>
    <s v=""/>
    <s v="NO"/>
    <s v="EU"/>
  </r>
  <r>
    <n v="616"/>
    <s v="3rd-party-sample-UPS"/>
    <n v="1"/>
    <d v="2025-11-20T00:00:00"/>
    <x v="70"/>
    <n v="47"/>
    <s v="25-11"/>
    <x v="18"/>
    <s v="Àthens WWTP"/>
    <s v="Athens Airport"/>
    <n v="0.66666666666666663"/>
    <m/>
    <m/>
    <m/>
    <m/>
    <m/>
    <m/>
    <s v="NO"/>
    <m/>
    <m/>
    <m/>
    <s v="2025_11_20"/>
    <s v="Àthens"/>
    <s v="Greece"/>
    <n v="46"/>
    <s v="Zografou, 4ος όροφος, εργαστήριο αριθμός 8, Athens,  157 71, Greece"/>
    <n v="0"/>
    <s v=""/>
    <s v=""/>
    <s v="NO"/>
    <s v="EU"/>
  </r>
  <r>
    <n v="617"/>
    <s v="3rd-party-sample-UPS"/>
    <n v="1"/>
    <d v="2025-12-04T00:00:00"/>
    <x v="71"/>
    <n v="49"/>
    <s v="25-12"/>
    <x v="18"/>
    <s v="Àthens WWTP"/>
    <s v="Athens Airport"/>
    <n v="0.66666666666666663"/>
    <m/>
    <m/>
    <m/>
    <m/>
    <m/>
    <m/>
    <s v="NO"/>
    <m/>
    <m/>
    <m/>
    <s v="2025_12_04"/>
    <s v="Àthens"/>
    <s v="Greece"/>
    <n v="48"/>
    <s v="Zografou, 4ος όροφος, εργαστήριο αριθμός 8, Athens,  157 71, Greece"/>
    <n v="0"/>
    <s v=""/>
    <s v=""/>
    <s v="NO"/>
    <s v="EU"/>
  </r>
  <r>
    <n v="618"/>
    <s v="3rd-party-sample-UPS"/>
    <n v="1"/>
    <d v="2025-12-16T00:00:00"/>
    <x v="33"/>
    <n v="51"/>
    <s v="25-12"/>
    <x v="18"/>
    <s v="Àthens WWTP"/>
    <s v="Athens Airport"/>
    <n v="0.66666666666666663"/>
    <m/>
    <m/>
    <m/>
    <m/>
    <m/>
    <m/>
    <s v="NO"/>
    <m/>
    <m/>
    <m/>
    <s v="2025_12_16"/>
    <s v="Àthens"/>
    <s v="Greece"/>
    <n v="49"/>
    <s v="Zografou, 4ος όροφος, εργαστήριο αριθμός 8, Athens,  157 71, Greece"/>
    <n v="0"/>
    <s v=""/>
    <s v=""/>
    <s v="NO"/>
    <s v="EU"/>
  </r>
  <r>
    <n v="619"/>
    <s v="3rd-party-sample-UPS"/>
    <n v="1"/>
    <d v="2025-09-24T00:00:00"/>
    <x v="66"/>
    <n v="39"/>
    <s v="25-09"/>
    <x v="19"/>
    <s v="Heraklion WWTP"/>
    <s v="Heraklion Airport"/>
    <n v="0.5"/>
    <s v="Instituto Superior Tecnico"/>
    <s v="Remco"/>
    <s v="1ZRJ76798616416466"/>
    <s v="Jason"/>
    <s v="29X910QD6KH"/>
    <s v="0082_WWI_00001_X3T_01"/>
    <s v="YES"/>
    <s v="y"/>
    <m/>
    <m/>
    <s v="2025_09_24"/>
    <s v="Heraklion"/>
    <s v="Greece"/>
    <n v="37"/>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YES"/>
    <s v="EUEU"/>
  </r>
  <r>
    <n v="620"/>
    <s v="3rd-party-sample-UPS"/>
    <n v="1"/>
    <d v="2025-10-09T00:00:00"/>
    <x v="67"/>
    <n v="41"/>
    <s v="25-10"/>
    <x v="19"/>
    <s v="Heraklion WWTP"/>
    <s v="Heraklion Airport"/>
    <n v="0.5"/>
    <s v="Instituto Superior Tecnico"/>
    <s v="Remco"/>
    <s v="1ZRJ76798612976663"/>
    <s v="Tom"/>
    <s v="29Q9J399PPM"/>
    <s v="0082_WWI_00002_A7F_01"/>
    <s v="YES"/>
    <s v="y"/>
    <m/>
    <m/>
    <s v="2025_10_09"/>
    <s v="Heraklion"/>
    <s v="Greece"/>
    <n v="40"/>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NO"/>
    <s v="EUEU"/>
  </r>
  <r>
    <n v="621"/>
    <s v="3rd-party-sample-UPS"/>
    <n v="1"/>
    <d v="2025-10-23T00:00:00"/>
    <x v="68"/>
    <n v="43"/>
    <s v="25-10"/>
    <x v="19"/>
    <s v="Heraklion WWTP"/>
    <s v="Heraklion Airport"/>
    <n v="0.5"/>
    <s v="Instituto Superior Tecnico"/>
    <s v="Remco"/>
    <n v="1094950813"/>
    <m/>
    <m/>
    <m/>
    <s v="YES"/>
    <m/>
    <m/>
    <m/>
    <s v="2025_10_23"/>
    <s v="Heraklion"/>
    <s v="Greece"/>
    <n v="42"/>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YES"/>
    <s v="EUEU"/>
  </r>
  <r>
    <n v="622"/>
    <s v="3rd-party-sample-UPS"/>
    <n v="1"/>
    <d v="2025-11-06T00:00:00"/>
    <x v="69"/>
    <n v="45"/>
    <s v="25-11"/>
    <x v="19"/>
    <s v="Heraklion WWTP"/>
    <s v="Heraklion Airport"/>
    <n v="0.5"/>
    <s v="Instituto Superior Tecnico"/>
    <s v="Remco"/>
    <n v="1094950920"/>
    <m/>
    <m/>
    <m/>
    <s v="YES"/>
    <m/>
    <m/>
    <m/>
    <s v="2025_11_06"/>
    <s v="Heraklion"/>
    <s v="Greece"/>
    <n v="44"/>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NO"/>
    <s v="EUEU"/>
  </r>
  <r>
    <n v="623"/>
    <s v="3rd-party-sample-UPS"/>
    <n v="1"/>
    <d v="2025-11-20T00:00:00"/>
    <x v="70"/>
    <n v="47"/>
    <s v="25-11"/>
    <x v="19"/>
    <s v="Heraklion WWTP"/>
    <s v="Heraklion Airport"/>
    <n v="0.5"/>
    <m/>
    <m/>
    <m/>
    <m/>
    <m/>
    <m/>
    <s v="NO"/>
    <m/>
    <m/>
    <m/>
    <s v="2025_11_20"/>
    <s v="Heraklion"/>
    <s v="Greece"/>
    <n v="46"/>
    <s v="Andrea Kalokerinou 13, Pteryga 3D, Giofirakia, 715 00, Greece"/>
    <n v="0"/>
    <s v=""/>
    <s v=""/>
    <s v="NO"/>
    <s v="EU"/>
  </r>
  <r>
    <n v="624"/>
    <s v="3rd-party-sample-UPS"/>
    <n v="1"/>
    <d v="2025-12-04T00:00:00"/>
    <x v="71"/>
    <n v="49"/>
    <s v="25-12"/>
    <x v="19"/>
    <s v="Heraklion WWTP"/>
    <s v="Heraklion Airport"/>
    <n v="0.5"/>
    <m/>
    <m/>
    <m/>
    <m/>
    <m/>
    <m/>
    <s v="NO"/>
    <m/>
    <m/>
    <m/>
    <s v="2025_12_04"/>
    <s v="Heraklion"/>
    <s v="Greece"/>
    <n v="48"/>
    <s v="Andrea Kalokerinou 13, Pteryga 3D, Giofirakia, 715 00, Greece"/>
    <n v="0"/>
    <s v=""/>
    <s v=""/>
    <s v="NO"/>
    <s v="EU"/>
  </r>
  <r>
    <n v="625"/>
    <s v="3rd-party-sample-UPS"/>
    <n v="1"/>
    <d v="2025-12-16T00:00:00"/>
    <x v="33"/>
    <n v="51"/>
    <s v="25-12"/>
    <x v="19"/>
    <s v="Heraklion WWTP"/>
    <s v="Heraklion Airport"/>
    <n v="0.5"/>
    <m/>
    <m/>
    <m/>
    <m/>
    <m/>
    <m/>
    <s v="NO"/>
    <m/>
    <m/>
    <m/>
    <s v="2025_12_16"/>
    <s v="Heraklion"/>
    <s v="Greece"/>
    <n v="49"/>
    <s v="Andrea Kalokerinou 13, Pteryga 3D, Giofirakia, 715 00, Greece"/>
    <n v="0"/>
    <s v=""/>
    <s v=""/>
    <s v="NO"/>
    <s v="EU"/>
  </r>
  <r>
    <n v="626"/>
    <s v="3rd-party-sample-UPS"/>
    <n v="1"/>
    <d v="2025-09-24T00:00:00"/>
    <x v="66"/>
    <n v="39"/>
    <s v="25-09"/>
    <x v="19"/>
    <s v="Heraklion WWTP"/>
    <s v="Heraklion Airport"/>
    <n v="0.5"/>
    <s v="Instituto Superior Tecnico"/>
    <s v="Remco"/>
    <s v="1ZRJ76798603006478"/>
    <s v="Jason"/>
    <s v="29X910QD6KH"/>
    <s v="0082_WWI_00001_A7F_01"/>
    <s v="YES"/>
    <s v="y"/>
    <m/>
    <m/>
    <s v="2025_09_24"/>
    <s v="Heraklion"/>
    <s v="Greece"/>
    <n v="37"/>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YES"/>
    <s v="EUEU"/>
  </r>
  <r>
    <n v="627"/>
    <s v="3rd-party-sample-UPS"/>
    <n v="1"/>
    <d v="2025-10-09T00:00:00"/>
    <x v="67"/>
    <n v="41"/>
    <s v="25-10"/>
    <x v="19"/>
    <s v="Heraklion WWTP"/>
    <s v="Heraklion Airport"/>
    <n v="0.5"/>
    <s v="Instituto Superior Tecnico"/>
    <s v="Remco"/>
    <s v="1ZRJ76798603646670"/>
    <s v="Tom"/>
    <s v="29Q9J399PPM"/>
    <s v="0082_WWI_00002_X3T_01"/>
    <s v="YES"/>
    <s v="y"/>
    <m/>
    <m/>
    <s v="2025_10_09"/>
    <s v="Heraklion"/>
    <s v="Greece"/>
    <n v="40"/>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NO"/>
    <s v="EUEU"/>
  </r>
  <r>
    <n v="628"/>
    <s v="3rd-party-sample-UPS"/>
    <n v="1"/>
    <d v="2025-10-23T00:00:00"/>
    <x v="68"/>
    <n v="43"/>
    <s v="25-10"/>
    <x v="19"/>
    <s v="Heraklion WWTP"/>
    <s v="Heraklion Airport"/>
    <n v="0.5"/>
    <s v="Instituto Superior Tecnico"/>
    <s v="Remco"/>
    <n v="1094950813"/>
    <m/>
    <m/>
    <m/>
    <s v="YES"/>
    <m/>
    <m/>
    <m/>
    <s v="2025_10_23"/>
    <s v="Heraklion"/>
    <s v="Greece"/>
    <n v="42"/>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YES"/>
    <s v="EUEU"/>
  </r>
  <r>
    <n v="629"/>
    <s v="3rd-party-sample-UPS"/>
    <n v="1"/>
    <d v="2025-11-06T00:00:00"/>
    <x v="69"/>
    <n v="45"/>
    <s v="25-11"/>
    <x v="19"/>
    <s v="Heraklion WWTP"/>
    <s v="Heraklion Airport"/>
    <n v="0.5"/>
    <s v="Instituto Superior Tecnico"/>
    <s v="Remco"/>
    <n v="1094950920"/>
    <m/>
    <m/>
    <m/>
    <s v="YES"/>
    <m/>
    <m/>
    <m/>
    <s v="2025_11_06"/>
    <s v="Heraklion"/>
    <s v="Greece"/>
    <n v="44"/>
    <s v="Andrea Kalokerinou 13, Pteryga 3D, Giofirakia, 715 00, Greece"/>
    <s v="Av. Rovisco Pais 1, Laboratorio de Analises de Agua, Lisbon, 1049-001, Portugal"/>
    <n v="89"/>
    <s v="Pick-up service of hypothetic package as defined in the Tech. Specs. and delivery to lots_x000a_2 and 3 contractors according to Scenario 1"/>
    <s v="NO"/>
    <s v="EUEU"/>
  </r>
  <r>
    <n v="630"/>
    <s v="3rd-party-sample-UPS"/>
    <n v="1"/>
    <d v="2025-11-20T00:00:00"/>
    <x v="70"/>
    <n v="47"/>
    <s v="25-11"/>
    <x v="19"/>
    <s v="Heraklion WWTP"/>
    <s v="Heraklion Airport"/>
    <n v="0.5"/>
    <m/>
    <m/>
    <m/>
    <m/>
    <m/>
    <m/>
    <s v="NO"/>
    <m/>
    <m/>
    <m/>
    <s v="2025_11_20"/>
    <s v="Heraklion"/>
    <s v="Greece"/>
    <n v="46"/>
    <s v="Andrea Kalokerinou 13, Pteryga 3D, Giofirakia, 715 00, Greece"/>
    <n v="0"/>
    <s v=""/>
    <s v=""/>
    <s v="NO"/>
    <s v="EU"/>
  </r>
  <r>
    <n v="631"/>
    <s v="3rd-party-sample-UPS"/>
    <n v="1"/>
    <d v="2025-12-04T00:00:00"/>
    <x v="71"/>
    <n v="49"/>
    <s v="25-12"/>
    <x v="19"/>
    <s v="Heraklion WWTP"/>
    <s v="Heraklion Airport"/>
    <n v="0.5"/>
    <m/>
    <m/>
    <m/>
    <m/>
    <m/>
    <m/>
    <s v="NO"/>
    <m/>
    <m/>
    <m/>
    <s v="2025_12_04"/>
    <s v="Heraklion"/>
    <s v="Greece"/>
    <n v="48"/>
    <s v="Andrea Kalokerinou 13, Pteryga 3D, Giofirakia, 715 00, Greece"/>
    <n v="0"/>
    <s v=""/>
    <s v=""/>
    <s v="NO"/>
    <s v="EU"/>
  </r>
  <r>
    <n v="632"/>
    <s v="3rd-party-sample-UPS"/>
    <n v="1"/>
    <d v="2025-12-16T00:00:00"/>
    <x v="33"/>
    <n v="51"/>
    <s v="25-12"/>
    <x v="19"/>
    <s v="Heraklion WWTP"/>
    <s v="Heraklion Airport"/>
    <n v="0.5"/>
    <m/>
    <m/>
    <m/>
    <m/>
    <m/>
    <m/>
    <s v="NO"/>
    <m/>
    <m/>
    <m/>
    <s v="2025_12_16"/>
    <s v="Heraklion"/>
    <s v="Greece"/>
    <n v="49"/>
    <s v="Andrea Kalokerinou 13, Pteryga 3D, Giofirakia, 715 00, Greece"/>
    <n v="0"/>
    <s v=""/>
    <s v=""/>
    <s v="NO"/>
    <s v="EU"/>
  </r>
  <r>
    <n v="633"/>
    <s v="3rd-party-sample-UPS"/>
    <n v="1"/>
    <d v="2025-09-24T00:00:00"/>
    <x v="66"/>
    <n v="39"/>
    <s v="25-09"/>
    <x v="20"/>
    <s v="Riga WWTP"/>
    <s v="-"/>
    <n v="0.70833333333333337"/>
    <s v="Instituto Superior Tecnico"/>
    <s v="Remco"/>
    <s v="1ZRJ76798623347483"/>
    <s v="Tom"/>
    <s v="29GN023F7DF"/>
    <m/>
    <s v="YES"/>
    <s v="y"/>
    <m/>
    <m/>
    <s v="2025_09_24"/>
    <s v="Riga"/>
    <s v="Latvia"/>
    <n v="37"/>
    <s v="Pilsonu iela 13, Zemgales priekšpilsēta, Rīga, LV-1002, Latvia"/>
    <s v="Av. Rovisco Pais 1, Laboratorio de Analises de Agua, Lisbon, 1049-001, Portugal"/>
    <n v="89"/>
    <s v="Pick-up service of hypothetic package as defined in the Tech. Specs. and delivery to lots_x000a_2 and 3 contractors according to Scenario 1"/>
    <s v="YES"/>
    <s v="EUEU"/>
  </r>
  <r>
    <n v="634"/>
    <s v="3rd-party-sample-UPS"/>
    <n v="1"/>
    <d v="2025-09-25T00:00:00"/>
    <x v="66"/>
    <n v="39"/>
    <s v="25-09"/>
    <x v="20"/>
    <s v="Riga WWTP"/>
    <s v="-"/>
    <n v="0.70833333333333337"/>
    <s v="Instituto Superior Tecnico"/>
    <s v="Remco"/>
    <s v="1ZRJ76798621888698"/>
    <s v="Tom"/>
    <s v="29GN023F7DF"/>
    <m/>
    <s v="YES"/>
    <s v="y"/>
    <m/>
    <m/>
    <s v="2025_09_25"/>
    <s v="Riga"/>
    <s v="Latvia"/>
    <n v="38"/>
    <s v="Pilsonu iela 13, Zemgales priekšpilsēta, Rīga, LV-1002, Latvia"/>
    <s v="Av. Rovisco Pais 1, Laboratorio de Analises de Agua, Lisbon, 1049-001, Portugal"/>
    <n v="89"/>
    <s v="Pick-up service of hypothetic package as defined in the Tech. Specs. and delivery to lots_x000a_2 and 3 contractors according to Scenario 1"/>
    <s v="YES"/>
    <s v="EUEU"/>
  </r>
  <r>
    <n v="635"/>
    <s v="3rd-party-sample-UPS"/>
    <n v="1"/>
    <d v="2025-10-06T00:00:00"/>
    <x v="28"/>
    <n v="41"/>
    <s v="25-10"/>
    <x v="21"/>
    <s v="Wien WWTP"/>
    <s v="-"/>
    <n v="0.5"/>
    <s v="Instituto Superior Tecnico"/>
    <s v="Remco"/>
    <s v="1ZRJ76798617606973"/>
    <s v="Tom"/>
    <s v="29FND5C3NPN"/>
    <m/>
    <s v="YES"/>
    <s v="y"/>
    <m/>
    <m/>
    <s v="2025_10_06"/>
    <s v="Wien"/>
    <s v="Austria"/>
    <n v="39"/>
    <s v="Währinger Gürtel 18-20, Wien, 1090, Austria"/>
    <s v="Av. Rovisco Pais 1, Laboratorio de Analises de Agua, Lisbon, 1049-001, Portugal"/>
    <n v="89"/>
    <s v="Pick-up service of hypothetic package as defined in the Tech. Specs. and delivery to lots_x000a_2 and 3 contractors according to Scenario 1"/>
    <s v="YES"/>
    <s v="EUEU"/>
  </r>
  <r>
    <n v="636"/>
    <s v="3rd-party-sample-UPS"/>
    <n v="1"/>
    <d v="2025-10-20T00:00:00"/>
    <x v="29"/>
    <n v="43"/>
    <s v="25-10"/>
    <x v="21"/>
    <s v="Wien WWTP"/>
    <s v="-"/>
    <n v="0.5"/>
    <s v="Instituto Superior Tecnico"/>
    <s v="Remco"/>
    <s v="1ZRJ73868625005134"/>
    <m/>
    <m/>
    <m/>
    <s v="YES"/>
    <m/>
    <m/>
    <m/>
    <s v="2025_10_20"/>
    <s v="Wien"/>
    <s v="Austria"/>
    <n v="41"/>
    <s v="Währinger Gürtel 18-20, Wien, 1090, Austria"/>
    <s v="Av. Rovisco Pais 1, Laboratorio de Analises de Agua, Lisbon, 1049-001, Portugal"/>
    <n v="89"/>
    <s v="Pick-up service of hypothetic package as defined in the Tech. Specs. and delivery to lots_x000a_2 and 3 contractors according to Scenario 1"/>
    <s v="NO"/>
    <s v="EUEU"/>
  </r>
  <r>
    <n v="637"/>
    <s v="3rd-party-sample-UPS"/>
    <n v="1"/>
    <d v="2025-11-03T00:00:00"/>
    <x v="30"/>
    <n v="45"/>
    <s v="25-11"/>
    <x v="21"/>
    <s v="Wien WWTP"/>
    <s v="-"/>
    <n v="0.5"/>
    <s v="Instituto Superior Tecnico"/>
    <s v="Remco"/>
    <s v="1ZRJ73868638844963"/>
    <m/>
    <m/>
    <m/>
    <s v="YES"/>
    <m/>
    <m/>
    <m/>
    <s v="2025_11_03"/>
    <s v="Wien"/>
    <s v="Austria"/>
    <n v="43"/>
    <s v="Währinger Gürtel 18-20, Wien, 1090, Austria"/>
    <s v="Av. Rovisco Pais 1, Laboratorio de Analises de Agua, Lisbon, 1049-001, Portugal"/>
    <n v="89"/>
    <s v="Pick-up service of hypothetic package as defined in the Tech. Specs. and delivery to lots_x000a_2 and 3 contractors according to Scenario 1"/>
    <s v="NO"/>
    <s v="EUEU"/>
  </r>
  <r>
    <n v="638"/>
    <s v="3rd-party-sample-UPS"/>
    <n v="1"/>
    <d v="2025-11-17T00:00:00"/>
    <x v="31"/>
    <n v="47"/>
    <s v="25-11"/>
    <x v="21"/>
    <s v="Wien WWTP"/>
    <s v="-"/>
    <n v="0.5"/>
    <s v="Instituto Superior Tecnico"/>
    <m/>
    <m/>
    <m/>
    <m/>
    <m/>
    <s v="NO"/>
    <m/>
    <m/>
    <m/>
    <s v="2025_11_17"/>
    <s v="Wien"/>
    <s v="Austria"/>
    <n v="45"/>
    <s v="Währinger Gürtel 18-20, Wien, 1090, Austria"/>
    <s v="Av. Rovisco Pais 1, Laboratorio de Analises de Agua, Lisbon, 1049-001, Portugal"/>
    <n v="89"/>
    <s v="Pick-up service of hypothetic package as defined in the Tech. Specs. and delivery to lots_x000a_2 and 3 contractors according to Scenario 1"/>
    <s v="NO"/>
    <s v="EUEU"/>
  </r>
  <r>
    <n v="639"/>
    <s v="3rd-party-sample-UPS"/>
    <n v="1"/>
    <d v="2025-12-01T00:00:00"/>
    <x v="32"/>
    <n v="49"/>
    <s v="25-12"/>
    <x v="21"/>
    <s v="Wien WWTP"/>
    <s v="-"/>
    <n v="0.5"/>
    <s v="Instituto Superior Tecnico"/>
    <m/>
    <m/>
    <m/>
    <m/>
    <m/>
    <s v="NO"/>
    <m/>
    <m/>
    <m/>
    <s v="2025_12_01"/>
    <s v="Wien"/>
    <s v="Austria"/>
    <n v="47"/>
    <s v="Währinger Gürtel 18-20, Wien, 1090, Austria"/>
    <s v="Av. Rovisco Pais 1, Laboratorio de Analises de Agua, Lisbon, 1049-001, Portugal"/>
    <n v="89"/>
    <s v="Pick-up service of hypothetic package as defined in the Tech. Specs. and delivery to lots_x000a_2 and 3 contractors according to Scenario 1"/>
    <s v="NO"/>
    <s v="EUEU"/>
  </r>
  <r>
    <n v="640"/>
    <s v="3rd-party-sample-UPS"/>
    <n v="1"/>
    <d v="2025-12-15T00:00:00"/>
    <x v="33"/>
    <n v="51"/>
    <s v="25-12"/>
    <x v="21"/>
    <s v="Wien WWTP"/>
    <s v="-"/>
    <n v="0.5"/>
    <s v="Instituto Superior Tecnico"/>
    <m/>
    <m/>
    <m/>
    <m/>
    <m/>
    <s v="NO"/>
    <m/>
    <m/>
    <m/>
    <s v="2025_12_15"/>
    <s v="Wien"/>
    <s v="Austria"/>
    <n v="49"/>
    <s v="Währinger Gürtel 18-20, Wien, 1090, Austria"/>
    <s v="Av. Rovisco Pais 1, Laboratorio de Analises de Agua, Lisbon, 1049-001, Portugal"/>
    <n v="89"/>
    <s v="Pick-up service of hypothetic package as defined in the Tech. Specs. and delivery to lots_x000a_2 and 3 contractors according to Scenario 1"/>
    <s v="NO"/>
    <s v="EUEU"/>
  </r>
  <r>
    <n v="641"/>
    <s v="3rd-party-sample-UPS"/>
    <n v="1"/>
    <d v="2025-10-08T00:00:00"/>
    <x v="57"/>
    <n v="41"/>
    <s v="25-10"/>
    <x v="5"/>
    <s v="Luxembourg (Beggen) WWTP"/>
    <s v="Luxembourg Airport"/>
    <n v="0.66666666666666663"/>
    <s v="Instituto Superior Tecnico"/>
    <s v="Jason"/>
    <s v="1ZRJ76798636611127"/>
    <s v="Tom"/>
    <s v="29L9JDLI2RR"/>
    <m/>
    <s v="YES"/>
    <s v="y"/>
    <m/>
    <m/>
    <s v="2025_10_08"/>
    <s v="Luxembourg"/>
    <s v="Luxembourg"/>
    <n v="39"/>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642"/>
    <s v="3rd-party-sample-UPS"/>
    <n v="1"/>
    <d v="2025-10-21T00:00:00"/>
    <x v="29"/>
    <n v="43"/>
    <s v="25-10"/>
    <x v="5"/>
    <s v="Luxembourg (Beggen) WWTP"/>
    <s v="Luxembourg Airport"/>
    <n v="0.66666666666666663"/>
    <s v="Instituto Superior Tecnico"/>
    <s v="Jason"/>
    <s v="1ZRJ73868607580529"/>
    <m/>
    <m/>
    <m/>
    <s v="YES"/>
    <m/>
    <m/>
    <m/>
    <s v="2025_10_21"/>
    <s v="Luxembourg"/>
    <s v="Luxembourg"/>
    <n v="41"/>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643"/>
    <s v="3rd-party-sample-UPS"/>
    <n v="1"/>
    <d v="2025-11-06T00:00:00"/>
    <x v="69"/>
    <n v="45"/>
    <s v="25-11"/>
    <x v="5"/>
    <s v="Luxembourg (Beggen) WWTP"/>
    <s v="Luxembourg Airport"/>
    <n v="0.66666666666666663"/>
    <m/>
    <s v="Remco"/>
    <s v="1ZRJ73868626485632"/>
    <m/>
    <m/>
    <m/>
    <s v="YES"/>
    <m/>
    <m/>
    <m/>
    <s v="2025_11_06"/>
    <s v="Luxembourg"/>
    <s v="Luxembourg"/>
    <n v="44"/>
    <s v="41 rue du Brill, Luxembourg, L-4422 , Luxembourg"/>
    <n v="0"/>
    <s v=""/>
    <s v=""/>
    <s v="NO"/>
    <s v="EU"/>
  </r>
  <r>
    <n v="644"/>
    <s v="3rd-party-sample-UPS"/>
    <n v="1"/>
    <d v="2025-11-21T00:00:00"/>
    <x v="72"/>
    <n v="47"/>
    <s v="25-11"/>
    <x v="5"/>
    <s v="Luxembourg (Beggen) WWTP"/>
    <s v="Luxembourg Airport"/>
    <n v="0.66666666666666663"/>
    <m/>
    <m/>
    <m/>
    <m/>
    <m/>
    <m/>
    <s v="NO"/>
    <m/>
    <m/>
    <m/>
    <s v="2025_11_21"/>
    <s v="Luxembourg"/>
    <s v="Luxembourg"/>
    <n v="46"/>
    <s v="41 rue du Brill, Luxembourg, L-4422 , Luxembourg"/>
    <n v="0"/>
    <s v=""/>
    <s v=""/>
    <s v="NO"/>
    <s v="EU"/>
  </r>
  <r>
    <n v="645"/>
    <s v="3rd-party-sample-UPS"/>
    <n v="1"/>
    <d v="2025-12-02T00:00:00"/>
    <x v="32"/>
    <n v="49"/>
    <s v="25-12"/>
    <x v="5"/>
    <s v="Luxembourg (Beggen) WWTP"/>
    <s v="Luxembourg Airport"/>
    <n v="0.66666666666666663"/>
    <m/>
    <m/>
    <m/>
    <m/>
    <m/>
    <m/>
    <s v="NO"/>
    <m/>
    <m/>
    <m/>
    <s v="2025_12_02"/>
    <s v="Luxembourg"/>
    <s v="Luxembourg"/>
    <n v="47"/>
    <s v="41 rue du Brill, Luxembourg, L-4422 , Luxembourg"/>
    <n v="0"/>
    <s v=""/>
    <s v=""/>
    <s v="NO"/>
    <s v="EU"/>
  </r>
  <r>
    <n v="646"/>
    <s v="3rd-party-sample-UPS"/>
    <n v="1"/>
    <d v="2025-12-17T00:00:00"/>
    <x v="62"/>
    <n v="51"/>
    <s v="25-12"/>
    <x v="5"/>
    <s v="Luxembourg (Beggen) WWTP"/>
    <s v="Luxembourg Airport"/>
    <n v="0.66666666666666663"/>
    <m/>
    <m/>
    <m/>
    <m/>
    <m/>
    <m/>
    <s v="NO"/>
    <m/>
    <m/>
    <m/>
    <s v="2025_12_17"/>
    <s v="Luxembourg"/>
    <s v="Luxembourg"/>
    <n v="49"/>
    <s v="41 rue du Brill, Luxembourg, L-4422 , Luxembourg"/>
    <n v="0"/>
    <s v=""/>
    <s v=""/>
    <s v="NO"/>
    <s v="EU"/>
  </r>
  <r>
    <n v="647"/>
    <s v="3rd-party-sample-UPS"/>
    <n v="1"/>
    <d v="2025-10-08T00:00:00"/>
    <x v="57"/>
    <n v="41"/>
    <s v="25-10"/>
    <x v="5"/>
    <s v="Luxembourg (Beggen) WWTP"/>
    <s v="Luxembourg Airport"/>
    <n v="0.66666666666666663"/>
    <s v="Instituto Superior Tecnico"/>
    <s v="Jason"/>
    <s v="1ZRJ76798624431531"/>
    <s v="Tom"/>
    <s v="29L9JDLI2RR"/>
    <m/>
    <s v="YES"/>
    <s v="y"/>
    <m/>
    <m/>
    <s v="2025_10_08"/>
    <s v="Luxembourg"/>
    <s v="Luxembourg"/>
    <n v="39"/>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648"/>
    <s v="3rd-party-sample-UPS"/>
    <n v="1"/>
    <d v="2025-10-21T00:00:00"/>
    <x v="29"/>
    <n v="43"/>
    <s v="25-10"/>
    <x v="5"/>
    <s v="Luxembourg (Beggen) WWTP"/>
    <s v="Luxembourg Airport"/>
    <n v="0.66666666666666663"/>
    <s v="Instituto Superior Tecnico"/>
    <s v="Jason"/>
    <s v="1ZRJ73868619122939"/>
    <m/>
    <m/>
    <m/>
    <s v="YES"/>
    <m/>
    <m/>
    <m/>
    <s v="2025_10_21"/>
    <s v="Luxembourg"/>
    <s v="Luxembourg"/>
    <n v="41"/>
    <s v="41 rue du Brill, Luxembourg, L-4422 , Luxembourg"/>
    <s v="Av. Rovisco Pais 1, Laboratorio de Analises de Agua, Lisbon, 1049-001, Portugal"/>
    <n v="89"/>
    <s v="Pick-up service of hypothetic package as defined in the Tech. Specs. and delivery to lots_x000a_2 and 3 contractors according to Scenario 1"/>
    <s v="YES"/>
    <s v="EUEU"/>
  </r>
  <r>
    <n v="649"/>
    <s v="3rd-party-sample-UPS"/>
    <n v="1"/>
    <d v="2025-11-06T00:00:00"/>
    <x v="69"/>
    <n v="45"/>
    <s v="25-11"/>
    <x v="5"/>
    <s v="Luxembourg (Beggen) WWTP"/>
    <s v="Luxembourg Airport"/>
    <n v="0.66666666666666663"/>
    <m/>
    <s v="Remco"/>
    <s v="1ZRJ76798620584857"/>
    <m/>
    <m/>
    <m/>
    <s v="YES"/>
    <m/>
    <m/>
    <m/>
    <s v="2025_11_06"/>
    <s v="Luxembourg"/>
    <s v="Luxembourg"/>
    <n v="44"/>
    <s v="41 rue du Brill, Luxembourg, L-4422 , Luxembourg"/>
    <n v="0"/>
    <s v=""/>
    <s v=""/>
    <s v="NO"/>
    <s v="EU"/>
  </r>
  <r>
    <n v="650"/>
    <s v="3rd-party-sample-UPS"/>
    <n v="1"/>
    <d v="2025-11-21T00:00:00"/>
    <x v="72"/>
    <n v="47"/>
    <s v="25-11"/>
    <x v="5"/>
    <s v="Luxembourg (Beggen) WWTP"/>
    <s v="Luxembourg Airport"/>
    <n v="0.66666666666666663"/>
    <m/>
    <m/>
    <m/>
    <m/>
    <m/>
    <m/>
    <s v="NO"/>
    <m/>
    <m/>
    <m/>
    <s v="2025_11_21"/>
    <s v="Luxembourg"/>
    <s v="Luxembourg"/>
    <n v="46"/>
    <s v="41 rue du Brill, Luxembourg, L-4422 , Luxembourg"/>
    <n v="0"/>
    <s v=""/>
    <s v=""/>
    <s v="NO"/>
    <s v="EU"/>
  </r>
  <r>
    <n v="651"/>
    <s v="3rd-party-sample-UPS"/>
    <n v="1"/>
    <d v="2025-12-02T00:00:00"/>
    <x v="32"/>
    <n v="49"/>
    <s v="25-12"/>
    <x v="5"/>
    <s v="Luxembourg (Beggen) WWTP"/>
    <s v="Luxembourg Airport"/>
    <n v="0.66666666666666663"/>
    <m/>
    <m/>
    <m/>
    <m/>
    <m/>
    <m/>
    <s v="NO"/>
    <m/>
    <m/>
    <m/>
    <s v="2025_12_02"/>
    <s v="Luxembourg"/>
    <s v="Luxembourg"/>
    <n v="47"/>
    <s v="41 rue du Brill, Luxembourg, L-4422 , Luxembourg"/>
    <n v="0"/>
    <s v=""/>
    <s v=""/>
    <s v="NO"/>
    <s v="EU"/>
  </r>
  <r>
    <n v="652"/>
    <s v="3rd-party-sample-UPS"/>
    <n v="1"/>
    <d v="2025-12-17T00:00:00"/>
    <x v="62"/>
    <n v="51"/>
    <s v="25-12"/>
    <x v="5"/>
    <s v="Luxembourg (Beggen) WWTP"/>
    <s v="Luxembourg Airport"/>
    <n v="0.66666666666666663"/>
    <m/>
    <m/>
    <m/>
    <m/>
    <m/>
    <m/>
    <s v="NO"/>
    <m/>
    <m/>
    <m/>
    <s v="2025_12_17"/>
    <s v="Luxembourg"/>
    <s v="Luxembourg"/>
    <n v="49"/>
    <s v="41 rue du Brill, Luxembourg, L-4422 , Luxembourg"/>
    <n v="0"/>
    <s v=""/>
    <s v=""/>
    <s v="NO"/>
    <s v="EU"/>
  </r>
  <r>
    <n v="653"/>
    <s v="3rd-party-sample-UPS"/>
    <n v="1"/>
    <d v="2025-10-07T00:00:00"/>
    <x v="39"/>
    <n v="41"/>
    <s v="25-10"/>
    <x v="15"/>
    <s v="Cluj-MNC"/>
    <s v="-"/>
    <n v="0.66666666666666663"/>
    <s v="Instituto Superior Tecnico"/>
    <s v="Remco"/>
    <s v="1ZRJ73868604447698"/>
    <s v="Tom"/>
    <s v="29FNC8G1F7K"/>
    <m/>
    <s v="YES"/>
    <s v="y"/>
    <m/>
    <m/>
    <s v="2025_10_07"/>
    <s v="Cluj-MNC"/>
    <s v="Romania"/>
    <n v="39"/>
    <s v="Strada Tăbăcarilor 11, Cluj-Napoca, 400139, Romania"/>
    <s v="Av. Rovisco Pais 1, Laboratorio de Analises de Agua, Lisbon, 1049-001, Portugal"/>
    <n v="89"/>
    <s v="Pick-up service of hypothetic package as defined in the Tech. Specs. and delivery to lots_x000a_2 and 3 contractors according to Scenario 1"/>
    <s v="NO"/>
    <s v="EUEU"/>
  </r>
  <r>
    <n v="654"/>
    <s v="3rd-party-sample-UPS"/>
    <n v="1"/>
    <d v="2025-10-06T00:00:00"/>
    <x v="39"/>
    <n v="41"/>
    <s v="25-10"/>
    <x v="20"/>
    <s v="Riga WWTP"/>
    <s v="-"/>
    <n v="0.70833333333333337"/>
    <s v="Instituto Superior Tecnico"/>
    <s v="Remco"/>
    <s v="1ZRJ73868626908729"/>
    <s v="Tom"/>
    <s v="29RNCA20K40"/>
    <m/>
    <s v="NO"/>
    <s v="y"/>
    <m/>
    <m/>
    <s v="2025_10_06"/>
    <s v="Riga"/>
    <s v="Latvia"/>
    <n v="39"/>
    <s v="Pilsonu iela 13, Zemgales priekšpilsēta, Rīga, LV-1002, Latvia"/>
    <s v="Av. Rovisco Pais 1, Laboratorio de Analises de Agua, Lisbon, 1049-001, Portugal"/>
    <n v="89"/>
    <s v="Pick-up service of hypothetic package as defined in the Tech. Specs. and delivery to lots_x000a_2 and 3 contractors according to Scenario 1"/>
    <s v="NO"/>
    <s v="EUEU"/>
  </r>
  <r>
    <n v="655"/>
    <s v="3rd-party-sample-UPS"/>
    <n v="1"/>
    <d v="2025-10-27T00:00:00"/>
    <x v="5"/>
    <n v="44"/>
    <s v="25-10"/>
    <x v="20"/>
    <s v="Riga WWTP"/>
    <s v="-"/>
    <n v="0.70833333333333337"/>
    <s v="Instituto Superior Tecnico"/>
    <m/>
    <m/>
    <m/>
    <m/>
    <m/>
    <s v="NO"/>
    <m/>
    <m/>
    <m/>
    <s v="2025_10_27"/>
    <s v="Riga"/>
    <s v="Latvia"/>
    <n v="42"/>
    <s v="Pilsonu iela 13, Zemgales priekšpilsēta, Rīga, LV-1002, Latvia"/>
    <s v="Av. Rovisco Pais 1, Laboratorio de Analises de Agua, Lisbon, 1049-001, Portugal"/>
    <n v="89"/>
    <s v="Pick-up service of hypothetic package as defined in the Tech. Specs. and delivery to lots_x000a_2 and 3 contractors according to Scenario 1"/>
    <s v="NO"/>
    <s v="EUEU"/>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F24EEF-939A-4DBB-A672-AF254B5FA172}" name="PivotTable1"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 colHeaderCaption="">
  <location ref="B2:G23" firstHeaderRow="1" firstDataRow="2" firstDataCol="1"/>
  <pivotFields count="33">
    <pivotField showAll="0"/>
    <pivotField showAll="0"/>
    <pivotField dataField="1" showAll="0"/>
    <pivotField showAll="0"/>
    <pivotField showAll="0">
      <items count="74">
        <item h="1" x="6"/>
        <item h="1" x="20"/>
        <item h="1" x="0"/>
        <item h="1" x="45"/>
        <item h="1" x="7"/>
        <item h="1" x="34"/>
        <item h="1" x="21"/>
        <item h="1" x="46"/>
        <item h="1" x="8"/>
        <item h="1" x="1"/>
        <item h="1" x="22"/>
        <item h="1" x="9"/>
        <item h="1" x="35"/>
        <item h="1" x="23"/>
        <item h="1" x="51"/>
        <item h="1" x="52"/>
        <item h="1" x="2"/>
        <item h="1" x="10"/>
        <item h="1" x="36"/>
        <item h="1" x="24"/>
        <item h="1" x="53"/>
        <item h="1" x="47"/>
        <item h="1" x="11"/>
        <item h="1" x="37"/>
        <item h="1" x="25"/>
        <item h="1" x="54"/>
        <item h="1" x="63"/>
        <item h="1" x="48"/>
        <item h="1" x="12"/>
        <item h="1" x="3"/>
        <item h="1" x="26"/>
        <item h="1" x="55"/>
        <item h="1" x="49"/>
        <item h="1" x="13"/>
        <item h="1" x="38"/>
        <item h="1" x="27"/>
        <item h="1" x="56"/>
        <item h="1" x="50"/>
        <item h="1" x="4"/>
        <item h="1" x="14"/>
        <item h="1" x="39"/>
        <item h="1" x="28"/>
        <item h="1" x="57"/>
        <item x="15"/>
        <item x="40"/>
        <item x="29"/>
        <item x="58"/>
        <item h="1" x="5"/>
        <item h="1" x="16"/>
        <item h="1" x="41"/>
        <item h="1" x="30"/>
        <item h="1" x="59"/>
        <item h="1" x="17"/>
        <item h="1" x="42"/>
        <item h="1" x="31"/>
        <item h="1" x="60"/>
        <item h="1" x="18"/>
        <item h="1" x="43"/>
        <item h="1" x="32"/>
        <item h="1" x="61"/>
        <item h="1" x="19"/>
        <item h="1" x="44"/>
        <item h="1" x="33"/>
        <item h="1" x="62"/>
        <item h="1" x="64"/>
        <item h="1" x="65"/>
        <item h="1" x="66"/>
        <item h="1" x="67"/>
        <item x="68"/>
        <item h="1" x="69"/>
        <item h="1" x="70"/>
        <item h="1" x="71"/>
        <item h="1" x="72"/>
        <item t="default"/>
      </items>
    </pivotField>
    <pivotField showAll="0"/>
    <pivotField showAll="0"/>
    <pivotField axis="axisRow" showAll="0">
      <items count="25">
        <item x="1"/>
        <item x="7"/>
        <item x="17"/>
        <item x="9"/>
        <item x="5"/>
        <item x="2"/>
        <item x="0"/>
        <item x="8"/>
        <item x="6"/>
        <item x="4"/>
        <item m="1" x="23"/>
        <item x="13"/>
        <item x="14"/>
        <item x="15"/>
        <item x="10"/>
        <item x="3"/>
        <item x="16"/>
        <item x="11"/>
        <item x="12"/>
        <item x="18"/>
        <item x="19"/>
        <item m="1" x="22"/>
        <item x="21"/>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20">
    <i>
      <x/>
    </i>
    <i>
      <x v="1"/>
    </i>
    <i>
      <x v="2"/>
    </i>
    <i>
      <x v="3"/>
    </i>
    <i>
      <x v="4"/>
    </i>
    <i>
      <x v="5"/>
    </i>
    <i>
      <x v="7"/>
    </i>
    <i>
      <x v="8"/>
    </i>
    <i>
      <x v="9"/>
    </i>
    <i>
      <x v="11"/>
    </i>
    <i>
      <x v="12"/>
    </i>
    <i>
      <x v="13"/>
    </i>
    <i>
      <x v="14"/>
    </i>
    <i>
      <x v="15"/>
    </i>
    <i>
      <x v="16"/>
    </i>
    <i>
      <x v="17"/>
    </i>
    <i>
      <x v="18"/>
    </i>
    <i>
      <x v="19"/>
    </i>
    <i>
      <x v="20"/>
    </i>
    <i>
      <x v="22"/>
    </i>
  </rowItems>
  <colFields count="1">
    <field x="31"/>
  </colFields>
  <colItems count="5">
    <i>
      <x v="294"/>
    </i>
    <i>
      <x v="295"/>
    </i>
    <i>
      <x v="296"/>
    </i>
    <i>
      <x v="297"/>
    </i>
    <i>
      <x v="298"/>
    </i>
  </colItems>
  <dataFields count="1">
    <dataField name="Collections" fld="2" baseField="0" baseItem="0"/>
  </dataFields>
  <formats count="5">
    <format dxfId="37">
      <pivotArea outline="0" collapsedLevelsAreSubtotals="1" fieldPosition="0"/>
    </format>
    <format dxfId="36">
      <pivotArea field="31" type="button" dataOnly="0" labelOnly="1" outline="0" axis="axisCol" fieldPosition="0"/>
    </format>
    <format dxfId="35">
      <pivotArea type="topRight" dataOnly="0" labelOnly="1" outline="0" fieldPosition="0"/>
    </format>
    <format dxfId="34">
      <pivotArea dataOnly="0" labelOnly="1" fieldPosition="0">
        <references count="1">
          <reference field="31" count="6">
            <x v="242"/>
            <x v="245"/>
            <x v="246"/>
            <x v="247"/>
            <x v="248"/>
            <x v="249"/>
          </reference>
        </references>
      </pivotArea>
    </format>
    <format dxfId="33">
      <pivotArea type="origin" dataOnly="0" labelOnly="1" outline="0" fieldPosition="0"/>
    </format>
  </formats>
  <pivotTableStyleInfo name="PivotStyleMedium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A8C497-6A74-47AD-B4A1-0E0E4550CAE0}"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 colHeaderCaption="">
  <location ref="AG2:AQ24" firstHeaderRow="1" firstDataRow="3" firstDataCol="1"/>
  <pivotFields count="33">
    <pivotField showAll="0"/>
    <pivotField showAll="0"/>
    <pivotField dataField="1" showAll="0"/>
    <pivotField showAll="0"/>
    <pivotField showAll="0">
      <items count="74">
        <item h="1" x="6"/>
        <item h="1" x="20"/>
        <item h="1" x="0"/>
        <item h="1" x="45"/>
        <item h="1" x="7"/>
        <item h="1" x="34"/>
        <item h="1" x="21"/>
        <item h="1" x="46"/>
        <item h="1" x="8"/>
        <item h="1" x="1"/>
        <item h="1" x="22"/>
        <item h="1" x="9"/>
        <item h="1" x="35"/>
        <item h="1" x="23"/>
        <item h="1" x="51"/>
        <item h="1" x="52"/>
        <item h="1" x="2"/>
        <item h="1" x="10"/>
        <item h="1" x="36"/>
        <item h="1" x="24"/>
        <item h="1" x="53"/>
        <item h="1" x="47"/>
        <item h="1" x="11"/>
        <item h="1" x="37"/>
        <item h="1" x="25"/>
        <item h="1" x="54"/>
        <item h="1" x="63"/>
        <item h="1" x="48"/>
        <item h="1" x="12"/>
        <item h="1" x="3"/>
        <item h="1" x="26"/>
        <item h="1" x="55"/>
        <item h="1" x="49"/>
        <item h="1" x="13"/>
        <item h="1" x="38"/>
        <item h="1" x="27"/>
        <item h="1" x="56"/>
        <item h="1" x="50"/>
        <item h="1" x="4"/>
        <item h="1" x="14"/>
        <item h="1" x="39"/>
        <item h="1" x="28"/>
        <item h="1" x="57"/>
        <item x="15"/>
        <item x="40"/>
        <item x="29"/>
        <item x="58"/>
        <item h="1" x="5"/>
        <item h="1" x="16"/>
        <item h="1" x="41"/>
        <item h="1" x="30"/>
        <item h="1" x="59"/>
        <item h="1" x="17"/>
        <item h="1" x="42"/>
        <item h="1" x="31"/>
        <item h="1" x="60"/>
        <item h="1" x="18"/>
        <item h="1" x="43"/>
        <item h="1" x="32"/>
        <item h="1" x="61"/>
        <item h="1" x="19"/>
        <item h="1" x="44"/>
        <item h="1" x="33"/>
        <item h="1" x="62"/>
        <item h="1" x="64"/>
        <item h="1" x="65"/>
        <item h="1" x="66"/>
        <item h="1" x="67"/>
        <item x="68"/>
        <item h="1" x="69"/>
        <item h="1" x="70"/>
        <item h="1" x="71"/>
        <item h="1" x="72"/>
        <item t="default"/>
      </items>
    </pivotField>
    <pivotField showAll="0"/>
    <pivotField showAll="0"/>
    <pivotField axis="axisRow" showAll="0">
      <items count="25">
        <item x="1"/>
        <item x="7"/>
        <item x="17"/>
        <item x="9"/>
        <item x="5"/>
        <item x="2"/>
        <item x="0"/>
        <item x="8"/>
        <item x="6"/>
        <item x="4"/>
        <item m="1" x="23"/>
        <item x="13"/>
        <item x="14"/>
        <item x="15"/>
        <item x="10"/>
        <item x="3"/>
        <item x="16"/>
        <item x="11"/>
        <item x="12"/>
        <item x="18"/>
        <item x="19"/>
        <item m="1" x="22"/>
        <item x="21"/>
        <item x="20"/>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20">
    <i>
      <x/>
    </i>
    <i>
      <x v="1"/>
    </i>
    <i>
      <x v="2"/>
    </i>
    <i>
      <x v="3"/>
    </i>
    <i>
      <x v="4"/>
    </i>
    <i>
      <x v="5"/>
    </i>
    <i>
      <x v="7"/>
    </i>
    <i>
      <x v="8"/>
    </i>
    <i>
      <x v="9"/>
    </i>
    <i>
      <x v="11"/>
    </i>
    <i>
      <x v="12"/>
    </i>
    <i>
      <x v="13"/>
    </i>
    <i>
      <x v="14"/>
    </i>
    <i>
      <x v="15"/>
    </i>
    <i>
      <x v="16"/>
    </i>
    <i>
      <x v="17"/>
    </i>
    <i>
      <x v="18"/>
    </i>
    <i>
      <x v="19"/>
    </i>
    <i>
      <x v="20"/>
    </i>
    <i>
      <x v="22"/>
    </i>
  </rowItems>
  <colFields count="2">
    <field x="31"/>
    <field x="-2"/>
  </colFields>
  <colItems count="10">
    <i>
      <x v="294"/>
      <x/>
    </i>
    <i r="1" i="1">
      <x v="1"/>
    </i>
    <i>
      <x v="295"/>
      <x/>
    </i>
    <i r="1" i="1">
      <x v="1"/>
    </i>
    <i>
      <x v="296"/>
      <x/>
    </i>
    <i r="1" i="1">
      <x v="1"/>
    </i>
    <i>
      <x v="297"/>
      <x/>
    </i>
    <i r="1" i="1">
      <x v="1"/>
    </i>
    <i>
      <x v="298"/>
      <x/>
    </i>
    <i r="1" i="1">
      <x v="1"/>
    </i>
  </colItems>
  <dataFields count="2">
    <dataField name="#" fld="2" baseField="0" baseItem="0"/>
    <dataField name="IDs" fld="15" subtotal="count" baseField="0" baseItem="0"/>
  </dataFields>
  <formats count="23">
    <format dxfId="60">
      <pivotArea type="origin" dataOnly="0" labelOnly="1" outline="0" fieldPosition="0"/>
    </format>
    <format dxfId="59">
      <pivotArea type="all" dataOnly="0" outline="0" fieldPosition="0"/>
    </format>
    <format dxfId="58">
      <pivotArea type="origin" dataOnly="0" labelOnly="1" outline="0" fieldPosition="0"/>
    </format>
    <format dxfId="57">
      <pivotArea field="7" type="button" dataOnly="0" labelOnly="1" outline="0" axis="axisRow" fieldPosition="0"/>
    </format>
    <format dxfId="56">
      <pivotArea dataOnly="0" labelOnly="1" fieldPosition="0">
        <references count="1">
          <reference field="7" count="0"/>
        </references>
      </pivotArea>
    </format>
    <format dxfId="55">
      <pivotArea dataOnly="0" labelOnly="1" fieldPosition="0">
        <references count="1">
          <reference field="31" count="6">
            <x v="242"/>
            <x v="245"/>
            <x v="246"/>
            <x v="247"/>
            <x v="248"/>
            <x v="249"/>
          </reference>
        </references>
      </pivotArea>
    </format>
    <format dxfId="54">
      <pivotArea dataOnly="0" labelOnly="1" outline="0" fieldPosition="0">
        <references count="2">
          <reference field="4294967294" count="2">
            <x v="0"/>
            <x v="1"/>
          </reference>
          <reference field="31" count="1" selected="0">
            <x v="242"/>
          </reference>
        </references>
      </pivotArea>
    </format>
    <format dxfId="53">
      <pivotArea dataOnly="0" labelOnly="1" outline="0" fieldPosition="0">
        <references count="2">
          <reference field="4294967294" count="2">
            <x v="0"/>
            <x v="1"/>
          </reference>
          <reference field="31" count="1" selected="0">
            <x v="245"/>
          </reference>
        </references>
      </pivotArea>
    </format>
    <format dxfId="52">
      <pivotArea dataOnly="0" labelOnly="1" outline="0" fieldPosition="0">
        <references count="2">
          <reference field="4294967294" count="2">
            <x v="0"/>
            <x v="1"/>
          </reference>
          <reference field="31" count="1" selected="0">
            <x v="246"/>
          </reference>
        </references>
      </pivotArea>
    </format>
    <format dxfId="51">
      <pivotArea dataOnly="0" labelOnly="1" outline="0" fieldPosition="0">
        <references count="2">
          <reference field="4294967294" count="2">
            <x v="0"/>
            <x v="1"/>
          </reference>
          <reference field="31" count="1" selected="0">
            <x v="247"/>
          </reference>
        </references>
      </pivotArea>
    </format>
    <format dxfId="50">
      <pivotArea dataOnly="0" labelOnly="1" outline="0" fieldPosition="0">
        <references count="2">
          <reference field="4294967294" count="2">
            <x v="0"/>
            <x v="1"/>
          </reference>
          <reference field="31" count="1" selected="0">
            <x v="248"/>
          </reference>
        </references>
      </pivotArea>
    </format>
    <format dxfId="49">
      <pivotArea dataOnly="0" labelOnly="1" outline="0" fieldPosition="0">
        <references count="2">
          <reference field="4294967294" count="2">
            <x v="0"/>
            <x v="1"/>
          </reference>
          <reference field="31" count="1" selected="0">
            <x v="249"/>
          </reference>
        </references>
      </pivotArea>
    </format>
    <format dxfId="48">
      <pivotArea dataOnly="0" labelOnly="1" fieldPosition="0">
        <references count="1">
          <reference field="31" count="3">
            <x v="267"/>
            <x v="268"/>
            <x v="269"/>
          </reference>
        </references>
      </pivotArea>
    </format>
    <format dxfId="47">
      <pivotArea outline="0" collapsedLevelsAreSubtotals="1" fieldPosition="0"/>
    </format>
    <format dxfId="46">
      <pivotArea field="31" type="button" dataOnly="0" labelOnly="1" outline="0" axis="axisCol" fieldPosition="0"/>
    </format>
    <format dxfId="45">
      <pivotArea field="-2" type="button" dataOnly="0" labelOnly="1" outline="0" axis="axisCol" fieldPosition="1"/>
    </format>
    <format dxfId="44">
      <pivotArea type="topRight" dataOnly="0" labelOnly="1" outline="0" fieldPosition="0"/>
    </format>
    <format dxfId="43">
      <pivotArea dataOnly="0" labelOnly="1" fieldPosition="0">
        <references count="1">
          <reference field="31" count="5">
            <x v="294"/>
            <x v="295"/>
            <x v="296"/>
            <x v="297"/>
            <x v="298"/>
          </reference>
        </references>
      </pivotArea>
    </format>
    <format dxfId="42">
      <pivotArea dataOnly="0" labelOnly="1" outline="0" fieldPosition="0">
        <references count="2">
          <reference field="4294967294" count="2">
            <x v="0"/>
            <x v="1"/>
          </reference>
          <reference field="31" count="1" selected="0">
            <x v="294"/>
          </reference>
        </references>
      </pivotArea>
    </format>
    <format dxfId="41">
      <pivotArea dataOnly="0" labelOnly="1" outline="0" fieldPosition="0">
        <references count="2">
          <reference field="4294967294" count="2">
            <x v="0"/>
            <x v="1"/>
          </reference>
          <reference field="31" count="1" selected="0">
            <x v="295"/>
          </reference>
        </references>
      </pivotArea>
    </format>
    <format dxfId="40">
      <pivotArea dataOnly="0" labelOnly="1" outline="0" fieldPosition="0">
        <references count="2">
          <reference field="4294967294" count="2">
            <x v="0"/>
            <x v="1"/>
          </reference>
          <reference field="31" count="1" selected="0">
            <x v="296"/>
          </reference>
        </references>
      </pivotArea>
    </format>
    <format dxfId="39">
      <pivotArea dataOnly="0" labelOnly="1" outline="0" fieldPosition="0">
        <references count="2">
          <reference field="4294967294" count="2">
            <x v="0"/>
            <x v="1"/>
          </reference>
          <reference field="31" count="1" selected="0">
            <x v="297"/>
          </reference>
        </references>
      </pivotArea>
    </format>
    <format dxfId="38">
      <pivotArea dataOnly="0" labelOnly="1" outline="0" fieldPosition="0">
        <references count="2">
          <reference field="4294967294" count="2">
            <x v="0"/>
            <x v="1"/>
          </reference>
          <reference field="31" count="1" selected="0">
            <x v="298"/>
          </reference>
        </references>
      </pivotArea>
    </format>
  </formats>
  <pivotTableStyleInfo name="PivotStyleMedium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41BE11-6873-4BCC-9E8C-195706F84D60}" name="PivotTable222"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 colHeaderCaption="">
  <location ref="R2:V23" firstHeaderRow="1" firstDataRow="2" firstDataCol="1"/>
  <pivotFields count="31">
    <pivotField showAll="0"/>
    <pivotField showAll="0"/>
    <pivotField dataField="1" showAll="0"/>
    <pivotField numFmtId="14" showAll="0"/>
    <pivotField axis="axisCol" numFmtId="14" showAll="0">
      <items count="63">
        <item h="1" x="0"/>
        <item h="1" x="14"/>
        <item h="1" x="28"/>
        <item h="1" x="32"/>
        <item h="1" x="38"/>
        <item h="1" x="1"/>
        <item h="1" x="15"/>
        <item h="1" x="39"/>
        <item h="1" x="33"/>
        <item h="1" x="2"/>
        <item h="1" x="16"/>
        <item h="1" x="40"/>
        <item h="1" x="3"/>
        <item h="1" x="17"/>
        <item h="1" x="41"/>
        <item h="1" x="52"/>
        <item h="1" x="29"/>
        <item h="1" x="4"/>
        <item h="1" x="18"/>
        <item h="1" x="42"/>
        <item h="1" x="34"/>
        <item h="1" x="5"/>
        <item h="1" x="19"/>
        <item h="1" x="43"/>
        <item h="1" x="53"/>
        <item h="1" x="35"/>
        <item h="1" x="6"/>
        <item h="1" x="20"/>
        <item h="1" x="44"/>
        <item h="1" x="36"/>
        <item h="1" x="7"/>
        <item h="1" x="21"/>
        <item h="1" x="45"/>
        <item h="1" x="37"/>
        <item h="1" x="54"/>
        <item h="1" x="55"/>
        <item h="1" x="30"/>
        <item h="1" x="8"/>
        <item h="1" x="22"/>
        <item h="1" x="46"/>
        <item h="1" x="56"/>
        <item h="1" x="9"/>
        <item h="1" x="23"/>
        <item h="1" x="47"/>
        <item h="1" x="57"/>
        <item h="1" x="31"/>
        <item x="10"/>
        <item x="24"/>
        <item x="48"/>
        <item x="58"/>
        <item h="1" x="11"/>
        <item h="1" x="25"/>
        <item h="1" x="49"/>
        <item h="1" x="59"/>
        <item h="1" x="12"/>
        <item h="1" x="26"/>
        <item h="1" x="50"/>
        <item h="1" x="60"/>
        <item h="1" x="13"/>
        <item h="1" x="27"/>
        <item h="1" x="51"/>
        <item h="1" x="61"/>
        <item t="default"/>
      </items>
    </pivotField>
    <pivotField showAll="0"/>
    <pivotField showAll="0"/>
    <pivotField axis="axisRow" showAll="0">
      <items count="25">
        <item x="0"/>
        <item x="7"/>
        <item x="17"/>
        <item x="9"/>
        <item x="5"/>
        <item x="1"/>
        <item x="4"/>
        <item x="8"/>
        <item x="6"/>
        <item x="3"/>
        <item m="1" x="23"/>
        <item x="13"/>
        <item x="14"/>
        <item x="15"/>
        <item x="10"/>
        <item x="2"/>
        <item x="16"/>
        <item x="11"/>
        <item x="21"/>
        <item x="12"/>
        <item x="18"/>
        <item x="19"/>
        <item m="1" x="22"/>
        <item x="2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20">
    <i>
      <x/>
    </i>
    <i>
      <x v="1"/>
    </i>
    <i>
      <x v="2"/>
    </i>
    <i>
      <x v="3"/>
    </i>
    <i>
      <x v="4"/>
    </i>
    <i>
      <x v="5"/>
    </i>
    <i>
      <x v="7"/>
    </i>
    <i>
      <x v="8"/>
    </i>
    <i>
      <x v="9"/>
    </i>
    <i>
      <x v="11"/>
    </i>
    <i>
      <x v="12"/>
    </i>
    <i>
      <x v="13"/>
    </i>
    <i>
      <x v="14"/>
    </i>
    <i>
      <x v="15"/>
    </i>
    <i>
      <x v="16"/>
    </i>
    <i>
      <x v="17"/>
    </i>
    <i>
      <x v="18"/>
    </i>
    <i>
      <x v="19"/>
    </i>
    <i>
      <x v="20"/>
    </i>
    <i>
      <x v="21"/>
    </i>
  </rowItems>
  <colFields count="1">
    <field x="4"/>
  </colFields>
  <colItems count="4">
    <i>
      <x v="46"/>
    </i>
    <i>
      <x v="47"/>
    </i>
    <i>
      <x v="48"/>
    </i>
    <i>
      <x v="49"/>
    </i>
  </colItems>
  <dataFields count="1">
    <dataField name=" Outbound" fld="2" baseField="0" baseItem="0"/>
  </dataFields>
  <formats count="2">
    <format dxfId="62">
      <pivotArea outline="0" collapsedLevelsAreSubtotals="1" fieldPosition="0"/>
    </format>
    <format dxfId="61">
      <pivotArea type="origin" dataOnly="0" labelOnly="1" outline="0" fieldPosition="0"/>
    </format>
  </formats>
  <pivotTableStyleInfo name="PivotStyleMedium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irmed_Pick_up_Date" xr10:uid="{1F42021F-603D-4102-9084-FED6CBF2825D}" sourceName="Confirmed Pick-up Date">
  <pivotTables>
    <pivotTable tabId="14" name="PivotTable1"/>
    <pivotTable tabId="14" name="PivotTable3"/>
  </pivotTables>
  <data>
    <tabular pivotCacheId="215637380" sortOrder="descending">
      <items count="73">
        <i x="64"/>
        <i x="62"/>
        <i x="33"/>
        <i x="44"/>
        <i x="19"/>
        <i x="71"/>
        <i x="61"/>
        <i x="32"/>
        <i x="43"/>
        <i x="18"/>
        <i x="72"/>
        <i x="70"/>
        <i x="60"/>
        <i x="31"/>
        <i x="42"/>
        <i x="17"/>
        <i x="69"/>
        <i x="59"/>
        <i x="30"/>
        <i x="41"/>
        <i x="16"/>
        <i x="5"/>
        <i x="68" s="1"/>
        <i x="58" s="1"/>
        <i x="29" s="1"/>
        <i x="40" s="1"/>
        <i x="15" s="1"/>
        <i x="67"/>
        <i x="57"/>
        <i x="28"/>
        <i x="39"/>
        <i x="14"/>
        <i x="4"/>
        <i x="66"/>
        <i x="65"/>
        <i x="50"/>
        <i x="56"/>
        <i x="27"/>
        <i x="38"/>
        <i x="13"/>
        <i x="49"/>
        <i x="55"/>
        <i x="26"/>
        <i x="3"/>
        <i x="12"/>
        <i x="48"/>
        <i x="63"/>
        <i x="54"/>
        <i x="25"/>
        <i x="37"/>
        <i x="11"/>
        <i x="47"/>
        <i x="53"/>
        <i x="24"/>
        <i x="36"/>
        <i x="10"/>
        <i x="2"/>
        <i x="52"/>
        <i x="51"/>
        <i x="23"/>
        <i x="35"/>
        <i x="9"/>
        <i x="22"/>
        <i x="1"/>
        <i x="8"/>
        <i x="46"/>
        <i x="21"/>
        <i x="34"/>
        <i x="7"/>
        <i x="45"/>
        <i x="0"/>
        <i x="20"/>
        <i x="6"/>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Date__SD_14" xr10:uid="{9A2E160B-7AD3-4DA3-AA19-F4B3F5C22663}" sourceName="Shipping Date (SD-14)">
  <pivotTables>
    <pivotTable tabId="14" name="PivotTable222"/>
  </pivotTables>
  <data>
    <tabular pivotCacheId="640562230" sortOrder="descending">
      <items count="62">
        <i x="51"/>
        <i x="27"/>
        <i x="13"/>
        <i x="60"/>
        <i x="50"/>
        <i x="26"/>
        <i x="12"/>
        <i x="61"/>
        <i x="59"/>
        <i x="49"/>
        <i x="25"/>
        <i x="11"/>
        <i x="58" s="1"/>
        <i x="48" s="1"/>
        <i x="24" s="1"/>
        <i x="10" s="1"/>
        <i x="31"/>
        <i x="57"/>
        <i x="47"/>
        <i x="23"/>
        <i x="9"/>
        <i x="56"/>
        <i x="46"/>
        <i x="22"/>
        <i x="8"/>
        <i x="30"/>
        <i x="55"/>
        <i x="54"/>
        <i x="37"/>
        <i x="45"/>
        <i x="21"/>
        <i x="7"/>
        <i x="36"/>
        <i x="44"/>
        <i x="20"/>
        <i x="6"/>
        <i x="35"/>
        <i x="53"/>
        <i x="43"/>
        <i x="19"/>
        <i x="5"/>
        <i x="34"/>
        <i x="42"/>
        <i x="18"/>
        <i x="4"/>
        <i x="29"/>
        <i x="52"/>
        <i x="41"/>
        <i x="17"/>
        <i x="3"/>
        <i x="40"/>
        <i x="16"/>
        <i x="2"/>
        <i x="33"/>
        <i x="39"/>
        <i x="15"/>
        <i x="1"/>
        <i x="38"/>
        <i x="32"/>
        <i x="28"/>
        <i x="14"/>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irmed Pick-up Date" xr10:uid="{2AF91FE0-8F53-404E-9A62-4151DC445D39}" cache="Slicer_Confirmed_Pick_up_Date" caption="Confirmed Pick-up Date" startItem="20" rowHeight="251883"/>
  <slicer name="Shipping Date (SD-14)" xr10:uid="{B4462DAB-5865-45DC-B750-01C9D88C1FB6}" cache="Slicer_Shipping_Date__SD_14" caption="Shipping Date (SD-14)" startItem="1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FEC188B-7B83-464D-AF08-34A79C7E5AD1}" name="Table47" displayName="Table47" ref="B4:AD256" totalsRowShown="0" headerRowDxfId="32" dataDxfId="31">
  <autoFilter ref="B4:AD256" xr:uid="{663827CE-338C-453B-8043-50F77C62C77F}"/>
  <sortState xmlns:xlrd2="http://schemas.microsoft.com/office/spreadsheetml/2017/richdata2" ref="B5:AD256">
    <sortCondition ref="E4:E256"/>
  </sortState>
  <tableColumns count="29">
    <tableColumn id="1" xr3:uid="{35A8001E-B26E-4025-A547-774CB569F552}" name="ID" dataDxfId="30"/>
    <tableColumn id="2" xr3:uid="{E2D60860-E808-4062-9358-2F470338A53E}" name="Type" dataDxfId="29"/>
    <tableColumn id="3" xr3:uid="{A2858628-957D-483C-901D-91D370BB3337}" name="Quantity" dataDxfId="28"/>
    <tableColumn id="4" xr3:uid="{A270DF26-E2C2-4E29-A3FA-48E81D6ED9B9}" name="Confirmed Sampling Date" dataDxfId="27"/>
    <tableColumn id="13" xr3:uid="{2A146A5D-6C77-4834-A46C-00DF8B92E9C8}" name="Shipping Date (SD-14)" dataDxfId="26">
      <calculatedColumnFormula>_xlfn.LET(
    _xlpm.baseDate, Table47[[#This Row],[Confirmed Sampling Date]] - 14,
    _xlpm.weekdayNum, WEEKDAY(_xlpm.baseDate, 2),
    IF(_xlpm.weekdayNum = 6, _xlpm.baseDate + 2, IF(_xlpm.weekdayNum = 7, _xlpm.baseDate + 1, _xlpm.baseDate))
)</calculatedColumnFormula>
    </tableColumn>
    <tableColumn id="5" xr3:uid="{8492B4A3-C183-44FF-BCD2-6556B1F9EE2B}" name="WEEKNUM" dataDxfId="25">
      <calculatedColumnFormula>IFERROR(WEEKNUM(Table47[[#This Row],[Shipping Date (SD-14)]]),"TBD")</calculatedColumnFormula>
    </tableColumn>
    <tableColumn id="6" xr3:uid="{2E76C888-BA6B-422C-AF1B-09DBE3CC783C}" name="YY-MM" dataDxfId="24">
      <calculatedColumnFormula>IFERROR(TEXT(Table47[[#This Row],[Shipping Date (SD-14)]],"yyyy-mm"),"TBD")</calculatedColumnFormula>
    </tableColumn>
    <tableColumn id="7" xr3:uid="{372259A3-F7BA-4F2B-9B44-BE75AF304271}" name="ToSite-UPSName" dataDxfId="23"/>
    <tableColumn id="16" xr3:uid="{F887E56E-864D-4448-8DC2-8CE98E693A3D}" name="ToSite-HaDEAName" dataDxfId="22">
      <calculatedColumnFormula>IFERROR(VLOOKUP(Table47[[#This Row],[ToSite-UPSName]],Table1[[#All],[Company or Name]:[Delivery Address]],15,FALSE),"")</calculatedColumnFormula>
    </tableColumn>
    <tableColumn id="15" xr3:uid="{972B7B6A-F85B-401F-8D8F-71E1D1A859C0}" name="ToSite2-HaDEAName" dataDxfId="21">
      <calculatedColumnFormula>IFERROR(VLOOKUP(Table47[[#This Row],[ToSite-UPSName]],Table1[[#All],[Company or Name]:[Delivery Address]],16,FALSE),"")</calculatedColumnFormula>
    </tableColumn>
    <tableColumn id="14" xr3:uid="{532EC519-636F-4342-88BD-8E0EC9ED2F7A}" name="FromSite3" dataDxfId="20"/>
    <tableColumn id="10" xr3:uid="{686B0D7E-C4AA-4BB6-8CBA-B95CD63A58AA}" name="FromSite4" dataDxfId="19">
      <calculatedColumnFormula>IFERROR(VLOOKUP(Table47[[#This Row],[ToSite-UPSName]],Table1[[#All],[Company or Name]:[Delivery Address]],18,FALSE),"")</calculatedColumnFormula>
    </tableColumn>
    <tableColumn id="12" xr3:uid="{4C2D8F35-8F74-4535-894C-95056B1DA47D}" name="FromSite5" dataDxfId="18">
      <calculatedColumnFormula>IFERROR(VLOOKUP(Table47[[#This Row],[ToSite-UPSName]],Table1[[#All],[Company or Name]:[Delivery Address]],19,FALSE),"")</calculatedColumnFormula>
    </tableColumn>
    <tableColumn id="9" xr3:uid="{A952B7D2-138F-487B-9793-D4B532C16966}" name="ToLab" dataDxfId="17"/>
    <tableColumn id="27" xr3:uid="{9BD5636E-112F-49FF-A4E4-37EA6EFD105D}" name="Box picked by" dataDxfId="16"/>
    <tableColumn id="28" xr3:uid="{EA7F68EC-44DF-4F55-9B4B-FC04B0630907}" name="Box checked by" dataDxfId="15"/>
    <tableColumn id="29" xr3:uid="{73BF2272-D24E-44EC-9B15-D77EA4806511}" name="Barcode sequence" dataDxfId="14"/>
    <tableColumn id="19" xr3:uid="{D53ABEE6-4E6A-4113-9D35-F96E519653C6}" name="Label created by" dataDxfId="13"/>
    <tableColumn id="22" xr3:uid="{D872DA75-CE5D-4E42-B887-FC234B5056D3}" name="WAYBILLNUMBER" dataDxfId="12"/>
    <tableColumn id="8" xr3:uid="{8DB9E409-0A90-4373-8509-87BC085F3DC9}" name="LABELGENERATED" dataDxfId="11"/>
    <tableColumn id="17" xr3:uid="{C43CDCEF-EF72-4A45-824F-ABEE1BC9E071}" name="Notified Simona" dataDxfId="10"/>
    <tableColumn id="21" xr3:uid="{45E83B53-3107-4BB5-AEF7-0135FD5A4B00}" name="Exception" dataDxfId="9"/>
    <tableColumn id="30" xr3:uid="{210BD4C4-B290-414E-8802-A83FF528B2A2}" name="Notes" dataDxfId="8"/>
    <tableColumn id="11" xr3:uid="{07D9CC5D-E6EE-4D6C-8373-011A88BE40A0}" name="CONFIRMEDDATE" dataDxfId="7">
      <calculatedColumnFormula>TEXT(Table47[[#This Row],[Confirmed Sampling Date]], "yyyy") &amp; "_" &amp; TEXT(Table47[[#This Row],[Confirmed Sampling Date]], "mm") &amp; "_" &amp; TEXT(Table47[[#This Row],[Confirmed Sampling Date]], "dd")</calculatedColumnFormula>
    </tableColumn>
    <tableColumn id="23" xr3:uid="{BA1D47A4-25ED-462B-933C-0521A3CED331}" name="CITY" dataDxfId="6">
      <calculatedColumnFormula>IFERROR(LEFT(J5, FIND(" ", J5) - 1), J5)</calculatedColumnFormula>
    </tableColumn>
    <tableColumn id="20" xr3:uid="{0499BA24-9447-48DD-B06B-2D56C3EA027A}" name="COUNTRY" dataDxfId="5">
      <calculatedColumnFormula>VLOOKUP(Table47[[#This Row],[ToSite-UPSName]],Table1[[Company or Name]:[NOTES]],2,FALSE)</calculatedColumnFormula>
    </tableColumn>
    <tableColumn id="24" xr3:uid="{27961D50-CEC6-49FE-8F0C-A4A0023772A3}" name="DELIVERYADDRESS" dataDxfId="4">
      <calculatedColumnFormula>IFERROR(VLOOKUP(Table47[[#This Row],[ToSite-UPSName]], Table1[[#All],[Company or Name]:[Delivery Address]],20,FALSE),"")</calculatedColumnFormula>
    </tableColumn>
    <tableColumn id="25" xr3:uid="{59852C34-F4F6-4D8A-AD17-D36F000912FB}" name="EXPECTEDDELIVERYDATE" dataDxfId="3">
      <calculatedColumnFormula>TEXT(Table47[[#This Row],[Shipping Date (SD-14)]]+3,"YYYY-MM-DD")</calculatedColumnFormula>
    </tableColumn>
    <tableColumn id="18" xr3:uid="{4BD86ED2-4CEF-4312-8FD9-828E57C3194C}" name="BOXCONTENTTEMPLATE" dataDxfId="2">
      <calculatedColumnFormula>_xlfn.XLOOKUP(Table47[[#This Row],[Type]],kits!C:C,kits!D:D,"",0)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DD7A57-BEAC-4F34-962F-82740117D338}" name="Table9" displayName="Table9" ref="F2:G52" totalsRowShown="0">
  <autoFilter ref="F2:G52" xr:uid="{7FDD7A57-BEAC-4F34-962F-82740117D338}"/>
  <tableColumns count="2">
    <tableColumn id="1" xr3:uid="{6E428701-54FE-4004-9835-3BFEE240113C}" name="Shipment " dataDxfId="175"/>
    <tableColumn id="2" xr3:uid="{9D05EDD4-A2D7-4C69-AD69-516E3BB6279D}" name="Waybill" dataDxfId="17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63827CE-338C-453B-8043-50F77C62C77F}" name="Table4" displayName="Table4" ref="B4:AF638" totalsRowShown="0" headerRowDxfId="163" dataDxfId="162">
  <autoFilter ref="B4:AF638" xr:uid="{663827CE-338C-453B-8043-50F77C62C77F}">
    <filterColumn colId="5">
      <filters>
        <filter val="43"/>
      </filters>
    </filterColumn>
  </autoFilter>
  <sortState xmlns:xlrd2="http://schemas.microsoft.com/office/spreadsheetml/2017/richdata2" ref="B280:AF399">
    <sortCondition ref="J4:J638"/>
  </sortState>
  <tableColumns count="31">
    <tableColumn id="1" xr3:uid="{82E05EA8-4BFF-4751-96C2-EA098E006074}" name="ID" dataDxfId="161"/>
    <tableColumn id="2" xr3:uid="{3069B855-8CD0-40AE-98A1-A4C72E3587FD}" name="Type" dataDxfId="160"/>
    <tableColumn id="3" xr3:uid="{7D79C89F-82D9-43FB-9104-D03C96F9F7BC}" name="Quantity" dataDxfId="159"/>
    <tableColumn id="4" xr3:uid="{7BFD47B7-DEFC-4CAD-A63F-5F5164FAC466}" name="Confirmed Sampling Date" dataDxfId="158"/>
    <tableColumn id="13" xr3:uid="{10619593-94E1-4227-AB98-16B831867BA9}" name="Confirmed Pick-up Date" dataDxfId="157"/>
    <tableColumn id="5" xr3:uid="{46CD5E9A-DDE3-4FEE-9C26-1C061FBBC16A}" name="WEEKNUM" dataDxfId="156">
      <calculatedColumnFormula>IFERROR(WEEKNUM(Table4[[#This Row],[Confirmed Pick-up Date]]),"TBD")</calculatedColumnFormula>
    </tableColumn>
    <tableColumn id="6" xr3:uid="{EFAD2E47-4D43-4355-9755-D271DB732C3B}" name="YY-MM" dataDxfId="155">
      <calculatedColumnFormula>IFERROR(TEXT(Table4[[#This Row],[Confirmed Pick-up Date]],"yy-mm"),"TBD")</calculatedColumnFormula>
    </tableColumn>
    <tableColumn id="7" xr3:uid="{310696E1-E842-461D-8E5C-818764DE585D}" name="FromSite-UPS" dataDxfId="154"/>
    <tableColumn id="16" xr3:uid="{961A5CC0-6190-490C-B10D-4B5B435C6E95}" name="FromSiteName" dataDxfId="153">
      <calculatedColumnFormula>IFERROR(VLOOKUP(Table4[[#This Row],[FromSite-UPS]],Table1[[#All],[Company or Name]:[FromSite3]],15,FALSE),"")</calculatedColumnFormula>
    </tableColumn>
    <tableColumn id="15" xr3:uid="{E1CFE7D8-EF56-4712-B650-54603B0817CB}" name="FromSite2" dataDxfId="152">
      <calculatedColumnFormula>IFERROR(VLOOKUP(Table4[[#This Row],[FromSite-UPS]],Table1[[#All],[Company or Name]:[FromSite3]],16,FALSE),"")</calculatedColumnFormula>
    </tableColumn>
    <tableColumn id="14" xr3:uid="{9D5ADECC-EE2F-4009-99B5-B4E0BABF2AF9}" name="FromSite3" dataDxfId="151">
      <calculatedColumnFormula>IFERROR(VLOOKUP(Table4[[#This Row],[FromSite-UPS]],Table1[[#All],[Company or Name]:[FromSite3]],14,FALSE),"")</calculatedColumnFormula>
    </tableColumn>
    <tableColumn id="9" xr3:uid="{22FE429A-673D-4C4B-88FA-B9DE55A5E0B6}" name="ToLab" dataDxfId="150"/>
    <tableColumn id="8" xr3:uid="{EBC17191-17F4-4DFA-9DFA-1E8BE81336F4}" name="Label created by" dataDxfId="149"/>
    <tableColumn id="10" xr3:uid="{3B69F8AB-6A00-4D24-AB2E-FCCE795FC819}" name="WAYBILLNUMBER" dataDxfId="148"/>
    <tableColumn id="24" xr3:uid="{ECAD5AF6-A30A-406C-B203-2E2D7AA7FD1B}" name="Collection booked by" dataDxfId="147"/>
    <tableColumn id="18" xr3:uid="{478D958C-55A3-4883-A13C-70D051AF04E2}" name="COLLECTIONID" dataDxfId="146"/>
    <tableColumn id="12" xr3:uid="{D4AF4080-3EDE-4C7A-95EC-2D5F8D765E2A}" name="Barcode Sequence" dataDxfId="145"/>
    <tableColumn id="11" xr3:uid="{0261E94E-F82A-4D83-83E9-18D303B05239}" name="NONADRGENERATED" dataDxfId="144"/>
    <tableColumn id="23" xr3:uid="{916B6DE2-3A20-42E1-91AB-EC8247FFB4D1}" name="Notified Simona" dataDxfId="143"/>
    <tableColumn id="31" xr3:uid="{CF292A0D-C2BD-407C-8F88-072AD7241ACB}" name="Exception" dataDxfId="142"/>
    <tableColumn id="17" xr3:uid="{DAFA6F2A-A1A1-41C1-8D85-C3055E1419E1}" name="Notes" dataDxfId="141"/>
    <tableColumn id="19" xr3:uid="{ED4DBC9B-AEFD-44E3-8E24-C4ECA0C4F8A3}" name="CONFIRMEDDATE" dataDxfId="140">
      <calculatedColumnFormula>TEXT(Table4[[#This Row],[Confirmed Sampling Date]], "yyyy") &amp; "_" &amp; TEXT(Table4[[#This Row],[Confirmed Sampling Date]], "mm") &amp; "_" &amp; TEXT(Table4[[#This Row],[Confirmed Sampling Date]], "dd")</calculatedColumnFormula>
    </tableColumn>
    <tableColumn id="20" xr3:uid="{AACF2F8F-498C-4982-B319-95B6336D5516}" name="CITY" dataDxfId="139">
      <calculatedColumnFormula>IFERROR(LEFT(J5, FIND(" ", J5) - 1), J5)</calculatedColumnFormula>
    </tableColumn>
    <tableColumn id="21" xr3:uid="{850133D2-6877-4DE4-9D4D-B72EFEB81AC1}" name="COUNTRY" dataDxfId="138">
      <calculatedColumnFormula>VLOOKUP(Table4[[#This Row],[FromSite-UPS]],Table1[[Company or Name]:[NOTES]],2,FALSE)</calculatedColumnFormula>
    </tableColumn>
    <tableColumn id="22" xr3:uid="{1C096BEA-53FF-415E-BB3F-EE1AAD9BB9F9}" name="WEEKNUM-KIT" dataDxfId="137">
      <calculatedColumnFormula>IFERROR(WEEKNUM(Table4[[#This Row],[Confirmed Sampling Date]] - 10, 21), "TBD")</calculatedColumnFormula>
    </tableColumn>
    <tableColumn id="25" xr3:uid="{EB58C52C-C237-47A2-A9A9-500AE548DB8C}" name="shippingadres" dataDxfId="136">
      <calculatedColumnFormula>_xlfn.XLOOKUP(Table4[[#This Row],[FromSite-UPS]],sites!D:D,sites!W:W,"",0)</calculatedColumnFormula>
    </tableColumn>
    <tableColumn id="26" xr3:uid="{E8D4AF1C-4E9D-44DB-B353-33BD92380E34}" name="deliveryadres" dataDxfId="135">
      <calculatedColumnFormula>_xlfn.XLOOKUP(Table4[[#This Row],[ToLab]],labs!D:D,labs!P:P,"no adres",0)</calculatedColumnFormula>
    </tableColumn>
    <tableColumn id="27" xr3:uid="{228BDD51-D376-46E9-ACA2-CA61F754CDE4}" name="item no. " dataDxfId="134">
      <calculatedColumnFormula>_xlfn.XLOOKUP(Table4[[#This Row],[combi]],AREA!E:E,AREA!F:F,"",0)</calculatedColumnFormula>
    </tableColumn>
    <tableColumn id="28" xr3:uid="{4D942977-E44E-499E-9C5F-ABBB6317F8E0}" name="item description" dataDxfId="133">
      <calculatedColumnFormula>_xlfn.XLOOKUP(Table4[[#This Row],[combi]],AREA!E:E,AREA!G:G,"",0)</calculatedColumnFormula>
    </tableColumn>
    <tableColumn id="29" xr3:uid="{07F4009A-9502-4060-861F-10C61AE48462}" name="BOXCONTENTGENERATED" dataDxfId="132"/>
    <tableColumn id="30" xr3:uid="{D4AA32BC-7AB3-40B4-81A8-62A457FC5019}" name="combi" dataDxfId="131">
      <calculatedColumnFormula>_xlfn.XLOOKUP(Table4[[#This Row],[FromSite-UPS]],sites!D:D,sites!AB:AB,"",0)&amp;_xlfn.XLOOKUP(Table4[[#This Row],[ToLab]],labs!D:D,labs!Q:Q,"",0)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ACF5FE-D8DD-48A4-9AE7-DABF4C17CF0D}" name="Table1" displayName="Table1" ref="B2:AB25" totalsRowShown="0" headerRowDxfId="130" dataDxfId="129">
  <autoFilter ref="B2:AB25" xr:uid="{E6ACF5FE-D8DD-48A4-9AE7-DABF4C17CF0D}"/>
  <tableColumns count="27">
    <tableColumn id="1" xr3:uid="{8C44A801-97EF-4B70-8E73-BAFB261421A2}" name="ID" dataDxfId="128"/>
    <tableColumn id="2" xr3:uid="{CCCC08C3-2056-4FBD-80F2-5B3652817DA5}" name="Contact Name" dataDxfId="127"/>
    <tableColumn id="3" xr3:uid="{88809BF7-849F-4176-80B9-5E6320A5C15C}" name="Company or Name" dataDxfId="126"/>
    <tableColumn id="4" xr3:uid="{29EAE2D0-CF5F-422B-A9B7-60AD851DFFF0}" name="Country" dataDxfId="125"/>
    <tableColumn id="5" xr3:uid="{09209B6D-FE7B-4769-9FED-0BB8C52F4BA2}" name="Address 1" dataDxfId="124"/>
    <tableColumn id="6" xr3:uid="{ABA374F0-73A3-4522-9E24-1F8F7B8009F9}" name="Address 2" dataDxfId="123"/>
    <tableColumn id="7" xr3:uid="{75065B1F-D2BF-4A2C-A8B5-3856C4E7B4D8}" name="Address 3" dataDxfId="122"/>
    <tableColumn id="8" xr3:uid="{A612D85F-2E69-4451-B2FE-89D025A1AB87}" name="City" dataDxfId="121"/>
    <tableColumn id="9" xr3:uid="{54982082-6179-41C0-8862-98F6E967EAA0}" name="State/Prov/Other" dataDxfId="120"/>
    <tableColumn id="10" xr3:uid="{1B4C7182-6F28-4F3A-BE32-C2B978FAA901}" name="Postal Code" dataDxfId="119"/>
    <tableColumn id="11" xr3:uid="{0FC1E127-69FE-40E8-90EC-57CA945DC352}" name="Telephone" dataDxfId="118"/>
    <tableColumn id="12" xr3:uid="{E21584C4-01B5-434E-B390-D7CBA6A713F1}" name="Ext" dataDxfId="117"/>
    <tableColumn id="13" xr3:uid="{2C6BE61D-47FF-49CB-956E-882A4028AC79}" name="Residential Ind" dataDxfId="116"/>
    <tableColumn id="14" xr3:uid="{85BF4C43-711D-4A82-8C13-CCF54A93CF9D}" name="Consignee Email" dataDxfId="115"/>
    <tableColumn id="19" xr3:uid="{B5314078-9E00-4595-B42B-DE1953481B20}" name="PickUpTimeFrom" dataDxfId="114"/>
    <tableColumn id="18" xr3:uid="{7A99F636-320F-4F34-9E44-50B680DABBBA}" name="PickUpTimeTo" dataDxfId="113"/>
    <tableColumn id="17" xr3:uid="{70DA81EA-14E5-4B9C-9174-F7A821DA5E26}" name="FromSiteName" dataDxfId="112"/>
    <tableColumn id="15" xr3:uid="{C25FF4F4-F8B8-436D-905A-57A6C81959CC}" name="FromSite2" dataDxfId="111"/>
    <tableColumn id="16" xr3:uid="{AD325D8B-4908-4DDB-A837-1F1B5E73C088}" name="FromSite3" dataDxfId="110"/>
    <tableColumn id="22" xr3:uid="{D9E34BD4-5A82-4DE2-A66A-C693B42C3C6A}" name="FromSite4" dataDxfId="109"/>
    <tableColumn id="23" xr3:uid="{60CEDEFA-6804-4471-88CB-675BFE96FEC3}" name="FromSite5" dataDxfId="108"/>
    <tableColumn id="20" xr3:uid="{2D84C78E-F363-4DE2-86A7-3519C0CBD8D1}" name="Delivery Address" dataDxfId="107">
      <calculatedColumnFormula>Table1[[#This Row],[Address 1]] &amp; IF(Table1[[#This Row],[Address 2]]&lt;&gt;"", ", " &amp; Table1[[#This Row],[Address 2]], "") &amp; ", " &amp; Table1[[#This Row],[City]] &amp; ", " &amp; Table1[[#This Row],[Postal Code]] &amp; ", " &amp; Table1[[#This Row],[Country]]</calculatedColumnFormula>
    </tableColumn>
    <tableColumn id="25" xr3:uid="{84FFC00E-9A97-4C7B-A94E-9BEEF1BD8533}" name="Preferred Collection Location" dataDxfId="106"/>
    <tableColumn id="21" xr3:uid="{B133FF46-4BB9-4173-B029-C70C88AA2399}" name="NOTES" dataDxfId="105"/>
    <tableColumn id="24" xr3:uid="{071B69E9-4AFF-41A4-A1C1-EE293B227C55}" name="INTERNAL NOTES" dataDxfId="104"/>
    <tableColumn id="26" xr3:uid="{086B1D9A-F63C-459F-B954-3D354BD7CE33}" name="ADDITIONAL NOTE" dataDxfId="103"/>
    <tableColumn id="27" xr3:uid="{52BCACC9-3869-4FD4-B8EE-BF3E20DD916F}" name="AREA" dataDxfId="1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A5E861-0C05-4FCC-AA9E-A47AD7142E76}" name="Table13" displayName="Table13" ref="B2:T5" totalsRowShown="0" headerRowDxfId="101" dataDxfId="100">
  <autoFilter ref="B2:T5" xr:uid="{E6ACF5FE-D8DD-48A4-9AE7-DABF4C17CF0D}"/>
  <tableColumns count="19">
    <tableColumn id="1" xr3:uid="{65E6DDB0-7E91-4C2E-B2D7-CA256295DBF8}" name="ID" dataDxfId="99"/>
    <tableColumn id="2" xr3:uid="{205370E6-D07B-48AF-9A9F-D3398EFDA095}" name="Contact Name" dataDxfId="98"/>
    <tableColumn id="3" xr3:uid="{F77B67A5-979B-4FB9-AC91-DEF1C05E0DCA}" name="Company or Name" dataDxfId="97"/>
    <tableColumn id="4" xr3:uid="{A442ED0B-407C-4DF4-835F-1E118491D7FC}" name="Country" dataDxfId="96"/>
    <tableColumn id="5" xr3:uid="{65E01EB1-E241-4072-A2C3-592FC32E218F}" name="Address 1" dataDxfId="95"/>
    <tableColumn id="6" xr3:uid="{2BA1486D-B07B-4D6A-BFBF-681242A87239}" name="Address 2" dataDxfId="94"/>
    <tableColumn id="7" xr3:uid="{4FC0FA73-5B25-4F0B-9D4E-A154DDECD5AF}" name="Address 3" dataDxfId="93"/>
    <tableColumn id="8" xr3:uid="{F4F949F9-612F-46E9-85F2-08E7AABE12FB}" name="City" dataDxfId="92"/>
    <tableColumn id="9" xr3:uid="{E33D59CB-D17D-49D4-93ED-0A4C2472F86B}" name="State/Prov/Other" dataDxfId="91"/>
    <tableColumn id="10" xr3:uid="{489DCE7D-5290-4B87-B0A1-EB0ACAEBBE37}" name="Postal Code" dataDxfId="90"/>
    <tableColumn id="11" xr3:uid="{8595ED3C-6310-433A-B0D1-2F80310D5510}" name="Telephone" dataDxfId="89"/>
    <tableColumn id="12" xr3:uid="{B185583D-6968-4D4E-A0D9-0393B5BECA8B}" name="Ext" dataDxfId="88"/>
    <tableColumn id="13" xr3:uid="{4EAD9920-0252-4AAF-9A8B-5E02CF4AFE9C}" name="Residential Ind" dataDxfId="87"/>
    <tableColumn id="14" xr3:uid="{505D8731-F797-4E08-ABA8-75F00E861559}" name="Consignee Email" dataCellStyle="Hyperlink"/>
    <tableColumn id="15" xr3:uid="{38B7FE99-9CD0-450A-B712-890F26CCE318}" name="Delivery Address" dataDxfId="86">
      <calculatedColumnFormula>Table13[[#This Row],[Address 1]] &amp; IF(Table13[[#This Row],[Address 2]]&lt;&gt;"", ", " &amp; Table13[[#This Row],[Address 2]], "") &amp; ", " &amp; Table13[[#This Row],[City]] &amp; ", " &amp; Table13[[#This Row],[Postal Code]] &amp; ", " &amp; Table13[[#This Row],[Country]]</calculatedColumnFormula>
    </tableColumn>
    <tableColumn id="16" xr3:uid="{F2324153-6E6C-497F-BFF0-B950661EC315}" name="AREA" dataDxfId="85"/>
    <tableColumn id="17" xr3:uid="{8184EE2A-FE97-47C2-B253-688F5F352892}" name="Preferred Collection Location" dataDxfId="84"/>
    <tableColumn id="18" xr3:uid="{8198370E-982B-4DAB-B0DD-3429CDF9DF9E}" name="NOTES" dataDxfId="83"/>
    <tableColumn id="19" xr3:uid="{892CE744-2333-426C-927A-085762632FE7}" name="INTERNAL NOTES" dataDxfId="8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CE1B90-9F16-4047-8DE9-B5F948FD3394}" name="Table3" displayName="Table3" ref="B2:G23" totalsRowShown="0" headerRowDxfId="81" dataDxfId="80">
  <autoFilter ref="B2:G23" xr:uid="{89CE1B90-9F16-4047-8DE9-B5F948FD3394}"/>
  <tableColumns count="6">
    <tableColumn id="1" xr3:uid="{C175195D-50A5-430F-869E-59BE038C0863}" name="COUNTRY" dataDxfId="79"/>
    <tableColumn id="2" xr3:uid="{B49696FD-EB8F-443B-AF17-28419E45BAC3}" name="Z1*" dataDxfId="78"/>
    <tableColumn id="3" xr3:uid="{04659D65-5BDB-4068-AE2E-00B9298F5F9D}" name="Z2*" dataDxfId="77"/>
    <tableColumn id="4" xr3:uid="{5CAF48A0-66B1-4653-9157-410A9D19CAE0}" name="Z3*" dataDxfId="76"/>
    <tableColumn id="5" xr3:uid="{DACFD589-4D67-445F-9E3D-1F7AC7459789}" name="Z4*" dataDxfId="75"/>
    <tableColumn id="6" xr3:uid="{11FD7533-66E4-445F-9E2A-2B3C7D27AA3E}" name="Z5*" dataDxfId="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CB996C-88F6-491E-B4A8-4FF9A0CF8214}" name="Table5" displayName="Table5" ref="B2:G11" totalsRowShown="0" headerRowDxfId="73" dataDxfId="72">
  <autoFilter ref="B2:G11" xr:uid="{FACB996C-88F6-491E-B4A8-4FF9A0CF8214}"/>
  <tableColumns count="6">
    <tableColumn id="1" xr3:uid="{EC2F08B2-211D-47E4-A2CD-85C5CBC95308}" name="scenario" dataDxfId="71"/>
    <tableColumn id="2" xr3:uid="{2D56C1F8-4A9D-442A-8670-086972B15D08}" name="from" dataDxfId="70"/>
    <tableColumn id="3" xr3:uid="{A76A6216-FCFA-4693-B9A0-D8E0A3732057}" name="to" dataDxfId="69"/>
    <tableColumn id="6" xr3:uid="{A26960FE-AEFB-4B9D-ABAA-15CA0CCF70E6}" name="combi" dataDxfId="68">
      <calculatedColumnFormula>Table5[[#This Row],[from]]&amp;Table5[[#This Row],[to]]</calculatedColumnFormula>
    </tableColumn>
    <tableColumn id="4" xr3:uid="{3842EDDF-CAD5-4B4D-BD2F-3C553FFAD472}" name="Item No" dataDxfId="67"/>
    <tableColumn id="5" xr3:uid="{63C3295E-27AB-436F-BF7D-895045CFD17C}" name="Description" dataDxfId="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6E42E2-6604-4A1B-8953-9075B9019A34}" name="Table8" displayName="Table8" ref="B2:E5" totalsRowShown="0">
  <autoFilter ref="B2:E5" xr:uid="{2A6E42E2-6604-4A1B-8953-9075B9019A34}"/>
  <tableColumns count="4">
    <tableColumn id="1" xr3:uid="{809FCC05-D606-4D0C-9703-EDD7010FBD53}" name="Nr." dataDxfId="65"/>
    <tableColumn id="2" xr3:uid="{31090A66-CC9E-406A-83A0-37244828F6E8}" name="Naam" dataDxfId="64"/>
    <tableColumn id="3" xr3:uid="{8A41AFCD-7B10-4AC3-92A6-340C78BBE8DE}" name="boxcontent-template"/>
    <tableColumn id="4" xr3:uid="{97DA9B8B-BDC3-47A7-A5B1-F4FDC7C7F810}" name="do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4076C65-ED1A-4F21-8AAC-BE40D5D78580}" name="Table7" displayName="Table7" ref="B2:H8" totalsRowShown="0">
  <autoFilter ref="B2:H8" xr:uid="{44076C65-ED1A-4F21-8AAC-BE40D5D78580}"/>
  <tableColumns count="7">
    <tableColumn id="1" xr3:uid="{DBA25ED9-B3D0-47B2-B8BB-09AA014278C5}" name="No." dataDxfId="63"/>
    <tableColumn id="2" xr3:uid="{8E59FEF4-523F-4F63-BB73-BF2A2927ACCE}" name="From"/>
    <tableColumn id="3" xr3:uid="{44EB7F3B-702A-4C69-B439-C7FBE6EA1591}" name="To"/>
    <tableColumn id="4" xr3:uid="{13E9F749-27DE-4D10-B038-ED5170674B79}" name="Type of Shipment"/>
    <tableColumn id="5" xr3:uid="{C38E343F-617A-4FD8-B9C0-E311C27CFBAC}" name="Type of Failure"/>
    <tableColumn id="6" xr3:uid="{E85EA9F4-A9DB-4202-8C4B-37D6F06D6F8D}" name="Reason"/>
    <tableColumn id="7" xr3:uid="{8E253176-6D98-4956-8653-6F6370AC74F6}" name="Caused B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ur05.safelinks.protection.outlook.com/?url=https%3A%2F%2Fmydhl.express.dhl%2Fnl%2Fen%2Ftracking.html%23%2Fresults%3Fid%3D1016562094&amp;data=05%7C02%7C%7Cdefbc01a38db433c802608dda818a357%7Cc94e273229d641d689d908c9798a6601%7C0%7C0%7C638851546266569490%7CUnknown%7CTWFpbGZsb3d8eyJFbXB0eU1hcGkiOnRydWUsIlYiOiIwLjAuMDAwMCIsIlAiOiJXaW4zMiIsIkFOIjoiTWFpbCIsIldUIjoyfQ%3D%3D%7C0%7C%7C%7C&amp;sdata=3GptTIxyQdTA3g4gDLs2GpvXpXhwV6ZGe6HG%2BDz%2BL9s%3D&amp;reserved=0" TargetMode="External"/><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apps.ups.com/pickup/processstatusrequest?ordernumber=29FJAD95759&amp;loc=en_DE&amp;initiatingPage=" TargetMode="External"/><Relationship Id="rId13" Type="http://schemas.openxmlformats.org/officeDocument/2006/relationships/hyperlink" Target="https://wwwapps.ups.com/pickup/processstatusrequest?ordernumber=2945I6AFIOJ&amp;loc=en_IT&amp;initiatingPage=" TargetMode="External"/><Relationship Id="rId18" Type="http://schemas.openxmlformats.org/officeDocument/2006/relationships/hyperlink" Target="https://wwwapps.ups.com/pickup/processstatusrequest?ordernumber=29TNC2PDP6H&amp;loc=en_DE&amp;initiatingPage=" TargetMode="External"/><Relationship Id="rId3" Type="http://schemas.openxmlformats.org/officeDocument/2006/relationships/hyperlink" Target="https://wwwapps.ups.com/pickup/processstatusrequest?ordernumber=29TJA6AK52R&amp;loc=en_CZ&amp;initiatingPage=" TargetMode="External"/><Relationship Id="rId21" Type="http://schemas.openxmlformats.org/officeDocument/2006/relationships/drawing" Target="../drawings/drawing2.xml"/><Relationship Id="rId7" Type="http://schemas.openxmlformats.org/officeDocument/2006/relationships/hyperlink" Target="https://wwwapps.ups.com/pickup/processstatusrequest?ordernumber=29SJA89BEGM&amp;loc=en_BE&amp;initiatingPage=" TargetMode="External"/><Relationship Id="rId12" Type="http://schemas.openxmlformats.org/officeDocument/2006/relationships/hyperlink" Target="https://wwwapps.ups.com/pickup/processstatusrequest?ordernumber=29K5I8D1FE7&amp;loc=en_IT&amp;initiatingPage=" TargetMode="External"/><Relationship Id="rId17" Type="http://schemas.openxmlformats.org/officeDocument/2006/relationships/hyperlink" Target="https://wwwapps.ups.com/pickup/processstatusrequest?ordernumber=29TNC2PDP6H&amp;loc=en_DE&amp;initiatingPage=" TargetMode="External"/><Relationship Id="rId2" Type="http://schemas.openxmlformats.org/officeDocument/2006/relationships/hyperlink" Target="https://wwwapps.ups.com/pickup/processstatusrequest?ordernumber=29TJA6AK52R&amp;loc=en_CZ&amp;initiatingPage=" TargetMode="External"/><Relationship Id="rId16" Type="http://schemas.openxmlformats.org/officeDocument/2006/relationships/hyperlink" Target="https://wwwapps.ups.com/pickup/processstatusrequest?ordernumber=29TJB711LF5&amp;loc=en_CY&amp;initiatingPage=" TargetMode="External"/><Relationship Id="rId20" Type="http://schemas.openxmlformats.org/officeDocument/2006/relationships/printerSettings" Target="../printerSettings/printerSettings2.bin"/><Relationship Id="rId1" Type="http://schemas.openxmlformats.org/officeDocument/2006/relationships/hyperlink" Target="https://wwwapps.ups.com/pickup/processstatusrequest?ordernumber=29TJA6AK52R&amp;loc=en_CZ&amp;initiatingPage=" TargetMode="External"/><Relationship Id="rId6" Type="http://schemas.openxmlformats.org/officeDocument/2006/relationships/hyperlink" Target="https://wwwapps.ups.com/pickup/processstatusrequest?ordernumber=29SJA89BEGM&amp;loc=en_BE&amp;initiatingPage=" TargetMode="External"/><Relationship Id="rId11" Type="http://schemas.openxmlformats.org/officeDocument/2006/relationships/hyperlink" Target="https://wwwapps.ups.com/pickup/processstatusrequest?ordernumber=29WJC6B6SLN&amp;loc=en_IT&amp;initiatingPage=" TargetMode="External"/><Relationship Id="rId24" Type="http://schemas.openxmlformats.org/officeDocument/2006/relationships/comments" Target="../comments2.xml"/><Relationship Id="rId5" Type="http://schemas.openxmlformats.org/officeDocument/2006/relationships/hyperlink" Target="https://wwwapps.ups.com/pickup/processstatusrequest?ordernumber=29XJAJA64J9&amp;loc=en_DE&amp;initiatingPage=" TargetMode="External"/><Relationship Id="rId15" Type="http://schemas.openxmlformats.org/officeDocument/2006/relationships/hyperlink" Target="https://wwwapps.ups.com/pickup/processstatusrequest?ordernumber=29TJB711LF5&amp;loc=en_CY&amp;initiatingPage=" TargetMode="External"/><Relationship Id="rId23" Type="http://schemas.openxmlformats.org/officeDocument/2006/relationships/table" Target="../tables/table3.xml"/><Relationship Id="rId10" Type="http://schemas.openxmlformats.org/officeDocument/2006/relationships/hyperlink" Target="https://wwwapps.ups.com/pickup/processstatusrequest?ordernumber=29K5G6AOG65&amp;loc=en_DE&amp;initiatingPage=" TargetMode="External"/><Relationship Id="rId19" Type="http://schemas.openxmlformats.org/officeDocument/2006/relationships/hyperlink" Target="https://wwwapps.ups.com/pickup/processstatusrequest?ordernumber=29TNC2PDP6H&amp;loc=en_DE&amp;initiatingPage=" TargetMode="External"/><Relationship Id="rId4" Type="http://schemas.openxmlformats.org/officeDocument/2006/relationships/hyperlink" Target="https://wwwapps.ups.com/pickup/processstatusrequest?ordernumber=29TJA6AK52R&amp;loc=en_CZ&amp;initiatingPage=" TargetMode="External"/><Relationship Id="rId9" Type="http://schemas.openxmlformats.org/officeDocument/2006/relationships/hyperlink" Target="https://wwwapps.ups.com/pickup/processstatusrequest?ordernumber=29FJAD95759&amp;loc=en_DE&amp;initiatingPage=" TargetMode="External"/><Relationship Id="rId14" Type="http://schemas.openxmlformats.org/officeDocument/2006/relationships/hyperlink" Target="https://wwwapps.ups.com/pickup/processstatusrequest?ordernumber=29XJAJA64J9&amp;loc=en_DE&amp;initiatingPage=" TargetMode="External"/><Relationship Id="rId2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hyperlink" Target="mailto:andreia.pimenta@madeira.gov.pt" TargetMode="External"/><Relationship Id="rId13" Type="http://schemas.openxmlformats.org/officeDocument/2006/relationships/hyperlink" Target="mailto:labor@isa.rwth-aachen.de" TargetMode="External"/><Relationship Id="rId18" Type="http://schemas.openxmlformats.org/officeDocument/2006/relationships/hyperlink" Target="mailto:oliver.kimberger@meduniwien.ac.at" TargetMode="External"/><Relationship Id="rId3" Type="http://schemas.openxmlformats.org/officeDocument/2006/relationships/hyperlink" Target="mailto:giuseppe.micciche@acespa.it;Alessandra.Mastrantonio@acespa.it" TargetMode="External"/><Relationship Id="rId7" Type="http://schemas.openxmlformats.org/officeDocument/2006/relationships/hyperlink" Target="mailto:tadas.kriksciunas@nvspl.lt" TargetMode="External"/><Relationship Id="rId12" Type="http://schemas.openxmlformats.org/officeDocument/2006/relationships/hyperlink" Target="mailto:nelumanescu@yahoo.com" TargetMode="External"/><Relationship Id="rId17" Type="http://schemas.openxmlformats.org/officeDocument/2006/relationships/hyperlink" Target="mailto:ernests.lapins@stradini.lv" TargetMode="External"/><Relationship Id="rId2" Type="http://schemas.openxmlformats.org/officeDocument/2006/relationships/hyperlink" Target="mailto:nsakon@iph.osaka.jp" TargetMode="External"/><Relationship Id="rId16" Type="http://schemas.openxmlformats.org/officeDocument/2006/relationships/hyperlink" Target="mailto:tsilipoukat@gmail.com" TargetMode="External"/><Relationship Id="rId20" Type="http://schemas.openxmlformats.org/officeDocument/2006/relationships/table" Target="../tables/table4.xml"/><Relationship Id="rId1" Type="http://schemas.openxmlformats.org/officeDocument/2006/relationships/hyperlink" Target="mailto:samantha.cytner@bwb.de" TargetMode="External"/><Relationship Id="rId6" Type="http://schemas.openxmlformats.org/officeDocument/2006/relationships/hyperlink" Target="mailto:cpapanicolaou@eoal.org.cy" TargetMode="External"/><Relationship Id="rId11" Type="http://schemas.openxmlformats.org/officeDocument/2006/relationships/hyperlink" Target="mailto:herbellucia@yahoo.com" TargetMode="External"/><Relationship Id="rId5" Type="http://schemas.openxmlformats.org/officeDocument/2006/relationships/hyperlink" Target="mailto:ladislava.mateju@szu.gov.cz" TargetMode="External"/><Relationship Id="rId15" Type="http://schemas.openxmlformats.org/officeDocument/2006/relationships/hyperlink" Target="mailto:akisgerok@chem.uoa.gr" TargetMode="External"/><Relationship Id="rId10" Type="http://schemas.openxmlformats.org/officeDocument/2006/relationships/hyperlink" Target="https://eur05.safelinks.protection.outlook.com/?url=http%3A%2F%2Fjavier.vargas%3Ajavier.vargas%2540slu.se%3B%2520mailto%253Asarah.coker%40slu.se%2F&amp;data=05%7C02%7C%7C315608cd77af4d3e237e08ddcf452b8a%7Cc94e273229d641d689d908c9798a6601%7C0%7C0%7C638894618168167689%7CUnknown%7CTWFpbGZsb3d8eyJFbXB0eU1hcGkiOnRydWUsIlYiOiIwLjAuMDAwMCIsIlAiOiJXaW4zMiIsIkFOIjoiTWFpbCIsIldUIjoyfQ%3D%3D%7C0%7C%7C%7C&amp;sdata=f1RMN2U9XzQbIr989CZ4dBoHiZ2TVFHJpeDtJlXGQFQ%3D&amp;reserved=0" TargetMode="External"/><Relationship Id="rId19" Type="http://schemas.openxmlformats.org/officeDocument/2006/relationships/printerSettings" Target="../printerSettings/printerSettings3.bin"/><Relationship Id="rId4" Type="http://schemas.openxmlformats.org/officeDocument/2006/relationships/hyperlink" Target="mailto:ANTONIO.VITALETTI@ADR.IT" TargetMode="External"/><Relationship Id="rId9" Type="http://schemas.openxmlformats.org/officeDocument/2006/relationships/hyperlink" Target="mailto:jasmin.javanmardi@med.uni-muenchen.de" TargetMode="External"/><Relationship Id="rId14" Type="http://schemas.openxmlformats.org/officeDocument/2006/relationships/hyperlink" Target="mailto:antonio.frega@gruppohera.it"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mailto:elena-maria.gil@labaqua.com%20/" TargetMode="External"/><Relationship Id="rId2" Type="http://schemas.openxmlformats.org/officeDocument/2006/relationships/hyperlink" Target="mailto:ricardosantos@tecnico.ulisboa.pt" TargetMode="External"/><Relationship Id="rId1" Type="http://schemas.openxmlformats.org/officeDocument/2006/relationships/hyperlink" Target="mailto:Bernd.GAWLIK@ec.europa.eu" TargetMode="External"/><Relationship Id="rId5" Type="http://schemas.openxmlformats.org/officeDocument/2006/relationships/table" Target="../tables/table5.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hyperlink" Target="../../../../../../../../../../../../../../../../../../../../../../../../../../../../../../../../../../../../../../../../../../../../../../../../../../../../../../../../../../../../../../../../../../../../../../../../../../../../../../../../../../../../../../../../../../../../../../../../../../../../../../../../../../../../../../../../../../../../../../../../../../../../../../../../../../../../../../../../../../../../../../../../template/boxcontentlabel_template_outbound2.docx" TargetMode="External"/><Relationship Id="rId1" Type="http://schemas.openxmlformats.org/officeDocument/2006/relationships/hyperlink" Target="../../../../../../../../../../../../../../../../../../../../../../../../../../../../../../../../../../../../../../../../../../../../../../../../../../../../../../../../../../../../../../../../../../../../../../../../../../../../../../../../../../../../../../../../../../../../../../../../../../../../../../../../../../../../../../../../../../../../../../../../../../../../../../../../../../../../../../../../../../../../../../../../template/boxcontentlabel_template_outbound1.docx"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73FDD-5D4C-4BE3-BD1A-E21EA9AFFED2}">
  <sheetPr codeName="Sheet3">
    <tabColor theme="2" tint="-9.9978637043366805E-2"/>
  </sheetPr>
  <dimension ref="B4:AG256"/>
  <sheetViews>
    <sheetView showGridLines="0" tabSelected="1" topLeftCell="A127" zoomScaleNormal="100" workbookViewId="0">
      <selection activeCell="A168" sqref="A168"/>
    </sheetView>
  </sheetViews>
  <sheetFormatPr defaultColWidth="8.5703125" defaultRowHeight="14.1" customHeight="1" x14ac:dyDescent="0.25"/>
  <cols>
    <col min="1" max="1" width="3.5703125" style="14" customWidth="1"/>
    <col min="2" max="2" width="6.42578125" style="13" customWidth="1"/>
    <col min="3" max="3" width="20.5703125" style="14" bestFit="1" customWidth="1"/>
    <col min="4" max="4" width="11.5703125" style="13" customWidth="1"/>
    <col min="5" max="5" width="29.42578125" style="13" bestFit="1" customWidth="1"/>
    <col min="6" max="6" width="24.5703125" style="13" bestFit="1" customWidth="1"/>
    <col min="7" max="7" width="13.42578125" style="13" bestFit="1" customWidth="1"/>
    <col min="8" max="8" width="13.42578125" style="13" customWidth="1"/>
    <col min="9" max="9" width="48.42578125" style="13" bestFit="1" customWidth="1"/>
    <col min="10" max="10" width="28" style="13" customWidth="1"/>
    <col min="11" max="11" width="32.5703125" style="13" hidden="1" customWidth="1"/>
    <col min="12" max="13" width="21.5703125" style="13" hidden="1" customWidth="1"/>
    <col min="14" max="14" width="24.42578125" style="13" hidden="1" customWidth="1"/>
    <col min="15" max="15" width="27.42578125" style="14" hidden="1" customWidth="1"/>
    <col min="16" max="16" width="27.42578125" style="14" customWidth="1"/>
    <col min="17" max="17" width="28.42578125" style="14" customWidth="1"/>
    <col min="18" max="18" width="27.42578125" style="14" hidden="1" customWidth="1"/>
    <col min="19" max="19" width="19.5703125" style="14" bestFit="1" customWidth="1"/>
    <col min="20" max="20" width="76.5703125" style="13" bestFit="1" customWidth="1"/>
    <col min="21" max="21" width="21.5703125" style="13" bestFit="1" customWidth="1"/>
    <col min="22" max="23" width="19.42578125" style="13" customWidth="1"/>
    <col min="24" max="24" width="73.5703125" style="14" customWidth="1"/>
    <col min="25" max="25" width="19.42578125" style="13" bestFit="1" customWidth="1"/>
    <col min="26" max="26" width="11.42578125" style="13" customWidth="1"/>
    <col min="27" max="27" width="13.5703125" style="13" bestFit="1" customWidth="1"/>
    <col min="28" max="28" width="71.42578125" style="13" customWidth="1"/>
    <col min="29" max="29" width="28.5703125" style="14" customWidth="1"/>
    <col min="30" max="30" width="48.5703125" style="14" customWidth="1"/>
    <col min="31" max="16384" width="8.5703125" style="14"/>
  </cols>
  <sheetData>
    <row r="4" spans="2:33" s="16" customFormat="1" ht="13.5" customHeight="1" x14ac:dyDescent="0.25">
      <c r="B4" s="15" t="s">
        <v>26</v>
      </c>
      <c r="C4" s="16" t="s">
        <v>47</v>
      </c>
      <c r="D4" s="15" t="s">
        <v>48</v>
      </c>
      <c r="E4" s="15" t="s">
        <v>55</v>
      </c>
      <c r="F4" s="15" t="s">
        <v>1747</v>
      </c>
      <c r="G4" s="15" t="s">
        <v>51</v>
      </c>
      <c r="H4" s="15" t="s">
        <v>50</v>
      </c>
      <c r="I4" s="15" t="s">
        <v>122</v>
      </c>
      <c r="J4" s="15" t="s">
        <v>123</v>
      </c>
      <c r="K4" s="15" t="s">
        <v>124</v>
      </c>
      <c r="L4" s="15" t="s">
        <v>57</v>
      </c>
      <c r="M4" s="15" t="s">
        <v>721</v>
      </c>
      <c r="N4" s="15" t="s">
        <v>722</v>
      </c>
      <c r="O4" s="15" t="s">
        <v>52</v>
      </c>
      <c r="P4" s="17" t="s">
        <v>70</v>
      </c>
      <c r="Q4" s="17" t="s">
        <v>71</v>
      </c>
      <c r="R4" s="17" t="s">
        <v>73</v>
      </c>
      <c r="S4" s="18" t="s">
        <v>72</v>
      </c>
      <c r="T4" s="40" t="s">
        <v>398</v>
      </c>
      <c r="U4" s="15" t="s">
        <v>226</v>
      </c>
      <c r="V4" s="15" t="s">
        <v>855</v>
      </c>
      <c r="W4" s="15" t="s">
        <v>1895</v>
      </c>
      <c r="X4" s="15" t="s">
        <v>49</v>
      </c>
      <c r="Y4" s="16" t="s">
        <v>100</v>
      </c>
      <c r="Z4" s="15" t="s">
        <v>101</v>
      </c>
      <c r="AA4" s="15" t="s">
        <v>397</v>
      </c>
      <c r="AB4" s="15" t="s">
        <v>102</v>
      </c>
      <c r="AC4" s="15" t="s">
        <v>103</v>
      </c>
      <c r="AD4" s="16" t="s">
        <v>1274</v>
      </c>
    </row>
    <row r="5" spans="2:33" ht="14.1" customHeight="1" x14ac:dyDescent="0.25">
      <c r="B5" s="13">
        <v>1</v>
      </c>
      <c r="C5" s="14" t="s">
        <v>1271</v>
      </c>
      <c r="D5" s="13">
        <v>2</v>
      </c>
      <c r="E5" s="34">
        <v>45809</v>
      </c>
      <c r="F5" s="34">
        <f>_xlfn.LET(
    _xlpm.baseDate, Table47[[#This Row],[Confirmed Sampling Date]] - 14,
    _xlpm.weekdayNum, WEEKDAY(_xlpm.baseDate, 2),
    IF(_xlpm.weekdayNum = 6, _xlpm.baseDate + 2, IF(_xlpm.weekdayNum = 7, _xlpm.baseDate + 1, _xlpm.baseDate))
)</f>
        <v>45796</v>
      </c>
      <c r="G5" s="13">
        <f>IFERROR(WEEKNUM(Table47[[#This Row],[Shipping Date (SD-14)]]),"TBD")</f>
        <v>21</v>
      </c>
      <c r="H5" s="13" t="str">
        <f>IFERROR(TEXT(Table47[[#This Row],[Shipping Date (SD-14)]],"yyyy-mm"),"TBD")</f>
        <v>2025-05</v>
      </c>
      <c r="I5" s="13" t="s">
        <v>13</v>
      </c>
      <c r="J5" s="13" t="str">
        <f>IFERROR(VLOOKUP(Table47[[#This Row],[ToSite-UPSName]],Table1[[#All],[Company or Name]:[Delivery Address]],15,FALSE),"")</f>
        <v>Berlin (Schoenefeld) WWTP</v>
      </c>
      <c r="K5" s="13" t="str">
        <f>IFERROR(VLOOKUP(Table47[[#This Row],[ToSite-UPSName]],Table1[[#All],[Company or Name]:[Delivery Address]],16,FALSE),"")</f>
        <v>Berlin Airport</v>
      </c>
      <c r="L5" s="13" t="str">
        <f>IFERROR(VLOOKUP(Table47[[#This Row],[ToSite-UPSName]],Table1[[#All],[Company or Name]:[Delivery Address]],17,FALSE),"")</f>
        <v>-</v>
      </c>
      <c r="M5" s="13" t="str">
        <f>IFERROR(VLOOKUP(Table47[[#This Row],[ToSite-UPSName]],Table1[[#All],[Company or Name]:[Delivery Address]],18,FALSE),"")</f>
        <v>-</v>
      </c>
      <c r="N5" s="13" t="str">
        <f>IFERROR(VLOOKUP(Table47[[#This Row],[ToSite-UPSName]],Table1[[#All],[Company or Name]:[Delivery Address]],19,FALSE),"")</f>
        <v>-</v>
      </c>
      <c r="O5" s="13" t="s">
        <v>42</v>
      </c>
      <c r="P5" s="13" t="s">
        <v>130</v>
      </c>
      <c r="Q5" s="13" t="s">
        <v>131</v>
      </c>
      <c r="R5" s="21"/>
      <c r="S5" s="13" t="s">
        <v>134</v>
      </c>
      <c r="T5" s="13" t="s">
        <v>991</v>
      </c>
      <c r="U5" s="13" t="s">
        <v>125</v>
      </c>
      <c r="V5" s="13" t="s">
        <v>856</v>
      </c>
      <c r="X5" s="13"/>
      <c r="Y5" s="20" t="str">
        <f>TEXT(Table47[[#This Row],[Confirmed Sampling Date]], "yyyy") &amp; "_" &amp; TEXT(Table47[[#This Row],[Confirmed Sampling Date]], "mm") &amp; "_" &amp; TEXT(Table47[[#This Row],[Confirmed Sampling Date]], "dd")</f>
        <v>2025_06_01</v>
      </c>
      <c r="Z5" s="20" t="str">
        <f>IFERROR(LEFT(J5, FIND(" ", J5) - 1), J5)</f>
        <v>Berlin</v>
      </c>
      <c r="AA5" s="20" t="str">
        <f>VLOOKUP(Table47[[#This Row],[ToSite-UPSName]],Table1[[Company or Name]:[NOTES]],2,FALSE)</f>
        <v>Germany</v>
      </c>
      <c r="AB5" s="20" t="str">
        <f>IFERROR(VLOOKUP(Table47[[#This Row],[ToSite-UPSName]], Table1[[#All],[Company or Name]:[Delivery Address]],20,FALSE),"")</f>
        <v>Strasse am Klarwerk 4, Klarwerk Wassmannsdorf, Schoenefeld, 12529, Germany</v>
      </c>
      <c r="AC5" s="20" t="str">
        <f>TEXT(Table47[[#This Row],[Shipping Date (SD-14)]]+3,"YYYY-MM-DD")</f>
        <v>2025-05-22</v>
      </c>
      <c r="AD5" s="20" t="str">
        <f>_xlfn.XLOOKUP(Table47[[#This Row],[Type]],kits!C:C,kits!D:D,"",0)</f>
        <v>boxcontentlabel_template_outbound1.docx</v>
      </c>
    </row>
    <row r="6" spans="2:33" ht="14.1" customHeight="1" x14ac:dyDescent="0.25">
      <c r="B6" s="13">
        <v>15</v>
      </c>
      <c r="C6" s="14" t="s">
        <v>1271</v>
      </c>
      <c r="D6" s="13">
        <v>2</v>
      </c>
      <c r="E6" s="19">
        <v>45811</v>
      </c>
      <c r="F6" s="34">
        <f>_xlfn.LET(
    _xlpm.baseDate, Table47[[#This Row],[Confirmed Sampling Date]] - 14,
    _xlpm.weekdayNum, WEEKDAY(_xlpm.baseDate, 2),
    IF(_xlpm.weekdayNum = 6, _xlpm.baseDate + 2, IF(_xlpm.weekdayNum = 7, _xlpm.baseDate + 1, _xlpm.baseDate))
)</f>
        <v>45797</v>
      </c>
      <c r="G6" s="13">
        <f>IFERROR(WEEKNUM(Table47[[#This Row],[Shipping Date (SD-14)]]),"TBD")</f>
        <v>21</v>
      </c>
      <c r="H6" s="13" t="str">
        <f>IFERROR(TEXT(Table47[[#This Row],[Shipping Date (SD-14)]],"yyyy-mm"),"TBD")</f>
        <v>2025-05</v>
      </c>
      <c r="I6" s="13" t="s">
        <v>19</v>
      </c>
      <c r="J6" s="13" t="str">
        <f>IFERROR(VLOOKUP(Table47[[#This Row],[ToSite-UPSName]],Table1[[#All],[Company or Name]:[Delivery Address]],15,FALSE),"")</f>
        <v>Munich WWTP</v>
      </c>
      <c r="K6" s="13" t="str">
        <f>IFERROR(VLOOKUP(Table47[[#This Row],[ToSite-UPSName]],Table1[[#All],[Company or Name]:[Delivery Address]],16,FALSE),"")</f>
        <v>Munich Airport</v>
      </c>
      <c r="L6" s="13" t="str">
        <f>IFERROR(VLOOKUP(Table47[[#This Row],[ToSite-UPSName]],Table1[[#All],[Company or Name]:[Delivery Address]],17,FALSE),"")</f>
        <v>-</v>
      </c>
      <c r="M6" s="13" t="str">
        <f>IFERROR(VLOOKUP(Table47[[#This Row],[ToSite-UPSName]],Table1[[#All],[Company or Name]:[Delivery Address]],18,FALSE),"")</f>
        <v>-</v>
      </c>
      <c r="N6" s="13" t="str">
        <f>IFERROR(VLOOKUP(Table47[[#This Row],[ToSite-UPSName]],Table1[[#All],[Company or Name]:[Delivery Address]],19,FALSE),"")</f>
        <v>-</v>
      </c>
      <c r="O6" s="13" t="s">
        <v>42</v>
      </c>
      <c r="P6" s="13" t="s">
        <v>130</v>
      </c>
      <c r="Q6" s="13" t="s">
        <v>131</v>
      </c>
      <c r="R6" s="21"/>
      <c r="S6" s="13" t="s">
        <v>134</v>
      </c>
      <c r="T6" s="13" t="s">
        <v>992</v>
      </c>
      <c r="U6" s="13" t="s">
        <v>125</v>
      </c>
      <c r="V6" s="13" t="s">
        <v>856</v>
      </c>
      <c r="X6" s="13"/>
      <c r="Y6" s="20" t="str">
        <f>TEXT(Table47[[#This Row],[Confirmed Sampling Date]], "yyyy") &amp; "_" &amp; TEXT(Table47[[#This Row],[Confirmed Sampling Date]], "mm") &amp; "_" &amp; TEXT(Table47[[#This Row],[Confirmed Sampling Date]], "dd")</f>
        <v>2025_06_03</v>
      </c>
      <c r="Z6" s="20" t="str">
        <f>IFERROR(LEFT(J6, FIND(" ", J6) - 1), J6)</f>
        <v>Munich</v>
      </c>
      <c r="AA6" s="20" t="str">
        <f>VLOOKUP(Table47[[#This Row],[ToSite-UPSName]],Table1[[Company or Name]:[NOTES]],2,FALSE)</f>
        <v>Germany</v>
      </c>
      <c r="AB6" s="20" t="str">
        <f>IFERROR(VLOOKUP(Table47[[#This Row],[ToSite-UPSName]], Table1[[#All],[Company or Name]:[Delivery Address]],20,FALSE),"")</f>
        <v>Leopoldstrasse 5, Institut fuer Infektions- und Tropenmedizin, Munich, 80802, Germany</v>
      </c>
      <c r="AC6" s="20" t="str">
        <f>TEXT(Table47[[#This Row],[Shipping Date (SD-14)]]+3,"YYYY-MM-DD")</f>
        <v>2025-05-23</v>
      </c>
      <c r="AD6" s="20" t="str">
        <f>_xlfn.XLOOKUP(Table47[[#This Row],[Type]],kits!C:C,kits!D:D,"",0)</f>
        <v>boxcontentlabel_template_outbound1.docx</v>
      </c>
    </row>
    <row r="7" spans="2:33" ht="14.1" customHeight="1" x14ac:dyDescent="0.25">
      <c r="B7" s="13">
        <v>29</v>
      </c>
      <c r="C7" s="14" t="s">
        <v>1271</v>
      </c>
      <c r="D7" s="13">
        <v>2</v>
      </c>
      <c r="E7" s="19">
        <v>45811</v>
      </c>
      <c r="F7" s="34">
        <f>_xlfn.LET(
    _xlpm.baseDate, Table47[[#This Row],[Confirmed Sampling Date]] - 14,
    _xlpm.weekdayNum, WEEKDAY(_xlpm.baseDate, 2),
    IF(_xlpm.weekdayNum = 6, _xlpm.baseDate + 2, IF(_xlpm.weekdayNum = 7, _xlpm.baseDate + 1, _xlpm.baseDate))
)</f>
        <v>45797</v>
      </c>
      <c r="G7" s="13">
        <f>IFERROR(WEEKNUM(Table47[[#This Row],[Shipping Date (SD-14)]]),"TBD")</f>
        <v>21</v>
      </c>
      <c r="H7" s="13" t="str">
        <f>IFERROR(TEXT(Table47[[#This Row],[Shipping Date (SD-14)]],"yyyy-mm"),"TBD")</f>
        <v>2025-05</v>
      </c>
      <c r="I7" s="13" t="s">
        <v>677</v>
      </c>
      <c r="J7" s="13" t="str">
        <f>IFERROR(VLOOKUP(Table47[[#This Row],[ToSite-UPSName]],Table1[[#All],[Company or Name]:[Delivery Address]],15,FALSE),"")</f>
        <v>Frankfurt WWTP</v>
      </c>
      <c r="K7" s="13" t="str">
        <f>IFERROR(VLOOKUP(Table47[[#This Row],[ToSite-UPSName]],Table1[[#All],[Company or Name]:[Delivery Address]],16,FALSE),"")</f>
        <v>Frankfurt Airport</v>
      </c>
      <c r="L7" s="13" t="str">
        <f>IFERROR(VLOOKUP(Table47[[#This Row],[ToSite-UPSName]],Table1[[#All],[Company or Name]:[Delivery Address]],17,FALSE),"")</f>
        <v>-</v>
      </c>
      <c r="M7" s="13" t="str">
        <f>IFERROR(VLOOKUP(Table47[[#This Row],[ToSite-UPSName]],Table1[[#All],[Company or Name]:[Delivery Address]],18,FALSE),"")</f>
        <v>-</v>
      </c>
      <c r="N7" s="13" t="str">
        <f>IFERROR(VLOOKUP(Table47[[#This Row],[ToSite-UPSName]],Table1[[#All],[Company or Name]:[Delivery Address]],19,FALSE),"")</f>
        <v>-</v>
      </c>
      <c r="O7" s="13" t="s">
        <v>42</v>
      </c>
      <c r="P7" s="13" t="s">
        <v>130</v>
      </c>
      <c r="Q7" s="13" t="s">
        <v>131</v>
      </c>
      <c r="R7" s="21"/>
      <c r="S7" s="13" t="s">
        <v>134</v>
      </c>
      <c r="T7" s="13" t="s">
        <v>1110</v>
      </c>
      <c r="U7" s="13" t="s">
        <v>125</v>
      </c>
      <c r="V7" s="13" t="s">
        <v>856</v>
      </c>
      <c r="X7" s="13"/>
      <c r="Y7" s="20" t="str">
        <f>TEXT(Table47[[#This Row],[Confirmed Sampling Date]], "yyyy") &amp; "_" &amp; TEXT(Table47[[#This Row],[Confirmed Sampling Date]], "mm") &amp; "_" &amp; TEXT(Table47[[#This Row],[Confirmed Sampling Date]], "dd")</f>
        <v>2025_06_03</v>
      </c>
      <c r="Z7" s="20" t="str">
        <f>IFERROR(LEFT(J7, FIND(" ", J7) - 1), J7)</f>
        <v>Frankfurt</v>
      </c>
      <c r="AA7" s="20" t="str">
        <f>VLOOKUP(Table47[[#This Row],[ToSite-UPSName]],Table1[[Company or Name]:[NOTES]],2,FALSE)</f>
        <v>Germany</v>
      </c>
      <c r="AB7" s="20" t="str">
        <f>IFERROR(VLOOKUP(Table47[[#This Row],[ToSite-UPSName]], Table1[[#All],[Company or Name]:[Delivery Address]],20,FALSE),"")</f>
        <v>Goldsteinstraße 160, Gebäude 71 , Frankfurt am Main , 60528, Germany</v>
      </c>
      <c r="AC7" s="20" t="str">
        <f>TEXT(Table47[[#This Row],[Shipping Date (SD-14)]]+3,"YYYY-MM-DD")</f>
        <v>2025-05-23</v>
      </c>
      <c r="AD7" s="20" t="str">
        <f>_xlfn.XLOOKUP(Table47[[#This Row],[Type]],kits!C:C,kits!D:D,"",0)</f>
        <v>boxcontentlabel_template_outbound1.docx</v>
      </c>
    </row>
    <row r="8" spans="2:33" ht="14.1" customHeight="1" x14ac:dyDescent="0.25">
      <c r="B8" s="13">
        <v>56</v>
      </c>
      <c r="C8" s="14" t="s">
        <v>1271</v>
      </c>
      <c r="D8" s="13">
        <v>1</v>
      </c>
      <c r="E8" s="22">
        <v>45817</v>
      </c>
      <c r="F8" s="34">
        <f>_xlfn.LET(
    _xlpm.baseDate, Table47[[#This Row],[Confirmed Sampling Date]] - 14,
    _xlpm.weekdayNum, WEEKDAY(_xlpm.baseDate, 2),
    IF(_xlpm.weekdayNum = 6, _xlpm.baseDate + 2, IF(_xlpm.weekdayNum = 7, _xlpm.baseDate + 1, _xlpm.baseDate))
)</f>
        <v>45803</v>
      </c>
      <c r="G8" s="13">
        <f>IFERROR(WEEKNUM(Table47[[#This Row],[Shipping Date (SD-14)]]),"TBD")</f>
        <v>22</v>
      </c>
      <c r="H8" s="13" t="str">
        <f>IFERROR(TEXT(Table47[[#This Row],[Shipping Date (SD-14)]],"yyyy-mm"),"TBD")</f>
        <v>2025-05</v>
      </c>
      <c r="I8" s="13" t="s">
        <v>33</v>
      </c>
      <c r="J8" s="13" t="str">
        <f>IFERROR(VLOOKUP(Table47[[#This Row],[ToSite-UPSName]],Table1[[#All],[Company or Name]:[Delivery Address]],15,FALSE),"")</f>
        <v>Osaka Expo</v>
      </c>
      <c r="K8" s="13" t="str">
        <f>IFERROR(VLOOKUP(Table47[[#This Row],[ToSite-UPSName]],Table1[[#All],[Company or Name]:[Delivery Address]],16,FALSE),"")</f>
        <v>-</v>
      </c>
      <c r="L8" s="13" t="str">
        <f>IFERROR(VLOOKUP(Table47[[#This Row],[ToSite-UPSName]],Table1[[#All],[Company or Name]:[Delivery Address]],17,FALSE),"")</f>
        <v>-</v>
      </c>
      <c r="M8" s="13" t="str">
        <f>IFERROR(VLOOKUP(Table47[[#This Row],[ToSite-UPSName]],Table1[[#All],[Company or Name]:[Delivery Address]],18,FALSE),"")</f>
        <v>-</v>
      </c>
      <c r="N8" s="13" t="str">
        <f>IFERROR(VLOOKUP(Table47[[#This Row],[ToSite-UPSName]],Table1[[#All],[Company or Name]:[Delivery Address]],19,FALSE),"")</f>
        <v>-</v>
      </c>
      <c r="O8" s="13" t="s">
        <v>42</v>
      </c>
      <c r="P8" s="13" t="s">
        <v>132</v>
      </c>
      <c r="Q8" s="13" t="s">
        <v>132</v>
      </c>
      <c r="R8" s="21"/>
      <c r="S8" s="13" t="s">
        <v>134</v>
      </c>
      <c r="T8" s="13" t="s">
        <v>133</v>
      </c>
      <c r="U8" s="13" t="s">
        <v>125</v>
      </c>
      <c r="V8" s="13" t="s">
        <v>856</v>
      </c>
      <c r="X8" s="13"/>
      <c r="Y8" s="20" t="str">
        <f>TEXT(Table47[[#This Row],[Confirmed Sampling Date]], "yyyy") &amp; "_" &amp; TEXT(Table47[[#This Row],[Confirmed Sampling Date]], "mm") &amp; "_" &amp; TEXT(Table47[[#This Row],[Confirmed Sampling Date]], "dd")</f>
        <v>2025_06_09</v>
      </c>
      <c r="Z8" s="20" t="str">
        <f>IFERROR(LEFT(J8, FIND(" ", J8) - 1), J8)</f>
        <v>Osaka</v>
      </c>
      <c r="AA8" s="20" t="str">
        <f>VLOOKUP(Table47[[#This Row],[ToSite-UPSName]],Table1[[Company or Name]:[NOTES]],2,FALSE)</f>
        <v>Japan</v>
      </c>
      <c r="AB8" s="20" t="str">
        <f>IFERROR(VLOOKUP(Table47[[#This Row],[ToSite-UPSName]], Table1[[#All],[Company or Name]:[Delivery Address]],20,FALSE),"")</f>
        <v>1-3-3 Nakamichi, Higashinari-ku, Osaka, 537-0025, Japan</v>
      </c>
      <c r="AC8" s="20" t="str">
        <f>TEXT(Table47[[#This Row],[Shipping Date (SD-14)]]+3,"YYYY-MM-DD")</f>
        <v>2025-05-29</v>
      </c>
      <c r="AD8" s="20" t="str">
        <f>_xlfn.XLOOKUP(Table47[[#This Row],[Type]],kits!C:C,kits!D:D,"",0)</f>
        <v>boxcontentlabel_template_outbound1.docx</v>
      </c>
    </row>
    <row r="9" spans="2:33" ht="14.1" customHeight="1" x14ac:dyDescent="0.25">
      <c r="B9" s="13">
        <v>62</v>
      </c>
      <c r="C9" s="14" t="s">
        <v>1271</v>
      </c>
      <c r="D9" s="13">
        <v>2</v>
      </c>
      <c r="E9" s="25">
        <v>45818</v>
      </c>
      <c r="F9" s="34">
        <f>_xlfn.LET(
    _xlpm.baseDate, Table47[[#This Row],[Confirmed Sampling Date]] - 14,
    _xlpm.weekdayNum, WEEKDAY(_xlpm.baseDate, 2),
    IF(_xlpm.weekdayNum = 6, _xlpm.baseDate + 2, IF(_xlpm.weekdayNum = 7, _xlpm.baseDate + 1, _xlpm.baseDate))
)</f>
        <v>45804</v>
      </c>
      <c r="G9" s="20">
        <f>IFERROR(WEEKNUM(Table47[[#This Row],[Shipping Date (SD-14)]]),"TBD")</f>
        <v>22</v>
      </c>
      <c r="H9" s="20" t="str">
        <f>IFERROR(TEXT(Table47[[#This Row],[Shipping Date (SD-14)]],"yyyy-mm"),"TBD")</f>
        <v>2025-05</v>
      </c>
      <c r="I9" s="13" t="s">
        <v>637</v>
      </c>
      <c r="J9" s="13" t="str">
        <f>IFERROR(VLOOKUP(Table47[[#This Row],[ToSite-UPSName]],Table1[[#All],[Company or Name]:[Delivery Address]],15,FALSE),"")</f>
        <v>Luxembourg (Beggen) WWTP</v>
      </c>
      <c r="K9" s="20" t="str">
        <f>IFERROR(VLOOKUP(Table47[[#This Row],[ToSite-UPSName]],Table1[[#All],[Company or Name]:[Delivery Address]],16,FALSE),"")</f>
        <v>Luxembourg Airport</v>
      </c>
      <c r="L9" s="13" t="str">
        <f>IFERROR(VLOOKUP(Table47[[#This Row],[ToSite-UPSName]],Table1[[#All],[Company or Name]:[Delivery Address]],17,FALSE),"")</f>
        <v>-</v>
      </c>
      <c r="M9" s="13" t="str">
        <f>IFERROR(VLOOKUP(Table47[[#This Row],[ToSite-UPSName]],Table1[[#All],[Company or Name]:[Delivery Address]],18,FALSE),"")</f>
        <v>-</v>
      </c>
      <c r="N9" s="13" t="str">
        <f>IFERROR(VLOOKUP(Table47[[#This Row],[ToSite-UPSName]],Table1[[#All],[Company or Name]:[Delivery Address]],19,FALSE),"")</f>
        <v>-</v>
      </c>
      <c r="O9" s="13" t="s">
        <v>42</v>
      </c>
      <c r="P9" s="20" t="s">
        <v>639</v>
      </c>
      <c r="Q9" s="20" t="s">
        <v>640</v>
      </c>
      <c r="R9" s="20"/>
      <c r="S9" s="20" t="s">
        <v>640</v>
      </c>
      <c r="T9" s="20" t="s">
        <v>1111</v>
      </c>
      <c r="U9" s="13" t="s">
        <v>125</v>
      </c>
      <c r="V9" s="13" t="s">
        <v>856</v>
      </c>
      <c r="X9" s="20" t="s">
        <v>650</v>
      </c>
      <c r="Y9" s="20" t="str">
        <f>TEXT(Table47[[#This Row],[Confirmed Sampling Date]], "yyyy") &amp; "_" &amp; TEXT(Table47[[#This Row],[Confirmed Sampling Date]], "mm") &amp; "_" &amp; TEXT(Table47[[#This Row],[Confirmed Sampling Date]], "dd")</f>
        <v>2025_06_10</v>
      </c>
      <c r="Z9" s="20" t="str">
        <f>IFERROR(LEFT(J9, FIND(" ", J9) - 1), J9)</f>
        <v>Luxembourg</v>
      </c>
      <c r="AA9" s="20" t="str">
        <f>VLOOKUP(Table47[[#This Row],[ToSite-UPSName]],Table1[[Company or Name]:[NOTES]],2,FALSE)</f>
        <v>Luxembourg</v>
      </c>
      <c r="AB9" s="20" t="str">
        <f>IFERROR(VLOOKUP(Table47[[#This Row],[ToSite-UPSName]], Table1[[#All],[Company or Name]:[Delivery Address]],20,FALSE),"")</f>
        <v>41 rue du Brill, Luxembourg, L-4422 , Luxembourg</v>
      </c>
      <c r="AC9" s="20" t="str">
        <f>TEXT(Table47[[#This Row],[Shipping Date (SD-14)]]+3,"YYYY-MM-DD")</f>
        <v>2025-05-30</v>
      </c>
      <c r="AD9" s="20" t="str">
        <f>_xlfn.XLOOKUP(Table47[[#This Row],[Type]],kits!C:C,kits!D:D,"",0)</f>
        <v>boxcontentlabel_template_outbound1.docx</v>
      </c>
    </row>
    <row r="10" spans="2:33" ht="14.1" customHeight="1" x14ac:dyDescent="0.25">
      <c r="B10" s="13">
        <v>69</v>
      </c>
      <c r="C10" s="14" t="s">
        <v>1271</v>
      </c>
      <c r="D10" s="13">
        <v>1</v>
      </c>
      <c r="E10" s="19">
        <v>45819</v>
      </c>
      <c r="F10" s="34">
        <f>_xlfn.LET(
    _xlpm.baseDate, Table47[[#This Row],[Confirmed Sampling Date]] - 14,
    _xlpm.weekdayNum, WEEKDAY(_xlpm.baseDate, 2),
    IF(_xlpm.weekdayNum = 6, _xlpm.baseDate + 2, IF(_xlpm.weekdayNum = 7, _xlpm.baseDate + 1, _xlpm.baseDate))
)</f>
        <v>45805</v>
      </c>
      <c r="G10" s="20">
        <f>IFERROR(WEEKNUM(Table47[[#This Row],[Shipping Date (SD-14)]]),"TBD")</f>
        <v>22</v>
      </c>
      <c r="H10" s="20" t="str">
        <f>IFERROR(TEXT(Table47[[#This Row],[Shipping Date (SD-14)]],"yyyy-mm"),"TBD")</f>
        <v>2025-05</v>
      </c>
      <c r="I10" s="13" t="s">
        <v>680</v>
      </c>
      <c r="J10" s="13" t="str">
        <f>IFERROR(VLOOKUP(Table47[[#This Row],[ToSite-UPSName]],Table1[[#All],[Company or Name]:[Delivery Address]],15,FALSE),"")</f>
        <v>Rome WWTP</v>
      </c>
      <c r="K10" s="20" t="str">
        <f>IFERROR(VLOOKUP(Table47[[#This Row],[ToSite-UPSName]],Table1[[#All],[Company or Name]:[Delivery Address]],16,FALSE),"")</f>
        <v>-</v>
      </c>
      <c r="L10" s="13" t="str">
        <f>IFERROR(VLOOKUP(Table47[[#This Row],[ToSite-UPSName]],Table1[[#All],[Company or Name]:[Delivery Address]],17,FALSE),"")</f>
        <v>-</v>
      </c>
      <c r="M10" s="20" t="str">
        <f>IFERROR(VLOOKUP(Table47[[#This Row],[ToSite-UPSName]],Table1[[#All],[Company or Name]:[Delivery Address]],18,FALSE),"")</f>
        <v>-</v>
      </c>
      <c r="N10" s="20" t="str">
        <f>IFERROR(VLOOKUP(Table47[[#This Row],[ToSite-UPSName]],Table1[[#All],[Company or Name]:[Delivery Address]],19,FALSE),"")</f>
        <v>-</v>
      </c>
      <c r="O10" s="13" t="s">
        <v>42</v>
      </c>
      <c r="P10" s="20" t="s">
        <v>639</v>
      </c>
      <c r="Q10" s="20" t="s">
        <v>640</v>
      </c>
      <c r="R10" s="20"/>
      <c r="S10" s="20" t="s">
        <v>134</v>
      </c>
      <c r="T10" s="41">
        <v>1016562094</v>
      </c>
      <c r="U10" s="13" t="s">
        <v>125</v>
      </c>
      <c r="V10" s="20" t="s">
        <v>856</v>
      </c>
      <c r="W10" s="20"/>
      <c r="X10" s="13" t="s">
        <v>741</v>
      </c>
      <c r="Y10" s="20" t="str">
        <f>TEXT(Table47[[#This Row],[Confirmed Sampling Date]], "yyyy") &amp; "_" &amp; TEXT(Table47[[#This Row],[Confirmed Sampling Date]], "mm") &amp; "_" &amp; TEXT(Table47[[#This Row],[Confirmed Sampling Date]], "dd")</f>
        <v>2025_06_11</v>
      </c>
      <c r="Z10" s="20" t="str">
        <f>IFERROR(LEFT(J10, FIND(" ", J10) - 1), J10)</f>
        <v>Rome</v>
      </c>
      <c r="AA10" s="20" t="str">
        <f>VLOOKUP(Table47[[#This Row],[ToSite-UPSName]],Table1[[Company or Name]:[NOTES]],2,FALSE)</f>
        <v>Italy</v>
      </c>
      <c r="AB10" s="20" t="str">
        <f>IFERROR(VLOOKUP(Table47[[#This Row],[ToSite-UPSName]], Table1[[#All],[Company or Name]:[Delivery Address]],20,FALSE),"")</f>
        <v>Via dell'Equitazione 10, Rome, 00144, Italy</v>
      </c>
      <c r="AC10" s="20" t="str">
        <f>TEXT(Table47[[#This Row],[Shipping Date (SD-14)]]+3,"YYYY-MM-DD")</f>
        <v>2025-05-31</v>
      </c>
      <c r="AD10" s="20" t="str">
        <f>_xlfn.XLOOKUP(Table47[[#This Row],[Type]],kits!C:C,kits!D:D,"",0)</f>
        <v>boxcontentlabel_template_outbound1.docx</v>
      </c>
    </row>
    <row r="11" spans="2:33" ht="14.1" customHeight="1" x14ac:dyDescent="0.25">
      <c r="B11" s="13">
        <v>84</v>
      </c>
      <c r="C11" s="14" t="s">
        <v>1271</v>
      </c>
      <c r="D11" s="13">
        <v>1</v>
      </c>
      <c r="E11" s="83">
        <v>45819</v>
      </c>
      <c r="F11" s="34">
        <f>_xlfn.LET(
    _xlpm.baseDate, Table47[[#This Row],[Confirmed Sampling Date]] - 14,
    _xlpm.weekdayNum, WEEKDAY(_xlpm.baseDate, 2),
    IF(_xlpm.weekdayNum = 6, _xlpm.baseDate + 2, IF(_xlpm.weekdayNum = 7, _xlpm.baseDate + 1, _xlpm.baseDate))
)</f>
        <v>45805</v>
      </c>
      <c r="G11" s="20">
        <f>IFERROR(WEEKNUM(Table47[[#This Row],[Shipping Date (SD-14)]]),"TBD")</f>
        <v>22</v>
      </c>
      <c r="H11" s="20" t="str">
        <f>IFERROR(TEXT(Table47[[#This Row],[Shipping Date (SD-14)]],"yyyy-mm"),"TBD")</f>
        <v>2025-05</v>
      </c>
      <c r="I11" s="13" t="s">
        <v>771</v>
      </c>
      <c r="J11" s="20" t="str">
        <f>IFERROR(VLOOKUP(Table47[[#This Row],[ToSite-UPSName]],Table1[[#All],[Company or Name]:[Delivery Address]],15,FALSE),"")</f>
        <v>RomeAirport</v>
      </c>
      <c r="K11" s="20" t="str">
        <f>IFERROR(VLOOKUP(Table47[[#This Row],[ToSite-UPSName]],Table1[[#All],[Company or Name]:[Delivery Address]],16,FALSE),"")</f>
        <v>-</v>
      </c>
      <c r="L11" s="13" t="str">
        <f>IFERROR(VLOOKUP(Table47[[#This Row],[ToSite-UPSName]],Table1[[#All],[Company or Name]:[Delivery Address]],17,FALSE),"")</f>
        <v>-</v>
      </c>
      <c r="M11" s="20" t="str">
        <f>IFERROR(VLOOKUP(Table47[[#This Row],[ToSite-UPSName]],Table1[[#All],[Company or Name]:[Delivery Address]],18,FALSE),"")</f>
        <v>-</v>
      </c>
      <c r="N11" s="20" t="str">
        <f>IFERROR(VLOOKUP(Table47[[#This Row],[ToSite-UPSName]],Table1[[#All],[Company or Name]:[Delivery Address]],19,FALSE),"")</f>
        <v>-</v>
      </c>
      <c r="O11" s="13" t="s">
        <v>42</v>
      </c>
      <c r="P11" s="20" t="s">
        <v>692</v>
      </c>
      <c r="Q11" s="20" t="s">
        <v>693</v>
      </c>
      <c r="R11" s="20"/>
      <c r="S11" s="20" t="s">
        <v>134</v>
      </c>
      <c r="T11" s="20" t="s">
        <v>742</v>
      </c>
      <c r="U11" s="13" t="s">
        <v>125</v>
      </c>
      <c r="V11" s="13" t="s">
        <v>856</v>
      </c>
      <c r="X11" s="13"/>
      <c r="Y11" s="20" t="str">
        <f>TEXT(Table47[[#This Row],[Confirmed Sampling Date]], "yyyy") &amp; "_" &amp; TEXT(Table47[[#This Row],[Confirmed Sampling Date]], "mm") &amp; "_" &amp; TEXT(Table47[[#This Row],[Confirmed Sampling Date]], "dd")</f>
        <v>2025_06_11</v>
      </c>
      <c r="Z11" s="20" t="str">
        <f>IFERROR(LEFT(J11, FIND(" ", J11) - 1), J11)</f>
        <v>RomeAirport</v>
      </c>
      <c r="AA11" s="20" t="str">
        <f>VLOOKUP(Table47[[#This Row],[ToSite-UPSName]],Table1[[Company or Name]:[NOTES]],2,FALSE)</f>
        <v>Italy</v>
      </c>
      <c r="AB11" s="20" t="str">
        <f>IFERROR(VLOOKUP(Table47[[#This Row],[ToSite-UPSName]], Table1[[#All],[Company or Name]:[Delivery Address]],20,FALSE),"")</f>
        <v>VIA FRATELLI WRIGHT (DEPURATORE BIOLOGICO), FIUMICINO, 00054, Italy</v>
      </c>
      <c r="AC11" s="20" t="str">
        <f>TEXT(Table47[[#This Row],[Shipping Date (SD-14)]]+3,"YYYY-MM-DD")</f>
        <v>2025-05-31</v>
      </c>
      <c r="AD11" s="20" t="str">
        <f>_xlfn.XLOOKUP(Table47[[#This Row],[Type]],kits!C:C,kits!D:D,"",0)</f>
        <v>boxcontentlabel_template_outbound1.docx</v>
      </c>
    </row>
    <row r="12" spans="2:33" ht="14.1" customHeight="1" x14ac:dyDescent="0.25">
      <c r="B12" s="13">
        <v>2</v>
      </c>
      <c r="C12" s="14" t="s">
        <v>1271</v>
      </c>
      <c r="D12" s="13">
        <v>2</v>
      </c>
      <c r="E12" s="83">
        <v>45823</v>
      </c>
      <c r="F12" s="34">
        <f>_xlfn.LET(
    _xlpm.baseDate, Table47[[#This Row],[Confirmed Sampling Date]] - 14,
    _xlpm.weekdayNum, WEEKDAY(_xlpm.baseDate, 2),
    IF(_xlpm.weekdayNum = 6, _xlpm.baseDate + 2, IF(_xlpm.weekdayNum = 7, _xlpm.baseDate + 1, _xlpm.baseDate))
)</f>
        <v>45810</v>
      </c>
      <c r="G12" s="13">
        <f>IFERROR(WEEKNUM(Table47[[#This Row],[Shipping Date (SD-14)]]),"TBD")</f>
        <v>23</v>
      </c>
      <c r="H12" s="13" t="str">
        <f>IFERROR(TEXT(Table47[[#This Row],[Shipping Date (SD-14)]],"yyyy-mm"),"TBD")</f>
        <v>2025-06</v>
      </c>
      <c r="I12" s="13" t="s">
        <v>13</v>
      </c>
      <c r="J12" s="13" t="str">
        <f>IFERROR(VLOOKUP(Table47[[#This Row],[ToSite-UPSName]],Table1[[#All],[Company or Name]:[Delivery Address]],15,FALSE),"")</f>
        <v>Berlin (Schoenefeld) WWTP</v>
      </c>
      <c r="K12" s="13" t="str">
        <f>IFERROR(VLOOKUP(Table47[[#This Row],[ToSite-UPSName]],Table1[[#All],[Company or Name]:[Delivery Address]],16,FALSE),"")</f>
        <v>Berlin Airport</v>
      </c>
      <c r="L12" s="13" t="str">
        <f>IFERROR(VLOOKUP(Table47[[#This Row],[ToSite-UPSName]],Table1[[#All],[Company or Name]:[Delivery Address]],17,FALSE),"")</f>
        <v>-</v>
      </c>
      <c r="M12" s="13" t="str">
        <f>IFERROR(VLOOKUP(Table47[[#This Row],[ToSite-UPSName]],Table1[[#All],[Company or Name]:[Delivery Address]],18,FALSE),"")</f>
        <v>-</v>
      </c>
      <c r="N12" s="13" t="str">
        <f>IFERROR(VLOOKUP(Table47[[#This Row],[ToSite-UPSName]],Table1[[#All],[Company or Name]:[Delivery Address]],19,FALSE),"")</f>
        <v>-</v>
      </c>
      <c r="O12" s="13" t="s">
        <v>42</v>
      </c>
      <c r="P12" s="20" t="s">
        <v>692</v>
      </c>
      <c r="Q12" s="13" t="s">
        <v>693</v>
      </c>
      <c r="R12" s="13"/>
      <c r="S12" s="99" t="s">
        <v>134</v>
      </c>
      <c r="T12" s="99" t="s">
        <v>990</v>
      </c>
      <c r="U12" s="13" t="s">
        <v>125</v>
      </c>
      <c r="V12" s="13" t="s">
        <v>856</v>
      </c>
      <c r="X12" s="13"/>
      <c r="Y12" s="20" t="str">
        <f>TEXT(Table47[[#This Row],[Confirmed Sampling Date]], "yyyy") &amp; "_" &amp; TEXT(Table47[[#This Row],[Confirmed Sampling Date]], "mm") &amp; "_" &amp; TEXT(Table47[[#This Row],[Confirmed Sampling Date]], "dd")</f>
        <v>2025_06_15</v>
      </c>
      <c r="Z12" s="13" t="str">
        <f>IFERROR(LEFT(J12, FIND(" ", J12) - 1), J12)</f>
        <v>Berlin</v>
      </c>
      <c r="AA12" s="13" t="str">
        <f>VLOOKUP(Table47[[#This Row],[ToSite-UPSName]],Table1[[Company or Name]:[NOTES]],2,FALSE)</f>
        <v>Germany</v>
      </c>
      <c r="AB12" s="13" t="str">
        <f>IFERROR(VLOOKUP(Table47[[#This Row],[ToSite-UPSName]], Table1[[#All],[Company or Name]:[Delivery Address]],20,FALSE),"")</f>
        <v>Strasse am Klarwerk 4, Klarwerk Wassmannsdorf, Schoenefeld, 12529, Germany</v>
      </c>
      <c r="AC12" s="13" t="str">
        <f>TEXT(Table47[[#This Row],[Shipping Date (SD-14)]]+3,"YYYY-MM-DD")</f>
        <v>2025-06-05</v>
      </c>
      <c r="AD12" s="20" t="str">
        <f>_xlfn.XLOOKUP(Table47[[#This Row],[Type]],kits!C:C,kits!D:D,"",0)</f>
        <v>boxcontentlabel_template_outbound1.docx</v>
      </c>
    </row>
    <row r="13" spans="2:33" ht="14.1" customHeight="1" x14ac:dyDescent="0.25">
      <c r="B13" s="13">
        <v>43</v>
      </c>
      <c r="C13" s="14" t="s">
        <v>1271</v>
      </c>
      <c r="D13" s="13">
        <v>2</v>
      </c>
      <c r="E13" s="83">
        <v>45824</v>
      </c>
      <c r="F13" s="83">
        <f>_xlfn.LET(
    _xlpm.baseDate, Table47[[#This Row],[Confirmed Sampling Date]] - 14,
    _xlpm.weekdayNum, WEEKDAY(_xlpm.baseDate, 2),
    IF(_xlpm.weekdayNum = 6, _xlpm.baseDate + 2, IF(_xlpm.weekdayNum = 7, _xlpm.baseDate + 1, _xlpm.baseDate))
)</f>
        <v>45810</v>
      </c>
      <c r="G13" s="13">
        <f>IFERROR(WEEKNUM(Table47[[#This Row],[Shipping Date (SD-14)]]),"TBD")</f>
        <v>23</v>
      </c>
      <c r="H13" s="13" t="str">
        <f>IFERROR(TEXT(Table47[[#This Row],[Shipping Date (SD-14)]],"yyyy-mm"),"TBD")</f>
        <v>2025-06</v>
      </c>
      <c r="I13" s="13" t="s">
        <v>364</v>
      </c>
      <c r="J13" s="13" t="str">
        <f>IFERROR(VLOOKUP(Table47[[#This Row],[ToSite-UPSName]],Table1[[#All],[Company or Name]:[Delivery Address]],15,FALSE),"")</f>
        <v>Brussels WWTP</v>
      </c>
      <c r="K13" s="13" t="str">
        <f>IFERROR(VLOOKUP(Table47[[#This Row],[ToSite-UPSName]],Table1[[#All],[Company or Name]:[Delivery Address]],16,FALSE),"")</f>
        <v>Brussels Airport</v>
      </c>
      <c r="L13" s="13" t="str">
        <f>IFERROR(VLOOKUP(Table47[[#This Row],[ToSite-UPSName]],Table1[[#All],[Company or Name]:[Delivery Address]],17,FALSE),"")</f>
        <v>-</v>
      </c>
      <c r="M13" s="13" t="str">
        <f>IFERROR(VLOOKUP(Table47[[#This Row],[ToSite-UPSName]],Table1[[#All],[Company or Name]:[Delivery Address]],18,FALSE),"")</f>
        <v>-</v>
      </c>
      <c r="N13" s="13" t="str">
        <f>IFERROR(VLOOKUP(Table47[[#This Row],[ToSite-UPSName]],Table1[[#All],[Company or Name]:[Delivery Address]],19,FALSE),"")</f>
        <v>-</v>
      </c>
      <c r="O13" s="13" t="s">
        <v>42</v>
      </c>
      <c r="P13" s="20" t="s">
        <v>692</v>
      </c>
      <c r="Q13" s="13" t="s">
        <v>693</v>
      </c>
      <c r="R13" s="13"/>
      <c r="S13" s="13" t="s">
        <v>134</v>
      </c>
      <c r="T13" s="13" t="s">
        <v>988</v>
      </c>
      <c r="U13" s="13" t="s">
        <v>125</v>
      </c>
      <c r="V13" s="13" t="s">
        <v>856</v>
      </c>
      <c r="X13" s="13"/>
      <c r="Y13" s="20" t="str">
        <f>TEXT(Table47[[#This Row],[Confirmed Sampling Date]], "yyyy") &amp; "_" &amp; TEXT(Table47[[#This Row],[Confirmed Sampling Date]], "mm") &amp; "_" &amp; TEXT(Table47[[#This Row],[Confirmed Sampling Date]], "dd")</f>
        <v>2025_06_16</v>
      </c>
      <c r="Z13" s="20" t="str">
        <f>IFERROR(LEFT(J13, FIND(" ", J13) - 1), J13)</f>
        <v>Brussels</v>
      </c>
      <c r="AA13" s="20" t="str">
        <f>VLOOKUP(Table47[[#This Row],[ToSite-UPSName]],Table1[[Company or Name]:[NOTES]],2,FALSE)</f>
        <v>Belgium</v>
      </c>
      <c r="AB13" s="20" t="str">
        <f>IFERROR(VLOOKUP(Table47[[#This Row],[ToSite-UPSName]], Table1[[#All],[Company or Name]:[Delivery Address]],20,FALSE),"")</f>
        <v>Rue Juliette Wytsmanstraat 14, Brussels, 1050, Belgium</v>
      </c>
      <c r="AC13" s="20" t="str">
        <f>TEXT(Table47[[#This Row],[Shipping Date (SD-14)]]+3,"YYYY-MM-DD")</f>
        <v>2025-06-05</v>
      </c>
      <c r="AD13" s="20" t="str">
        <f>_xlfn.XLOOKUP(Table47[[#This Row],[Type]],kits!C:C,kits!D:D,"",0)</f>
        <v>boxcontentlabel_template_outbound1.docx</v>
      </c>
    </row>
    <row r="14" spans="2:33" ht="14.1" customHeight="1" x14ac:dyDescent="0.25">
      <c r="B14" s="13">
        <v>16</v>
      </c>
      <c r="C14" s="14" t="s">
        <v>1271</v>
      </c>
      <c r="D14" s="13">
        <v>2</v>
      </c>
      <c r="E14" s="83">
        <v>45825</v>
      </c>
      <c r="F14" s="34">
        <f>_xlfn.LET(
    _xlpm.baseDate, Table47[[#This Row],[Confirmed Sampling Date]] - 14,
    _xlpm.weekdayNum, WEEKDAY(_xlpm.baseDate, 2),
    IF(_xlpm.weekdayNum = 6, _xlpm.baseDate + 2, IF(_xlpm.weekdayNum = 7, _xlpm.baseDate + 1, _xlpm.baseDate))
)</f>
        <v>45811</v>
      </c>
      <c r="G14" s="13">
        <f>IFERROR(WEEKNUM(Table47[[#This Row],[Shipping Date (SD-14)]]),"TBD")</f>
        <v>23</v>
      </c>
      <c r="H14" s="13" t="str">
        <f>IFERROR(TEXT(Table47[[#This Row],[Shipping Date (SD-14)]],"yyyy-mm"),"TBD")</f>
        <v>2025-06</v>
      </c>
      <c r="I14" s="13" t="s">
        <v>19</v>
      </c>
      <c r="J14" s="13" t="str">
        <f>IFERROR(VLOOKUP(Table47[[#This Row],[ToSite-UPSName]],Table1[[#All],[Company or Name]:[Delivery Address]],15,FALSE),"")</f>
        <v>Munich WWTP</v>
      </c>
      <c r="K14" s="13" t="str">
        <f>IFERROR(VLOOKUP(Table47[[#This Row],[ToSite-UPSName]],Table1[[#All],[Company or Name]:[Delivery Address]],16,FALSE),"")</f>
        <v>Munich Airport</v>
      </c>
      <c r="L14" s="13" t="str">
        <f>IFERROR(VLOOKUP(Table47[[#This Row],[ToSite-UPSName]],Table1[[#All],[Company or Name]:[Delivery Address]],17,FALSE),"")</f>
        <v>-</v>
      </c>
      <c r="M14" s="13" t="str">
        <f>IFERROR(VLOOKUP(Table47[[#This Row],[ToSite-UPSName]],Table1[[#All],[Company or Name]:[Delivery Address]],18,FALSE),"")</f>
        <v>-</v>
      </c>
      <c r="N14" s="13" t="str">
        <f>IFERROR(VLOOKUP(Table47[[#This Row],[ToSite-UPSName]],Table1[[#All],[Company or Name]:[Delivery Address]],19,FALSE),"")</f>
        <v>-</v>
      </c>
      <c r="O14" s="13" t="s">
        <v>42</v>
      </c>
      <c r="P14" s="20" t="s">
        <v>692</v>
      </c>
      <c r="Q14" s="13" t="s">
        <v>693</v>
      </c>
      <c r="R14" s="13"/>
      <c r="S14" s="99" t="s">
        <v>134</v>
      </c>
      <c r="T14" s="99" t="s">
        <v>987</v>
      </c>
      <c r="U14" s="13" t="s">
        <v>125</v>
      </c>
      <c r="V14" s="13" t="s">
        <v>856</v>
      </c>
      <c r="X14" s="13"/>
      <c r="Y14" s="20" t="str">
        <f>TEXT(Table47[[#This Row],[Confirmed Sampling Date]], "yyyy") &amp; "_" &amp; TEXT(Table47[[#This Row],[Confirmed Sampling Date]], "mm") &amp; "_" &amp; TEXT(Table47[[#This Row],[Confirmed Sampling Date]], "dd")</f>
        <v>2025_06_17</v>
      </c>
      <c r="Z14" s="13" t="str">
        <f>IFERROR(LEFT(J14, FIND(" ", J14) - 1), J14)</f>
        <v>Munich</v>
      </c>
      <c r="AA14" s="13" t="str">
        <f>VLOOKUP(Table47[[#This Row],[ToSite-UPSName]],Table1[[Company or Name]:[NOTES]],2,FALSE)</f>
        <v>Germany</v>
      </c>
      <c r="AB14" s="13" t="str">
        <f>IFERROR(VLOOKUP(Table47[[#This Row],[ToSite-UPSName]], Table1[[#All],[Company or Name]:[Delivery Address]],20,FALSE),"")</f>
        <v>Leopoldstrasse 5, Institut fuer Infektions- und Tropenmedizin, Munich, 80802, Germany</v>
      </c>
      <c r="AC14" s="13" t="str">
        <f>TEXT(Table47[[#This Row],[Shipping Date (SD-14)]]+3,"YYYY-MM-DD")</f>
        <v>2025-06-06</v>
      </c>
      <c r="AD14" s="20" t="str">
        <f>_xlfn.XLOOKUP(Table47[[#This Row],[Type]],kits!C:C,kits!D:D,"",0)</f>
        <v>boxcontentlabel_template_outbound1.docx</v>
      </c>
      <c r="AF14" s="23"/>
      <c r="AG14" s="23"/>
    </row>
    <row r="15" spans="2:33" ht="14.1" customHeight="1" x14ac:dyDescent="0.25">
      <c r="B15" s="13">
        <v>30</v>
      </c>
      <c r="C15" s="14" t="s">
        <v>1271</v>
      </c>
      <c r="D15" s="13">
        <v>1</v>
      </c>
      <c r="E15" s="19">
        <v>45825</v>
      </c>
      <c r="F15" s="34">
        <f>_xlfn.LET(
    _xlpm.baseDate, Table47[[#This Row],[Confirmed Sampling Date]] - 14,
    _xlpm.weekdayNum, WEEKDAY(_xlpm.baseDate, 2),
    IF(_xlpm.weekdayNum = 6, _xlpm.baseDate + 2, IF(_xlpm.weekdayNum = 7, _xlpm.baseDate + 1, _xlpm.baseDate))
)</f>
        <v>45811</v>
      </c>
      <c r="G15" s="13">
        <f>IFERROR(WEEKNUM(Table47[[#This Row],[Shipping Date (SD-14)]]),"TBD")</f>
        <v>23</v>
      </c>
      <c r="H15" s="13" t="str">
        <f>IFERROR(TEXT(Table47[[#This Row],[Shipping Date (SD-14)]],"yyyy-mm"),"TBD")</f>
        <v>2025-06</v>
      </c>
      <c r="I15" s="13" t="s">
        <v>677</v>
      </c>
      <c r="J15" s="13" t="str">
        <f>IFERROR(VLOOKUP(Table47[[#This Row],[ToSite-UPSName]],Table1[[#All],[Company or Name]:[Delivery Address]],15,FALSE),"")</f>
        <v>Frankfurt WWTP</v>
      </c>
      <c r="K15" s="13" t="str">
        <f>IFERROR(VLOOKUP(Table47[[#This Row],[ToSite-UPSName]],Table1[[#All],[Company or Name]:[Delivery Address]],16,FALSE),"")</f>
        <v>Frankfurt Airport</v>
      </c>
      <c r="L15" s="13" t="str">
        <f>IFERROR(VLOOKUP(Table47[[#This Row],[ToSite-UPSName]],Table1[[#All],[Company or Name]:[Delivery Address]],17,FALSE),"")</f>
        <v>-</v>
      </c>
      <c r="M15" s="13" t="str">
        <f>IFERROR(VLOOKUP(Table47[[#This Row],[ToSite-UPSName]],Table1[[#All],[Company or Name]:[Delivery Address]],18,FALSE),"")</f>
        <v>-</v>
      </c>
      <c r="N15" s="13" t="str">
        <f>IFERROR(VLOOKUP(Table47[[#This Row],[ToSite-UPSName]],Table1[[#All],[Company or Name]:[Delivery Address]],19,FALSE),"")</f>
        <v>-</v>
      </c>
      <c r="O15" s="13" t="s">
        <v>42</v>
      </c>
      <c r="P15" s="20" t="s">
        <v>692</v>
      </c>
      <c r="Q15" s="13" t="s">
        <v>693</v>
      </c>
      <c r="R15" s="13"/>
      <c r="S15" s="13" t="s">
        <v>134</v>
      </c>
      <c r="T15" s="13" t="s">
        <v>989</v>
      </c>
      <c r="U15" s="13" t="s">
        <v>125</v>
      </c>
      <c r="V15" s="13" t="s">
        <v>856</v>
      </c>
      <c r="X15" s="13"/>
      <c r="Y15" s="20" t="str">
        <f>TEXT(Table47[[#This Row],[Confirmed Sampling Date]], "yyyy") &amp; "_" &amp; TEXT(Table47[[#This Row],[Confirmed Sampling Date]], "mm") &amp; "_" &amp; TEXT(Table47[[#This Row],[Confirmed Sampling Date]], "dd")</f>
        <v>2025_06_17</v>
      </c>
      <c r="Z15" s="20" t="str">
        <f>IFERROR(LEFT(J15, FIND(" ", J15) - 1), J15)</f>
        <v>Frankfurt</v>
      </c>
      <c r="AA15" s="20" t="str">
        <f>VLOOKUP(Table47[[#This Row],[ToSite-UPSName]],Table1[[Company or Name]:[NOTES]],2,FALSE)</f>
        <v>Germany</v>
      </c>
      <c r="AB15" s="20" t="str">
        <f>IFERROR(VLOOKUP(Table47[[#This Row],[ToSite-UPSName]], Table1[[#All],[Company or Name]:[Delivery Address]],20,FALSE),"")</f>
        <v>Goldsteinstraße 160, Gebäude 71 , Frankfurt am Main , 60528, Germany</v>
      </c>
      <c r="AC15" s="20" t="str">
        <f>TEXT(Table47[[#This Row],[Shipping Date (SD-14)]]+3,"YYYY-MM-DD")</f>
        <v>2025-06-06</v>
      </c>
      <c r="AD15" s="20" t="str">
        <f>_xlfn.XLOOKUP(Table47[[#This Row],[Type]],kits!C:C,kits!D:D,"",0)</f>
        <v>boxcontentlabel_template_outbound1.docx</v>
      </c>
    </row>
    <row r="16" spans="2:33" ht="14.1" customHeight="1" x14ac:dyDescent="0.25">
      <c r="B16" s="13">
        <v>98</v>
      </c>
      <c r="C16" s="14" t="s">
        <v>1271</v>
      </c>
      <c r="D16" s="13">
        <v>4</v>
      </c>
      <c r="E16" s="34">
        <v>45825</v>
      </c>
      <c r="F16" s="34">
        <f>_xlfn.LET(
    _xlpm.baseDate, Table47[[#This Row],[Confirmed Sampling Date]] - 14,
    _xlpm.weekdayNum, WEEKDAY(_xlpm.baseDate, 2),
    IF(_xlpm.weekdayNum = 6, _xlpm.baseDate + 2, IF(_xlpm.weekdayNum = 7, _xlpm.baseDate + 1, _xlpm.baseDate))
)</f>
        <v>45811</v>
      </c>
      <c r="G16" s="20">
        <f>IFERROR(WEEKNUM(Table47[[#This Row],[Shipping Date (SD-14)]]),"TBD")</f>
        <v>23</v>
      </c>
      <c r="H16" s="20" t="str">
        <f>IFERROR(TEXT(Table47[[#This Row],[Shipping Date (SD-14)]],"yyyy-mm"),"TBD")</f>
        <v>2025-06</v>
      </c>
      <c r="I16" s="13" t="s">
        <v>877</v>
      </c>
      <c r="J16" s="20" t="str">
        <f>IFERROR(VLOOKUP(Table47[[#This Row],[ToSite-UPSName]],Table1[[#All],[Company or Name]:[Delivery Address]],15,FALSE),"")</f>
        <v>Prague National Institute</v>
      </c>
      <c r="K16" s="20" t="str">
        <f>IFERROR(VLOOKUP(Table47[[#This Row],[ToSite-UPSName]],Table1[[#All],[Company or Name]:[Delivery Address]],16,FALSE),"")</f>
        <v>Prague WWTP FLOW 1</v>
      </c>
      <c r="L16" s="13" t="str">
        <f>IFERROR(VLOOKUP(Table47[[#This Row],[ToSite-UPSName]],Table1[[#All],[Company or Name]:[Delivery Address]],17,FALSE),"")</f>
        <v>Prague WWTP FLOW 2</v>
      </c>
      <c r="M16" s="20" t="str">
        <f>IFERROR(VLOOKUP(Table47[[#This Row],[ToSite-UPSName]],Table1[[#All],[Company or Name]:[Delivery Address]],18,FALSE),"")</f>
        <v>Prague Airport</v>
      </c>
      <c r="N16" s="20" t="str">
        <f>IFERROR(VLOOKUP(Table47[[#This Row],[ToSite-UPSName]],Table1[[#All],[Company or Name]:[Delivery Address]],19,FALSE),"")</f>
        <v>Prague Hospital</v>
      </c>
      <c r="O16" s="13" t="s">
        <v>42</v>
      </c>
      <c r="P16" s="20" t="s">
        <v>639</v>
      </c>
      <c r="Q16" s="20" t="s">
        <v>693</v>
      </c>
      <c r="R16" s="20"/>
      <c r="S16" s="20" t="s">
        <v>693</v>
      </c>
      <c r="T16" s="20" t="s">
        <v>845</v>
      </c>
      <c r="U16" s="13" t="s">
        <v>125</v>
      </c>
      <c r="V16" s="13" t="s">
        <v>856</v>
      </c>
      <c r="X16" s="13"/>
      <c r="Y16" s="20" t="str">
        <f>TEXT(Table47[[#This Row],[Confirmed Sampling Date]], "yyyy") &amp; "_" &amp; TEXT(Table47[[#This Row],[Confirmed Sampling Date]], "mm") &amp; "_" &amp; TEXT(Table47[[#This Row],[Confirmed Sampling Date]], "dd")</f>
        <v>2025_06_17</v>
      </c>
      <c r="Z16" s="20" t="str">
        <f>IFERROR(LEFT(J16, FIND(" ", J16) - 1), J16)</f>
        <v>Prague</v>
      </c>
      <c r="AA16" s="20" t="str">
        <f>VLOOKUP(Table47[[#This Row],[ToSite-UPSName]],Table1[[Company or Name]:[NOTES]],2,FALSE)</f>
        <v>Czech Republic</v>
      </c>
      <c r="AB16" s="20" t="str">
        <f>IFERROR(VLOOKUP(Table47[[#This Row],[ToSite-UPSName]], Table1[[#All],[Company or Name]:[Delivery Address]],20,FALSE),"")</f>
        <v>Šrobárova 49/48, Státní zdravotní ústav, Praha, 100 00, Czech Republic</v>
      </c>
      <c r="AC16" s="20" t="str">
        <f>TEXT(Table47[[#This Row],[Shipping Date (SD-14)]]+3,"YYYY-MM-DD")</f>
        <v>2025-06-06</v>
      </c>
      <c r="AD16" s="20" t="str">
        <f>_xlfn.XLOOKUP(Table47[[#This Row],[Type]],kits!C:C,kits!D:D,"",0)</f>
        <v>boxcontentlabel_template_outbound1.docx</v>
      </c>
    </row>
    <row r="17" spans="2:30" ht="14.1" customHeight="1" x14ac:dyDescent="0.25">
      <c r="B17" s="13">
        <v>111</v>
      </c>
      <c r="C17" s="14" t="s">
        <v>1271</v>
      </c>
      <c r="D17" s="13">
        <v>2</v>
      </c>
      <c r="E17" s="34">
        <v>45825</v>
      </c>
      <c r="F17" s="34">
        <f>_xlfn.LET(
    _xlpm.baseDate, Table47[[#This Row],[Confirmed Sampling Date]] - 14,
    _xlpm.weekdayNum, WEEKDAY(_xlpm.baseDate, 2),
    IF(_xlpm.weekdayNum = 6, _xlpm.baseDate + 2, IF(_xlpm.weekdayNum = 7, _xlpm.baseDate + 1, _xlpm.baseDate))
)</f>
        <v>45811</v>
      </c>
      <c r="G17" s="20">
        <f>IFERROR(WEEKNUM(Table47[[#This Row],[Shipping Date (SD-14)]]),"TBD")</f>
        <v>23</v>
      </c>
      <c r="H17" s="20" t="str">
        <f>IFERROR(TEXT(Table47[[#This Row],[Shipping Date (SD-14)]],"yyyy-mm"),"TBD")</f>
        <v>2025-06</v>
      </c>
      <c r="I17" s="13" t="s">
        <v>779</v>
      </c>
      <c r="J17" s="20" t="str">
        <f>IFERROR(VLOOKUP(Table47[[#This Row],[ToSite-UPSName]],Table1[[#All],[Company or Name]:[Delivery Address]],15,FALSE),"")</f>
        <v>Larnaca WWTP</v>
      </c>
      <c r="K17" s="20" t="str">
        <f>IFERROR(VLOOKUP(Table47[[#This Row],[ToSite-UPSName]],Table1[[#All],[Company or Name]:[Delivery Address]],16,FALSE),"")</f>
        <v>Larnaca Airport</v>
      </c>
      <c r="L17" s="20"/>
      <c r="M17" s="20">
        <f>IFERROR(VLOOKUP(Table47[[#This Row],[ToSite-UPSName]],Table1[[#All],[Company or Name]:[Delivery Address]],18,FALSE),"")</f>
        <v>0</v>
      </c>
      <c r="N17" s="20">
        <f>IFERROR(VLOOKUP(Table47[[#This Row],[ToSite-UPSName]],Table1[[#All],[Company or Name]:[Delivery Address]],19,FALSE),"")</f>
        <v>0</v>
      </c>
      <c r="O17" s="13" t="s">
        <v>42</v>
      </c>
      <c r="P17" s="20" t="s">
        <v>692</v>
      </c>
      <c r="Q17" s="20" t="s">
        <v>639</v>
      </c>
      <c r="R17" s="37" t="s">
        <v>766</v>
      </c>
      <c r="S17" s="65" t="s">
        <v>134</v>
      </c>
      <c r="T17" s="65" t="s">
        <v>846</v>
      </c>
      <c r="U17" s="13" t="s">
        <v>125</v>
      </c>
      <c r="V17" s="20" t="s">
        <v>856</v>
      </c>
      <c r="W17" s="20"/>
      <c r="X17" s="13"/>
      <c r="Y17" s="20" t="str">
        <f>TEXT(Table47[[#This Row],[Confirmed Sampling Date]], "yyyy") &amp; "_" &amp; TEXT(Table47[[#This Row],[Confirmed Sampling Date]], "mm") &amp; "_" &amp; TEXT(Table47[[#This Row],[Confirmed Sampling Date]], "dd")</f>
        <v>2025_06_17</v>
      </c>
      <c r="Z17" s="20" t="str">
        <f>IFERROR(LEFT(J17, FIND(" ", J17) - 1), J17)</f>
        <v>Larnaca</v>
      </c>
      <c r="AA17" s="20" t="str">
        <f>VLOOKUP(Table47[[#This Row],[ToSite-UPSName]],Table1[[Company or Name]:[NOTES]],2,FALSE)</f>
        <v>Cyprus</v>
      </c>
      <c r="AB17" s="20" t="str">
        <f>IFERROR(VLOOKUP(Table47[[#This Row],[ToSite-UPSName]], Table1[[#All],[Company or Name]:[Delivery Address]],20,FALSE),"")</f>
        <v>Adamantiou Korai street 12, Larnaca District Local Government Organization offices, Larnaca, 6010, Cyprus</v>
      </c>
      <c r="AC17" s="20" t="str">
        <f>TEXT(Table47[[#This Row],[Shipping Date (SD-14)]]+3,"YYYY-MM-DD")</f>
        <v>2025-06-06</v>
      </c>
      <c r="AD17" s="20" t="str">
        <f>_xlfn.XLOOKUP(Table47[[#This Row],[Type]],kits!C:C,kits!D:D,"",0)</f>
        <v>boxcontentlabel_template_outbound1.docx</v>
      </c>
    </row>
    <row r="18" spans="2:30" ht="14.1" customHeight="1" x14ac:dyDescent="0.25">
      <c r="B18" s="13">
        <v>71</v>
      </c>
      <c r="C18" s="14" t="s">
        <v>1271</v>
      </c>
      <c r="D18" s="13">
        <v>1</v>
      </c>
      <c r="E18" s="83">
        <v>45826</v>
      </c>
      <c r="F18" s="34">
        <f>_xlfn.LET(
    _xlpm.baseDate, Table47[[#This Row],[Confirmed Sampling Date]] - 14,
    _xlpm.weekdayNum, WEEKDAY(_xlpm.baseDate, 2),
    IF(_xlpm.weekdayNum = 6, _xlpm.baseDate + 2, IF(_xlpm.weekdayNum = 7, _xlpm.baseDate + 1, _xlpm.baseDate))
)</f>
        <v>45812</v>
      </c>
      <c r="G18" s="20">
        <f>IFERROR(WEEKNUM(Table47[[#This Row],[Shipping Date (SD-14)]]),"TBD")</f>
        <v>23</v>
      </c>
      <c r="H18" s="20" t="str">
        <f>IFERROR(TEXT(Table47[[#This Row],[Shipping Date (SD-14)]],"yyyy-mm"),"TBD")</f>
        <v>2025-06</v>
      </c>
      <c r="I18" s="13" t="s">
        <v>680</v>
      </c>
      <c r="J18" s="13" t="str">
        <f>IFERROR(VLOOKUP(Table47[[#This Row],[ToSite-UPSName]],Table1[[#All],[Company or Name]:[Delivery Address]],15,FALSE),"")</f>
        <v>Rome WWTP</v>
      </c>
      <c r="K18" s="20" t="str">
        <f>IFERROR(VLOOKUP(Table47[[#This Row],[ToSite-UPSName]],Table1[[#All],[Company or Name]:[Delivery Address]],16,FALSE),"")</f>
        <v>-</v>
      </c>
      <c r="L18" s="13" t="str">
        <f>IFERROR(VLOOKUP(Table47[[#This Row],[ToSite-UPSName]],Table1[[#All],[Company or Name]:[Delivery Address]],17,FALSE),"")</f>
        <v>-</v>
      </c>
      <c r="M18" s="20" t="str">
        <f>IFERROR(VLOOKUP(Table47[[#This Row],[ToSite-UPSName]],Table1[[#All],[Company or Name]:[Delivery Address]],18,FALSE),"")</f>
        <v>-</v>
      </c>
      <c r="N18" s="20" t="str">
        <f>IFERROR(VLOOKUP(Table47[[#This Row],[ToSite-UPSName]],Table1[[#All],[Company or Name]:[Delivery Address]],19,FALSE),"")</f>
        <v>-</v>
      </c>
      <c r="O18" s="13" t="s">
        <v>42</v>
      </c>
      <c r="P18" s="20" t="s">
        <v>692</v>
      </c>
      <c r="Q18" s="20" t="s">
        <v>639</v>
      </c>
      <c r="R18" s="20"/>
      <c r="S18" s="20" t="s">
        <v>134</v>
      </c>
      <c r="T18" s="20" t="s">
        <v>774</v>
      </c>
      <c r="U18" s="13" t="s">
        <v>125</v>
      </c>
      <c r="V18" s="13" t="s">
        <v>856</v>
      </c>
      <c r="X18" s="13"/>
      <c r="Y18" s="20" t="str">
        <f>TEXT(Table47[[#This Row],[Confirmed Sampling Date]], "yyyy") &amp; "_" &amp; TEXT(Table47[[#This Row],[Confirmed Sampling Date]], "mm") &amp; "_" &amp; TEXT(Table47[[#This Row],[Confirmed Sampling Date]], "dd")</f>
        <v>2025_06_18</v>
      </c>
      <c r="Z18" s="20" t="str">
        <f>IFERROR(LEFT(J18, FIND(" ", J18) - 1), J18)</f>
        <v>Rome</v>
      </c>
      <c r="AA18" s="20" t="str">
        <f>VLOOKUP(Table47[[#This Row],[ToSite-UPSName]],Table1[[Company or Name]:[NOTES]],2,FALSE)</f>
        <v>Italy</v>
      </c>
      <c r="AB18" s="20" t="str">
        <f>IFERROR(VLOOKUP(Table47[[#This Row],[ToSite-UPSName]], Table1[[#All],[Company or Name]:[Delivery Address]],20,FALSE),"")</f>
        <v>Via dell'Equitazione 10, Rome, 00144, Italy</v>
      </c>
      <c r="AC18" s="20" t="str">
        <f>TEXT(Table47[[#This Row],[Shipping Date (SD-14)]]+3,"YYYY-MM-DD")</f>
        <v>2025-06-07</v>
      </c>
      <c r="AD18" s="20" t="str">
        <f>_xlfn.XLOOKUP(Table47[[#This Row],[Type]],kits!C:C,kits!D:D,"",0)</f>
        <v>boxcontentlabel_template_outbound1.docx</v>
      </c>
    </row>
    <row r="19" spans="2:30" ht="14.1" customHeight="1" x14ac:dyDescent="0.25">
      <c r="B19" s="13">
        <v>85</v>
      </c>
      <c r="C19" s="14" t="s">
        <v>1271</v>
      </c>
      <c r="D19" s="13">
        <v>1</v>
      </c>
      <c r="E19" s="34">
        <v>45826</v>
      </c>
      <c r="F19" s="34">
        <f>_xlfn.LET(
    _xlpm.baseDate, Table47[[#This Row],[Confirmed Sampling Date]] - 14,
    _xlpm.weekdayNum, WEEKDAY(_xlpm.baseDate, 2),
    IF(_xlpm.weekdayNum = 6, _xlpm.baseDate + 2, IF(_xlpm.weekdayNum = 7, _xlpm.baseDate + 1, _xlpm.baseDate))
)</f>
        <v>45812</v>
      </c>
      <c r="G19" s="20">
        <f>IFERROR(WEEKNUM(Table47[[#This Row],[Shipping Date (SD-14)]]),"TBD")</f>
        <v>23</v>
      </c>
      <c r="H19" s="20" t="str">
        <f>IFERROR(TEXT(Table47[[#This Row],[Shipping Date (SD-14)]],"yyyy-mm"),"TBD")</f>
        <v>2025-06</v>
      </c>
      <c r="I19" s="13" t="s">
        <v>771</v>
      </c>
      <c r="J19" s="20" t="str">
        <f>IFERROR(VLOOKUP(Table47[[#This Row],[ToSite-UPSName]],Table1[[#All],[Company or Name]:[Delivery Address]],15,FALSE),"")</f>
        <v>RomeAirport</v>
      </c>
      <c r="K19" s="20" t="str">
        <f>IFERROR(VLOOKUP(Table47[[#This Row],[ToSite-UPSName]],Table1[[#All],[Company or Name]:[Delivery Address]],16,FALSE),"")</f>
        <v>-</v>
      </c>
      <c r="L19" s="13" t="str">
        <f>IFERROR(VLOOKUP(Table47[[#This Row],[ToSite-UPSName]],Table1[[#All],[Company or Name]:[Delivery Address]],17,FALSE),"")</f>
        <v>-</v>
      </c>
      <c r="M19" s="20" t="str">
        <f>IFERROR(VLOOKUP(Table47[[#This Row],[ToSite-UPSName]],Table1[[#All],[Company or Name]:[Delivery Address]],18,FALSE),"")</f>
        <v>-</v>
      </c>
      <c r="N19" s="20" t="str">
        <f>IFERROR(VLOOKUP(Table47[[#This Row],[ToSite-UPSName]],Table1[[#All],[Company or Name]:[Delivery Address]],19,FALSE),"")</f>
        <v>-</v>
      </c>
      <c r="O19" s="13" t="s">
        <v>42</v>
      </c>
      <c r="P19" s="20" t="s">
        <v>692</v>
      </c>
      <c r="Q19" s="20" t="s">
        <v>639</v>
      </c>
      <c r="R19" s="20"/>
      <c r="S19" s="20" t="s">
        <v>134</v>
      </c>
      <c r="T19" s="20" t="s">
        <v>772</v>
      </c>
      <c r="U19" s="13" t="s">
        <v>125</v>
      </c>
      <c r="V19" s="13" t="s">
        <v>856</v>
      </c>
      <c r="X19" s="13"/>
      <c r="Y19" s="20" t="str">
        <f>TEXT(Table47[[#This Row],[Confirmed Sampling Date]], "yyyy") &amp; "_" &amp; TEXT(Table47[[#This Row],[Confirmed Sampling Date]], "mm") &amp; "_" &amp; TEXT(Table47[[#This Row],[Confirmed Sampling Date]], "dd")</f>
        <v>2025_06_18</v>
      </c>
      <c r="Z19" s="20" t="str">
        <f>IFERROR(LEFT(J19, FIND(" ", J19) - 1), J19)</f>
        <v>RomeAirport</v>
      </c>
      <c r="AA19" s="20" t="str">
        <f>VLOOKUP(Table47[[#This Row],[ToSite-UPSName]],Table1[[Company or Name]:[NOTES]],2,FALSE)</f>
        <v>Italy</v>
      </c>
      <c r="AB19" s="20" t="str">
        <f>IFERROR(VLOOKUP(Table47[[#This Row],[ToSite-UPSName]], Table1[[#All],[Company or Name]:[Delivery Address]],20,FALSE),"")</f>
        <v>VIA FRATELLI WRIGHT (DEPURATORE BIOLOGICO), FIUMICINO, 00054, Italy</v>
      </c>
      <c r="AC19" s="20" t="str">
        <f>TEXT(Table47[[#This Row],[Shipping Date (SD-14)]]+3,"YYYY-MM-DD")</f>
        <v>2025-06-07</v>
      </c>
      <c r="AD19" s="20" t="str">
        <f>_xlfn.XLOOKUP(Table47[[#This Row],[Type]],kits!C:C,kits!D:D,"",0)</f>
        <v>boxcontentlabel_template_outbound1.docx</v>
      </c>
    </row>
    <row r="20" spans="2:30" ht="14.1" customHeight="1" x14ac:dyDescent="0.25">
      <c r="B20" s="13">
        <v>63</v>
      </c>
      <c r="C20" s="14" t="s">
        <v>1271</v>
      </c>
      <c r="D20" s="13">
        <v>2</v>
      </c>
      <c r="E20" s="25">
        <v>45827</v>
      </c>
      <c r="F20" s="34">
        <f>_xlfn.LET(
    _xlpm.baseDate, Table47[[#This Row],[Confirmed Sampling Date]] - 14,
    _xlpm.weekdayNum, WEEKDAY(_xlpm.baseDate, 2),
    IF(_xlpm.weekdayNum = 6, _xlpm.baseDate + 2, IF(_xlpm.weekdayNum = 7, _xlpm.baseDate + 1, _xlpm.baseDate))
)</f>
        <v>45813</v>
      </c>
      <c r="G20" s="20">
        <f>IFERROR(WEEKNUM(Table47[[#This Row],[Shipping Date (SD-14)]]),"TBD")</f>
        <v>23</v>
      </c>
      <c r="H20" s="20" t="str">
        <f>IFERROR(TEXT(Table47[[#This Row],[Shipping Date (SD-14)]],"yyyy-mm"),"TBD")</f>
        <v>2025-06</v>
      </c>
      <c r="I20" s="13" t="s">
        <v>637</v>
      </c>
      <c r="J20" s="13" t="str">
        <f>IFERROR(VLOOKUP(Table47[[#This Row],[ToSite-UPSName]],Table1[[#All],[Company or Name]:[Delivery Address]],15,FALSE),"")</f>
        <v>Luxembourg (Beggen) WWTP</v>
      </c>
      <c r="K20" s="20" t="str">
        <f>IFERROR(VLOOKUP(Table47[[#This Row],[ToSite-UPSName]],Table1[[#All],[Company or Name]:[Delivery Address]],16,FALSE),"")</f>
        <v>Luxembourg Airport</v>
      </c>
      <c r="L20" s="13" t="str">
        <f>IFERROR(VLOOKUP(Table47[[#This Row],[ToSite-UPSName]],Table1[[#All],[Company or Name]:[Delivery Address]],17,FALSE),"")</f>
        <v>-</v>
      </c>
      <c r="M20" s="13" t="str">
        <f>IFERROR(VLOOKUP(Table47[[#This Row],[ToSite-UPSName]],Table1[[#All],[Company or Name]:[Delivery Address]],18,FALSE),"")</f>
        <v>-</v>
      </c>
      <c r="N20" s="13" t="str">
        <f>IFERROR(VLOOKUP(Table47[[#This Row],[ToSite-UPSName]],Table1[[#All],[Company or Name]:[Delivery Address]],19,FALSE),"")</f>
        <v>-</v>
      </c>
      <c r="O20" s="13" t="s">
        <v>42</v>
      </c>
      <c r="P20" s="20" t="s">
        <v>692</v>
      </c>
      <c r="Q20" s="20" t="s">
        <v>639</v>
      </c>
      <c r="R20" s="37" t="s">
        <v>767</v>
      </c>
      <c r="S20" s="20" t="s">
        <v>134</v>
      </c>
      <c r="T20" s="20" t="s">
        <v>847</v>
      </c>
      <c r="U20" s="13" t="s">
        <v>125</v>
      </c>
      <c r="V20" s="13" t="s">
        <v>856</v>
      </c>
      <c r="X20" s="20"/>
      <c r="Y20" s="20" t="str">
        <f>TEXT(Table47[[#This Row],[Confirmed Sampling Date]], "yyyy") &amp; "_" &amp; TEXT(Table47[[#This Row],[Confirmed Sampling Date]], "mm") &amp; "_" &amp; TEXT(Table47[[#This Row],[Confirmed Sampling Date]], "dd")</f>
        <v>2025_06_19</v>
      </c>
      <c r="Z20" s="20" t="str">
        <f>IFERROR(LEFT(J20, FIND(" ", J20) - 1), J20)</f>
        <v>Luxembourg</v>
      </c>
      <c r="AA20" s="20" t="str">
        <f>VLOOKUP(Table47[[#This Row],[ToSite-UPSName]],Table1[[Company or Name]:[NOTES]],2,FALSE)</f>
        <v>Luxembourg</v>
      </c>
      <c r="AB20" s="20" t="str">
        <f>IFERROR(VLOOKUP(Table47[[#This Row],[ToSite-UPSName]], Table1[[#All],[Company or Name]:[Delivery Address]],20,FALSE),"")</f>
        <v>41 rue du Brill, Luxembourg, L-4422 , Luxembourg</v>
      </c>
      <c r="AC20" s="20" t="str">
        <f>TEXT(Table47[[#This Row],[Shipping Date (SD-14)]]+3,"YYYY-MM-DD")</f>
        <v>2025-06-08</v>
      </c>
      <c r="AD20" s="20" t="str">
        <f>_xlfn.XLOOKUP(Table47[[#This Row],[Type]],kits!C:C,kits!D:D,"",0)</f>
        <v>boxcontentlabel_template_outbound1.docx</v>
      </c>
    </row>
    <row r="21" spans="2:30" ht="14.1" customHeight="1" x14ac:dyDescent="0.25">
      <c r="B21" s="13">
        <v>57</v>
      </c>
      <c r="C21" s="14" t="s">
        <v>1271</v>
      </c>
      <c r="D21" s="13">
        <v>1</v>
      </c>
      <c r="E21" s="130">
        <v>45836</v>
      </c>
      <c r="F21" s="34">
        <f>_xlfn.LET(
    _xlpm.baseDate, Table47[[#This Row],[Confirmed Sampling Date]] - 14,
    _xlpm.weekdayNum, WEEKDAY(_xlpm.baseDate, 2),
    IF(_xlpm.weekdayNum = 6, _xlpm.baseDate + 2, IF(_xlpm.weekdayNum = 7, _xlpm.baseDate + 1, _xlpm.baseDate))
)</f>
        <v>45824</v>
      </c>
      <c r="G21" s="13">
        <f>IFERROR(WEEKNUM(Table47[[#This Row],[Shipping Date (SD-14)]]),"TBD")</f>
        <v>25</v>
      </c>
      <c r="H21" s="13" t="str">
        <f>IFERROR(TEXT(Table47[[#This Row],[Shipping Date (SD-14)]],"yyyy-mm"),"TBD")</f>
        <v>2025-06</v>
      </c>
      <c r="I21" s="13" t="s">
        <v>33</v>
      </c>
      <c r="J21" s="13" t="str">
        <f>IFERROR(VLOOKUP(Table47[[#This Row],[ToSite-UPSName]],Table1[[#All],[Company or Name]:[Delivery Address]],15,FALSE),"")</f>
        <v>Osaka Expo</v>
      </c>
      <c r="K21" s="13" t="str">
        <f>IFERROR(VLOOKUP(Table47[[#This Row],[ToSite-UPSName]],Table1[[#All],[Company or Name]:[Delivery Address]],16,FALSE),"")</f>
        <v>-</v>
      </c>
      <c r="L21" s="13" t="str">
        <f>IFERROR(VLOOKUP(Table47[[#This Row],[ToSite-UPSName]],Table1[[#All],[Company or Name]:[Delivery Address]],17,FALSE),"")</f>
        <v>-</v>
      </c>
      <c r="M21" s="13" t="str">
        <f>IFERROR(VLOOKUP(Table47[[#This Row],[ToSite-UPSName]],Table1[[#All],[Company or Name]:[Delivery Address]],18,FALSE),"")</f>
        <v>-</v>
      </c>
      <c r="N21" s="13" t="str">
        <f>IFERROR(VLOOKUP(Table47[[#This Row],[ToSite-UPSName]],Table1[[#All],[Company or Name]:[Delivery Address]],19,FALSE),"")</f>
        <v>-</v>
      </c>
      <c r="O21" s="13" t="s">
        <v>42</v>
      </c>
      <c r="P21" s="13" t="s">
        <v>692</v>
      </c>
      <c r="Q21" s="13" t="s">
        <v>833</v>
      </c>
      <c r="R21" s="13"/>
      <c r="S21" s="13" t="s">
        <v>134</v>
      </c>
      <c r="T21" s="13" t="s">
        <v>819</v>
      </c>
      <c r="U21" s="13" t="s">
        <v>125</v>
      </c>
      <c r="V21" s="13" t="s">
        <v>856</v>
      </c>
      <c r="X21" s="13"/>
      <c r="Y21" s="20" t="str">
        <f>TEXT(Table47[[#This Row],[Confirmed Sampling Date]], "yyyy") &amp; "_" &amp; TEXT(Table47[[#This Row],[Confirmed Sampling Date]], "mm") &amp; "_" &amp; TEXT(Table47[[#This Row],[Confirmed Sampling Date]], "dd")</f>
        <v>2025_06_28</v>
      </c>
      <c r="Z21" s="20" t="str">
        <f>IFERROR(LEFT(J21, FIND(" ", J21) - 1), J21)</f>
        <v>Osaka</v>
      </c>
      <c r="AA21" s="20" t="str">
        <f>VLOOKUP(Table47[[#This Row],[ToSite-UPSName]],Table1[[Company or Name]:[NOTES]],2,FALSE)</f>
        <v>Japan</v>
      </c>
      <c r="AB21" s="20" t="str">
        <f>IFERROR(VLOOKUP(Table47[[#This Row],[ToSite-UPSName]], Table1[[#All],[Company or Name]:[Delivery Address]],20,FALSE),"")</f>
        <v>1-3-3 Nakamichi, Higashinari-ku, Osaka, 537-0025, Japan</v>
      </c>
      <c r="AC21" s="20" t="str">
        <f>TEXT(Table47[[#This Row],[Shipping Date (SD-14)]]+3,"YYYY-MM-DD")</f>
        <v>2025-06-19</v>
      </c>
      <c r="AD21" s="20" t="str">
        <f>_xlfn.XLOOKUP(Table47[[#This Row],[Type]],kits!C:C,kits!D:D,"",0)</f>
        <v>boxcontentlabel_template_outbound1.docx</v>
      </c>
    </row>
    <row r="22" spans="2:30" ht="14.1" customHeight="1" x14ac:dyDescent="0.25">
      <c r="B22" s="13">
        <v>3</v>
      </c>
      <c r="C22" s="14" t="s">
        <v>1271</v>
      </c>
      <c r="D22" s="13">
        <v>2</v>
      </c>
      <c r="E22" s="34">
        <v>45837</v>
      </c>
      <c r="F22" s="34">
        <f>_xlfn.LET(
    _xlpm.baseDate, Table47[[#This Row],[Confirmed Sampling Date]] - 14,
    _xlpm.weekdayNum, WEEKDAY(_xlpm.baseDate, 2),
    IF(_xlpm.weekdayNum = 6, _xlpm.baseDate + 2, IF(_xlpm.weekdayNum = 7, _xlpm.baseDate + 1, _xlpm.baseDate))
)</f>
        <v>45824</v>
      </c>
      <c r="G22" s="13">
        <f>IFERROR(WEEKNUM(Table47[[#This Row],[Shipping Date (SD-14)]]),"TBD")</f>
        <v>25</v>
      </c>
      <c r="H22" s="13" t="str">
        <f>IFERROR(TEXT(Table47[[#This Row],[Shipping Date (SD-14)]],"yyyy-mm"),"TBD")</f>
        <v>2025-06</v>
      </c>
      <c r="I22" s="13" t="s">
        <v>13</v>
      </c>
      <c r="J22" s="13" t="str">
        <f>IFERROR(VLOOKUP(Table47[[#This Row],[ToSite-UPSName]],Table1[[#All],[Company or Name]:[Delivery Address]],15,FALSE),"")</f>
        <v>Berlin (Schoenefeld) WWTP</v>
      </c>
      <c r="K22" s="13" t="str">
        <f>IFERROR(VLOOKUP(Table47[[#This Row],[ToSite-UPSName]],Table1[[#All],[Company or Name]:[Delivery Address]],16,FALSE),"")</f>
        <v>Berlin Airport</v>
      </c>
      <c r="L22" s="13" t="str">
        <f>IFERROR(VLOOKUP(Table47[[#This Row],[ToSite-UPSName]],Table1[[#All],[Company or Name]:[Delivery Address]],17,FALSE),"")</f>
        <v>-</v>
      </c>
      <c r="M22" s="13" t="str">
        <f>IFERROR(VLOOKUP(Table47[[#This Row],[ToSite-UPSName]],Table1[[#All],[Company or Name]:[Delivery Address]],18,FALSE),"")</f>
        <v>-</v>
      </c>
      <c r="N22" s="13" t="str">
        <f>IFERROR(VLOOKUP(Table47[[#This Row],[ToSite-UPSName]],Table1[[#All],[Company or Name]:[Delivery Address]],19,FALSE),"")</f>
        <v>-</v>
      </c>
      <c r="O22" s="13" t="s">
        <v>42</v>
      </c>
      <c r="P22" s="13" t="s">
        <v>692</v>
      </c>
      <c r="Q22" s="13" t="s">
        <v>833</v>
      </c>
      <c r="R22" s="13"/>
      <c r="S22" s="13" t="s">
        <v>134</v>
      </c>
      <c r="T22" s="13" t="s">
        <v>848</v>
      </c>
      <c r="U22" s="13" t="s">
        <v>125</v>
      </c>
      <c r="V22" s="13" t="s">
        <v>856</v>
      </c>
      <c r="X22" s="13"/>
      <c r="Y22" s="20" t="str">
        <f>TEXT(Table47[[#This Row],[Confirmed Sampling Date]], "yyyy") &amp; "_" &amp; TEXT(Table47[[#This Row],[Confirmed Sampling Date]], "mm") &amp; "_" &amp; TEXT(Table47[[#This Row],[Confirmed Sampling Date]], "dd")</f>
        <v>2025_06_29</v>
      </c>
      <c r="Z22" s="20" t="str">
        <f>IFERROR(LEFT(J22, FIND(" ", J22) - 1), J22)</f>
        <v>Berlin</v>
      </c>
      <c r="AA22" s="20" t="str">
        <f>VLOOKUP(Table47[[#This Row],[ToSite-UPSName]],Table1[[Company or Name]:[NOTES]],2,FALSE)</f>
        <v>Germany</v>
      </c>
      <c r="AB22" s="20" t="str">
        <f>IFERROR(VLOOKUP(Table47[[#This Row],[ToSite-UPSName]], Table1[[#All],[Company or Name]:[Delivery Address]],20,FALSE),"")</f>
        <v>Strasse am Klarwerk 4, Klarwerk Wassmannsdorf, Schoenefeld, 12529, Germany</v>
      </c>
      <c r="AC22" s="20" t="str">
        <f>TEXT(Table47[[#This Row],[Shipping Date (SD-14)]]+3,"YYYY-MM-DD")</f>
        <v>2025-06-19</v>
      </c>
      <c r="AD22" s="20" t="str">
        <f>_xlfn.XLOOKUP(Table47[[#This Row],[Type]],kits!C:C,kits!D:D,"",0)</f>
        <v>boxcontentlabel_template_outbound1.docx</v>
      </c>
    </row>
    <row r="23" spans="2:30" ht="14.1" customHeight="1" x14ac:dyDescent="0.25">
      <c r="B23" s="13">
        <v>44</v>
      </c>
      <c r="C23" s="14" t="s">
        <v>1271</v>
      </c>
      <c r="D23" s="13">
        <v>2</v>
      </c>
      <c r="E23" s="34">
        <v>45838</v>
      </c>
      <c r="F23" s="34">
        <f>_xlfn.LET(
    _xlpm.baseDate, Table47[[#This Row],[Confirmed Sampling Date]] - 14,
    _xlpm.weekdayNum, WEEKDAY(_xlpm.baseDate, 2),
    IF(_xlpm.weekdayNum = 6, _xlpm.baseDate + 2, IF(_xlpm.weekdayNum = 7, _xlpm.baseDate + 1, _xlpm.baseDate))
)</f>
        <v>45824</v>
      </c>
      <c r="G23" s="13">
        <f>IFERROR(WEEKNUM(Table47[[#This Row],[Shipping Date (SD-14)]]),"TBD")</f>
        <v>25</v>
      </c>
      <c r="H23" s="13" t="str">
        <f>IFERROR(TEXT(Table47[[#This Row],[Shipping Date (SD-14)]],"yyyy-mm"),"TBD")</f>
        <v>2025-06</v>
      </c>
      <c r="I23" s="13" t="s">
        <v>364</v>
      </c>
      <c r="J23" s="13" t="str">
        <f>IFERROR(VLOOKUP(Table47[[#This Row],[ToSite-UPSName]],Table1[[#All],[Company or Name]:[Delivery Address]],15,FALSE),"")</f>
        <v>Brussels WWTP</v>
      </c>
      <c r="K23" s="13" t="str">
        <f>IFERROR(VLOOKUP(Table47[[#This Row],[ToSite-UPSName]],Table1[[#All],[Company or Name]:[Delivery Address]],16,FALSE),"")</f>
        <v>Brussels Airport</v>
      </c>
      <c r="L23" s="13" t="str">
        <f>IFERROR(VLOOKUP(Table47[[#This Row],[ToSite-UPSName]],Table1[[#All],[Company or Name]:[Delivery Address]],17,FALSE),"")</f>
        <v>-</v>
      </c>
      <c r="M23" s="13" t="str">
        <f>IFERROR(VLOOKUP(Table47[[#This Row],[ToSite-UPSName]],Table1[[#All],[Company or Name]:[Delivery Address]],18,FALSE),"")</f>
        <v>-</v>
      </c>
      <c r="N23" s="13" t="str">
        <f>IFERROR(VLOOKUP(Table47[[#This Row],[ToSite-UPSName]],Table1[[#All],[Company or Name]:[Delivery Address]],19,FALSE),"")</f>
        <v>-</v>
      </c>
      <c r="O23" s="13" t="s">
        <v>42</v>
      </c>
      <c r="P23" s="20" t="s">
        <v>692</v>
      </c>
      <c r="Q23" s="13" t="s">
        <v>833</v>
      </c>
      <c r="R23" s="13"/>
      <c r="S23" s="13" t="s">
        <v>813</v>
      </c>
      <c r="T23" s="13" t="s">
        <v>849</v>
      </c>
      <c r="U23" s="13" t="s">
        <v>125</v>
      </c>
      <c r="V23" s="13" t="s">
        <v>856</v>
      </c>
      <c r="X23" s="13"/>
      <c r="Y23" s="20" t="str">
        <f>TEXT(Table47[[#This Row],[Confirmed Sampling Date]], "yyyy") &amp; "_" &amp; TEXT(Table47[[#This Row],[Confirmed Sampling Date]], "mm") &amp; "_" &amp; TEXT(Table47[[#This Row],[Confirmed Sampling Date]], "dd")</f>
        <v>2025_06_30</v>
      </c>
      <c r="Z23" s="20" t="str">
        <f>IFERROR(LEFT(J23, FIND(" ", J23) - 1), J23)</f>
        <v>Brussels</v>
      </c>
      <c r="AA23" s="20" t="str">
        <f>VLOOKUP(Table47[[#This Row],[ToSite-UPSName]],Table1[[Company or Name]:[NOTES]],2,FALSE)</f>
        <v>Belgium</v>
      </c>
      <c r="AB23" s="20" t="str">
        <f>IFERROR(VLOOKUP(Table47[[#This Row],[ToSite-UPSName]], Table1[[#All],[Company or Name]:[Delivery Address]],20,FALSE),"")</f>
        <v>Rue Juliette Wytsmanstraat 14, Brussels, 1050, Belgium</v>
      </c>
      <c r="AC23" s="20" t="str">
        <f>TEXT(Table47[[#This Row],[Shipping Date (SD-14)]]+3,"YYYY-MM-DD")</f>
        <v>2025-06-19</v>
      </c>
      <c r="AD23" s="20" t="str">
        <f>_xlfn.XLOOKUP(Table47[[#This Row],[Type]],kits!C:C,kits!D:D,"",0)</f>
        <v>boxcontentlabel_template_outbound1.docx</v>
      </c>
    </row>
    <row r="24" spans="2:30" ht="14.1" customHeight="1" x14ac:dyDescent="0.25">
      <c r="B24" s="13">
        <v>17</v>
      </c>
      <c r="C24" s="14" t="s">
        <v>1271</v>
      </c>
      <c r="D24" s="13">
        <v>2</v>
      </c>
      <c r="E24" s="83">
        <v>45839</v>
      </c>
      <c r="F24" s="34">
        <f>_xlfn.LET(
    _xlpm.baseDate, Table47[[#This Row],[Confirmed Sampling Date]] - 14,
    _xlpm.weekdayNum, WEEKDAY(_xlpm.baseDate, 2),
    IF(_xlpm.weekdayNum = 6, _xlpm.baseDate + 2, IF(_xlpm.weekdayNum = 7, _xlpm.baseDate + 1, _xlpm.baseDate))
)</f>
        <v>45825</v>
      </c>
      <c r="G24" s="13">
        <f>IFERROR(WEEKNUM(Table47[[#This Row],[Shipping Date (SD-14)]]),"TBD")</f>
        <v>25</v>
      </c>
      <c r="H24" s="13" t="str">
        <f>IFERROR(TEXT(Table47[[#This Row],[Shipping Date (SD-14)]],"yyyy-mm"),"TBD")</f>
        <v>2025-06</v>
      </c>
      <c r="I24" s="13" t="s">
        <v>19</v>
      </c>
      <c r="J24" s="13" t="str">
        <f>IFERROR(VLOOKUP(Table47[[#This Row],[ToSite-UPSName]],Table1[[#All],[Company or Name]:[Delivery Address]],15,FALSE),"")</f>
        <v>Munich WWTP</v>
      </c>
      <c r="K24" s="13" t="str">
        <f>IFERROR(VLOOKUP(Table47[[#This Row],[ToSite-UPSName]],Table1[[#All],[Company or Name]:[Delivery Address]],16,FALSE),"")</f>
        <v>Munich Airport</v>
      </c>
      <c r="L24" s="13" t="str">
        <f>IFERROR(VLOOKUP(Table47[[#This Row],[ToSite-UPSName]],Table1[[#All],[Company or Name]:[Delivery Address]],17,FALSE),"")</f>
        <v>-</v>
      </c>
      <c r="M24" s="13" t="str">
        <f>IFERROR(VLOOKUP(Table47[[#This Row],[ToSite-UPSName]],Table1[[#All],[Company or Name]:[Delivery Address]],18,FALSE),"")</f>
        <v>-</v>
      </c>
      <c r="N24" s="13" t="str">
        <f>IFERROR(VLOOKUP(Table47[[#This Row],[ToSite-UPSName]],Table1[[#All],[Company or Name]:[Delivery Address]],19,FALSE),"")</f>
        <v>-</v>
      </c>
      <c r="O24" s="13" t="s">
        <v>42</v>
      </c>
      <c r="P24" s="20" t="s">
        <v>692</v>
      </c>
      <c r="Q24" s="13" t="s">
        <v>833</v>
      </c>
      <c r="R24" s="13"/>
      <c r="S24" s="64" t="s">
        <v>813</v>
      </c>
      <c r="T24" s="64" t="s">
        <v>850</v>
      </c>
      <c r="U24" s="13" t="s">
        <v>125</v>
      </c>
      <c r="V24" s="13" t="s">
        <v>856</v>
      </c>
      <c r="X24" s="13"/>
      <c r="Y24" s="20" t="str">
        <f>TEXT(Table47[[#This Row],[Confirmed Sampling Date]], "yyyy") &amp; "_" &amp; TEXT(Table47[[#This Row],[Confirmed Sampling Date]], "mm") &amp; "_" &amp; TEXT(Table47[[#This Row],[Confirmed Sampling Date]], "dd")</f>
        <v>2025_07_01</v>
      </c>
      <c r="Z24" s="20" t="str">
        <f>IFERROR(LEFT(J24, FIND(" ", J24) - 1), J24)</f>
        <v>Munich</v>
      </c>
      <c r="AA24" s="20" t="str">
        <f>VLOOKUP(Table47[[#This Row],[ToSite-UPSName]],Table1[[Company or Name]:[NOTES]],2,FALSE)</f>
        <v>Germany</v>
      </c>
      <c r="AB24" s="20" t="str">
        <f>IFERROR(VLOOKUP(Table47[[#This Row],[ToSite-UPSName]], Table1[[#All],[Company or Name]:[Delivery Address]],20,FALSE),"")</f>
        <v>Leopoldstrasse 5, Institut fuer Infektions- und Tropenmedizin, Munich, 80802, Germany</v>
      </c>
      <c r="AC24" s="20" t="str">
        <f>TEXT(Table47[[#This Row],[Shipping Date (SD-14)]]+3,"YYYY-MM-DD")</f>
        <v>2025-06-20</v>
      </c>
      <c r="AD24" s="20" t="str">
        <f>_xlfn.XLOOKUP(Table47[[#This Row],[Type]],kits!C:C,kits!D:D,"",0)</f>
        <v>boxcontentlabel_template_outbound1.docx</v>
      </c>
    </row>
    <row r="25" spans="2:30" ht="14.1" customHeight="1" x14ac:dyDescent="0.25">
      <c r="B25" s="13">
        <v>31</v>
      </c>
      <c r="C25" s="14" t="s">
        <v>1271</v>
      </c>
      <c r="D25" s="13">
        <v>1</v>
      </c>
      <c r="E25" s="83">
        <v>45839</v>
      </c>
      <c r="F25" s="34">
        <f>_xlfn.LET(
    _xlpm.baseDate, Table47[[#This Row],[Confirmed Sampling Date]] - 14,
    _xlpm.weekdayNum, WEEKDAY(_xlpm.baseDate, 2),
    IF(_xlpm.weekdayNum = 6, _xlpm.baseDate + 2, IF(_xlpm.weekdayNum = 7, _xlpm.baseDate + 1, _xlpm.baseDate))
)</f>
        <v>45825</v>
      </c>
      <c r="G25" s="13">
        <f>IFERROR(WEEKNUM(Table47[[#This Row],[Shipping Date (SD-14)]]),"TBD")</f>
        <v>25</v>
      </c>
      <c r="H25" s="13" t="str">
        <f>IFERROR(TEXT(Table47[[#This Row],[Shipping Date (SD-14)]],"yyyy-mm"),"TBD")</f>
        <v>2025-06</v>
      </c>
      <c r="I25" s="13" t="s">
        <v>677</v>
      </c>
      <c r="J25" s="13" t="str">
        <f>IFERROR(VLOOKUP(Table47[[#This Row],[ToSite-UPSName]],Table1[[#All],[Company or Name]:[Delivery Address]],15,FALSE),"")</f>
        <v>Frankfurt WWTP</v>
      </c>
      <c r="K25" s="13" t="str">
        <f>IFERROR(VLOOKUP(Table47[[#This Row],[ToSite-UPSName]],Table1[[#All],[Company or Name]:[Delivery Address]],16,FALSE),"")</f>
        <v>Frankfurt Airport</v>
      </c>
      <c r="L25" s="13" t="str">
        <f>IFERROR(VLOOKUP(Table47[[#This Row],[ToSite-UPSName]],Table1[[#All],[Company or Name]:[Delivery Address]],17,FALSE),"")</f>
        <v>-</v>
      </c>
      <c r="M25" s="13" t="str">
        <f>IFERROR(VLOOKUP(Table47[[#This Row],[ToSite-UPSName]],Table1[[#All],[Company or Name]:[Delivery Address]],18,FALSE),"")</f>
        <v>-</v>
      </c>
      <c r="N25" s="13" t="str">
        <f>IFERROR(VLOOKUP(Table47[[#This Row],[ToSite-UPSName]],Table1[[#All],[Company or Name]:[Delivery Address]],19,FALSE),"")</f>
        <v>-</v>
      </c>
      <c r="O25" s="13" t="s">
        <v>42</v>
      </c>
      <c r="P25" s="13" t="s">
        <v>692</v>
      </c>
      <c r="Q25" s="13" t="s">
        <v>833</v>
      </c>
      <c r="R25" s="13"/>
      <c r="S25" s="13" t="s">
        <v>813</v>
      </c>
      <c r="T25" s="13" t="s">
        <v>857</v>
      </c>
      <c r="U25" s="13" t="s">
        <v>125</v>
      </c>
      <c r="V25" s="13" t="s">
        <v>856</v>
      </c>
      <c r="X25" s="13"/>
      <c r="Y25" s="20" t="str">
        <f>TEXT(Table47[[#This Row],[Confirmed Sampling Date]], "yyyy") &amp; "_" &amp; TEXT(Table47[[#This Row],[Confirmed Sampling Date]], "mm") &amp; "_" &amp; TEXT(Table47[[#This Row],[Confirmed Sampling Date]], "dd")</f>
        <v>2025_07_01</v>
      </c>
      <c r="Z25" s="20" t="str">
        <f>IFERROR(LEFT(J25, FIND(" ", J25) - 1), J25)</f>
        <v>Frankfurt</v>
      </c>
      <c r="AA25" s="20" t="str">
        <f>VLOOKUP(Table47[[#This Row],[ToSite-UPSName]],Table1[[Company or Name]:[NOTES]],2,FALSE)</f>
        <v>Germany</v>
      </c>
      <c r="AB25" s="20" t="str">
        <f>IFERROR(VLOOKUP(Table47[[#This Row],[ToSite-UPSName]], Table1[[#All],[Company or Name]:[Delivery Address]],20,FALSE),"")</f>
        <v>Goldsteinstraße 160, Gebäude 71 , Frankfurt am Main , 60528, Germany</v>
      </c>
      <c r="AC25" s="20" t="str">
        <f>TEXT(Table47[[#This Row],[Shipping Date (SD-14)]]+3,"YYYY-MM-DD")</f>
        <v>2025-06-20</v>
      </c>
      <c r="AD25" s="20" t="str">
        <f>_xlfn.XLOOKUP(Table47[[#This Row],[Type]],kits!C:C,kits!D:D,"",0)</f>
        <v>boxcontentlabel_template_outbound1.docx</v>
      </c>
    </row>
    <row r="26" spans="2:30" ht="14.1" customHeight="1" x14ac:dyDescent="0.25">
      <c r="B26" s="13">
        <v>64</v>
      </c>
      <c r="C26" s="14" t="s">
        <v>1271</v>
      </c>
      <c r="D26" s="13">
        <v>1</v>
      </c>
      <c r="E26" s="25">
        <v>45839</v>
      </c>
      <c r="F26" s="34">
        <f>_xlfn.LET(
    _xlpm.baseDate, Table47[[#This Row],[Confirmed Sampling Date]] - 14,
    _xlpm.weekdayNum, WEEKDAY(_xlpm.baseDate, 2),
    IF(_xlpm.weekdayNum = 6, _xlpm.baseDate + 2, IF(_xlpm.weekdayNum = 7, _xlpm.baseDate + 1, _xlpm.baseDate))
)</f>
        <v>45825</v>
      </c>
      <c r="G26" s="20">
        <f>IFERROR(WEEKNUM(Table47[[#This Row],[Shipping Date (SD-14)]]),"TBD")</f>
        <v>25</v>
      </c>
      <c r="H26" s="20" t="str">
        <f>IFERROR(TEXT(Table47[[#This Row],[Shipping Date (SD-14)]],"yyyy-mm"),"TBD")</f>
        <v>2025-06</v>
      </c>
      <c r="I26" s="13" t="s">
        <v>637</v>
      </c>
      <c r="J26" s="13" t="str">
        <f>IFERROR(VLOOKUP(Table47[[#This Row],[ToSite-UPSName]],Table1[[#All],[Company or Name]:[Delivery Address]],15,FALSE),"")</f>
        <v>Luxembourg (Beggen) WWTP</v>
      </c>
      <c r="K26" s="20" t="str">
        <f>IFERROR(VLOOKUP(Table47[[#This Row],[ToSite-UPSName]],Table1[[#All],[Company or Name]:[Delivery Address]],16,FALSE),"")</f>
        <v>Luxembourg Airport</v>
      </c>
      <c r="L26" s="13" t="str">
        <f>IFERROR(VLOOKUP(Table47[[#This Row],[ToSite-UPSName]],Table1[[#All],[Company or Name]:[Delivery Address]],17,FALSE),"")</f>
        <v>-</v>
      </c>
      <c r="M26" s="13" t="str">
        <f>IFERROR(VLOOKUP(Table47[[#This Row],[ToSite-UPSName]],Table1[[#All],[Company or Name]:[Delivery Address]],18,FALSE),"")</f>
        <v>-</v>
      </c>
      <c r="N26" s="13" t="str">
        <f>IFERROR(VLOOKUP(Table47[[#This Row],[ToSite-UPSName]],Table1[[#All],[Company or Name]:[Delivery Address]],19,FALSE),"")</f>
        <v>-</v>
      </c>
      <c r="O26" s="13" t="s">
        <v>42</v>
      </c>
      <c r="P26" s="20" t="s">
        <v>692</v>
      </c>
      <c r="Q26" s="13" t="s">
        <v>833</v>
      </c>
      <c r="R26" s="20"/>
      <c r="S26" s="99" t="s">
        <v>134</v>
      </c>
      <c r="T26" s="99" t="s">
        <v>858</v>
      </c>
      <c r="U26" s="13" t="s">
        <v>125</v>
      </c>
      <c r="V26" s="13" t="s">
        <v>856</v>
      </c>
      <c r="X26" s="20"/>
      <c r="Y26" s="20" t="str">
        <f>TEXT(Table47[[#This Row],[Confirmed Sampling Date]], "yyyy") &amp; "_" &amp; TEXT(Table47[[#This Row],[Confirmed Sampling Date]], "mm") &amp; "_" &amp; TEXT(Table47[[#This Row],[Confirmed Sampling Date]], "dd")</f>
        <v>2025_07_01</v>
      </c>
      <c r="Z26" s="20" t="str">
        <f>IFERROR(LEFT(J26, FIND(" ", J26) - 1), J26)</f>
        <v>Luxembourg</v>
      </c>
      <c r="AA26" s="20" t="str">
        <f>VLOOKUP(Table47[[#This Row],[ToSite-UPSName]],Table1[[Company or Name]:[NOTES]],2,FALSE)</f>
        <v>Luxembourg</v>
      </c>
      <c r="AB26" s="20" t="str">
        <f>IFERROR(VLOOKUP(Table47[[#This Row],[ToSite-UPSName]], Table1[[#All],[Company or Name]:[Delivery Address]],20,FALSE),"")</f>
        <v>41 rue du Brill, Luxembourg, L-4422 , Luxembourg</v>
      </c>
      <c r="AC26" s="20" t="str">
        <f>TEXT(Table47[[#This Row],[Shipping Date (SD-14)]]+3,"YYYY-MM-DD")</f>
        <v>2025-06-20</v>
      </c>
      <c r="AD26" s="20" t="str">
        <f>_xlfn.XLOOKUP(Table47[[#This Row],[Type]],kits!C:C,kits!D:D,"",0)</f>
        <v>boxcontentlabel_template_outbound1.docx</v>
      </c>
    </row>
    <row r="27" spans="2:30" ht="14.1" customHeight="1" x14ac:dyDescent="0.25">
      <c r="B27" s="13">
        <v>99</v>
      </c>
      <c r="C27" s="14" t="s">
        <v>1271</v>
      </c>
      <c r="D27" s="13">
        <v>4</v>
      </c>
      <c r="E27" s="83">
        <v>45839</v>
      </c>
      <c r="F27" s="83">
        <f>_xlfn.LET(
    _xlpm.baseDate, Table47[[#This Row],[Confirmed Sampling Date]] - 14,
    _xlpm.weekdayNum, WEEKDAY(_xlpm.baseDate, 2),
    IF(_xlpm.weekdayNum = 6, _xlpm.baseDate + 2, IF(_xlpm.weekdayNum = 7, _xlpm.baseDate + 1, _xlpm.baseDate))
)</f>
        <v>45825</v>
      </c>
      <c r="G27" s="20">
        <f>IFERROR(WEEKNUM(Table47[[#This Row],[Shipping Date (SD-14)]]),"TBD")</f>
        <v>25</v>
      </c>
      <c r="H27" s="20" t="str">
        <f>IFERROR(TEXT(Table47[[#This Row],[Shipping Date (SD-14)]],"yyyy-mm"),"TBD")</f>
        <v>2025-06</v>
      </c>
      <c r="I27" s="13" t="s">
        <v>877</v>
      </c>
      <c r="J27" s="20" t="str">
        <f>IFERROR(VLOOKUP(Table47[[#This Row],[ToSite-UPSName]],Table1[[#All],[Company or Name]:[Delivery Address]],15,FALSE),"")</f>
        <v>Prague National Institute</v>
      </c>
      <c r="K27" s="20" t="str">
        <f>IFERROR(VLOOKUP(Table47[[#This Row],[ToSite-UPSName]],Table1[[#All],[Company or Name]:[Delivery Address]],16,FALSE),"")</f>
        <v>Prague WWTP FLOW 1</v>
      </c>
      <c r="L27" s="13" t="str">
        <f>IFERROR(VLOOKUP(Table47[[#This Row],[ToSite-UPSName]],Table1[[#All],[Company or Name]:[Delivery Address]],17,FALSE),"")</f>
        <v>Prague WWTP FLOW 2</v>
      </c>
      <c r="M27" s="20" t="str">
        <f>IFERROR(VLOOKUP(Table47[[#This Row],[ToSite-UPSName]],Table1[[#All],[Company or Name]:[Delivery Address]],18,FALSE),"")</f>
        <v>Prague Airport</v>
      </c>
      <c r="N27" s="20" t="str">
        <f>IFERROR(VLOOKUP(Table47[[#This Row],[ToSite-UPSName]],Table1[[#All],[Company or Name]:[Delivery Address]],19,FALSE),"")</f>
        <v>Prague Hospital</v>
      </c>
      <c r="O27" s="13" t="s">
        <v>42</v>
      </c>
      <c r="P27" s="13" t="s">
        <v>692</v>
      </c>
      <c r="Q27" s="13" t="s">
        <v>833</v>
      </c>
      <c r="R27" s="20"/>
      <c r="S27" s="13" t="s">
        <v>134</v>
      </c>
      <c r="T27" s="13" t="s">
        <v>851</v>
      </c>
      <c r="U27" s="13" t="s">
        <v>125</v>
      </c>
      <c r="V27" s="13" t="s">
        <v>856</v>
      </c>
      <c r="X27" s="13"/>
      <c r="Y27" s="20" t="str">
        <f>TEXT(Table47[[#This Row],[Confirmed Sampling Date]], "yyyy") &amp; "_" &amp; TEXT(Table47[[#This Row],[Confirmed Sampling Date]], "mm") &amp; "_" &amp; TEXT(Table47[[#This Row],[Confirmed Sampling Date]], "dd")</f>
        <v>2025_07_01</v>
      </c>
      <c r="Z27" s="20" t="str">
        <f>IFERROR(LEFT(J27, FIND(" ", J27) - 1), J27)</f>
        <v>Prague</v>
      </c>
      <c r="AA27" s="20" t="str">
        <f>VLOOKUP(Table47[[#This Row],[ToSite-UPSName]],Table1[[Company or Name]:[NOTES]],2,FALSE)</f>
        <v>Czech Republic</v>
      </c>
      <c r="AB27" s="20" t="str">
        <f>IFERROR(VLOOKUP(Table47[[#This Row],[ToSite-UPSName]], Table1[[#All],[Company or Name]:[Delivery Address]],20,FALSE),"")</f>
        <v>Šrobárova 49/48, Státní zdravotní ústav, Praha, 100 00, Czech Republic</v>
      </c>
      <c r="AC27" s="20" t="str">
        <f>TEXT(Table47[[#This Row],[Shipping Date (SD-14)]]+3,"YYYY-MM-DD")</f>
        <v>2025-06-20</v>
      </c>
      <c r="AD27" s="20" t="str">
        <f>_xlfn.XLOOKUP(Table47[[#This Row],[Type]],kits!C:C,kits!D:D,"",0)</f>
        <v>boxcontentlabel_template_outbound1.docx</v>
      </c>
    </row>
    <row r="28" spans="2:30" ht="14.1" customHeight="1" x14ac:dyDescent="0.25">
      <c r="B28" s="13">
        <v>112</v>
      </c>
      <c r="C28" s="14" t="s">
        <v>1271</v>
      </c>
      <c r="D28" s="13">
        <v>2</v>
      </c>
      <c r="E28" s="83">
        <v>45839</v>
      </c>
      <c r="F28" s="34">
        <f>_xlfn.LET(
    _xlpm.baseDate, Table47[[#This Row],[Confirmed Sampling Date]] - 14,
    _xlpm.weekdayNum, WEEKDAY(_xlpm.baseDate, 2),
    IF(_xlpm.weekdayNum = 6, _xlpm.baseDate + 2, IF(_xlpm.weekdayNum = 7, _xlpm.baseDate + 1, _xlpm.baseDate))
)</f>
        <v>45825</v>
      </c>
      <c r="G28" s="20">
        <f>IFERROR(WEEKNUM(Table47[[#This Row],[Shipping Date (SD-14)]]),"TBD")</f>
        <v>25</v>
      </c>
      <c r="H28" s="20" t="str">
        <f>IFERROR(TEXT(Table47[[#This Row],[Shipping Date (SD-14)]],"yyyy-mm"),"TBD")</f>
        <v>2025-06</v>
      </c>
      <c r="I28" s="13" t="s">
        <v>779</v>
      </c>
      <c r="J28" s="20" t="str">
        <f>IFERROR(VLOOKUP(Table47[[#This Row],[ToSite-UPSName]],Table1[[#All],[Company or Name]:[Delivery Address]],15,FALSE),"")</f>
        <v>Larnaca WWTP</v>
      </c>
      <c r="K28" s="20" t="str">
        <f>IFERROR(VLOOKUP(Table47[[#This Row],[ToSite-UPSName]],Table1[[#All],[Company or Name]:[Delivery Address]],16,FALSE),"")</f>
        <v>Larnaca Airport</v>
      </c>
      <c r="L28" s="20"/>
      <c r="M28" s="20">
        <f>IFERROR(VLOOKUP(Table47[[#This Row],[ToSite-UPSName]],Table1[[#All],[Company or Name]:[Delivery Address]],18,FALSE),"")</f>
        <v>0</v>
      </c>
      <c r="N28" s="20">
        <f>IFERROR(VLOOKUP(Table47[[#This Row],[ToSite-UPSName]],Table1[[#All],[Company or Name]:[Delivery Address]],19,FALSE),"")</f>
        <v>0</v>
      </c>
      <c r="O28" s="13" t="s">
        <v>42</v>
      </c>
      <c r="P28" s="20" t="s">
        <v>692</v>
      </c>
      <c r="Q28" s="13" t="s">
        <v>833</v>
      </c>
      <c r="R28" s="20"/>
      <c r="S28" s="99" t="s">
        <v>134</v>
      </c>
      <c r="T28" s="99" t="s">
        <v>852</v>
      </c>
      <c r="U28" s="13" t="s">
        <v>125</v>
      </c>
      <c r="V28" s="13" t="s">
        <v>856</v>
      </c>
      <c r="X28" s="13"/>
      <c r="Y28" s="20" t="str">
        <f>TEXT(Table47[[#This Row],[Confirmed Sampling Date]], "yyyy") &amp; "_" &amp; TEXT(Table47[[#This Row],[Confirmed Sampling Date]], "mm") &amp; "_" &amp; TEXT(Table47[[#This Row],[Confirmed Sampling Date]], "dd")</f>
        <v>2025_07_01</v>
      </c>
      <c r="Z28" s="20" t="str">
        <f>IFERROR(LEFT(J28, FIND(" ", J28) - 1), J28)</f>
        <v>Larnaca</v>
      </c>
      <c r="AA28" s="20" t="str">
        <f>VLOOKUP(Table47[[#This Row],[ToSite-UPSName]],Table1[[Company or Name]:[NOTES]],2,FALSE)</f>
        <v>Cyprus</v>
      </c>
      <c r="AB28" s="20" t="str">
        <f>IFERROR(VLOOKUP(Table47[[#This Row],[ToSite-UPSName]], Table1[[#All],[Company or Name]:[Delivery Address]],20,FALSE),"")</f>
        <v>Adamantiou Korai street 12, Larnaca District Local Government Organization offices, Larnaca, 6010, Cyprus</v>
      </c>
      <c r="AC28" s="20" t="str">
        <f>TEXT(Table47[[#This Row],[Shipping Date (SD-14)]]+3,"YYYY-MM-DD")</f>
        <v>2025-06-20</v>
      </c>
      <c r="AD28" s="20" t="str">
        <f>_xlfn.XLOOKUP(Table47[[#This Row],[Type]],kits!C:C,kits!D:D,"",0)</f>
        <v>boxcontentlabel_template_outbound1.docx</v>
      </c>
    </row>
    <row r="29" spans="2:30" ht="14.1" customHeight="1" x14ac:dyDescent="0.25">
      <c r="B29" s="13">
        <v>124</v>
      </c>
      <c r="C29" s="14" t="s">
        <v>1271</v>
      </c>
      <c r="D29" s="13">
        <v>2</v>
      </c>
      <c r="E29" s="34">
        <v>45839</v>
      </c>
      <c r="F29" s="34">
        <f>_xlfn.LET(
    _xlpm.baseDate, Table47[[#This Row],[Confirmed Sampling Date]] - 14,
    _xlpm.weekdayNum, WEEKDAY(_xlpm.baseDate, 2),
    IF(_xlpm.weekdayNum = 6, _xlpm.baseDate + 2, IF(_xlpm.weekdayNum = 7, _xlpm.baseDate + 1, _xlpm.baseDate))
)</f>
        <v>45825</v>
      </c>
      <c r="G29" s="20">
        <f>IFERROR(WEEKNUM(Table47[[#This Row],[Shipping Date (SD-14)]]),"TBD")</f>
        <v>25</v>
      </c>
      <c r="H29" s="20" t="str">
        <f>IFERROR(TEXT(Table47[[#This Row],[Shipping Date (SD-14)]],"yyyy-mm"),"TBD")</f>
        <v>2025-06</v>
      </c>
      <c r="I29" s="13" t="s">
        <v>863</v>
      </c>
      <c r="J29" s="20" t="str">
        <f>IFERROR(VLOOKUP(Table47[[#This Row],[ToSite-UPSName]],Table1[[#All],[Company or Name]:[Delivery Address]],15,FALSE),"")</f>
        <v>Dusseldorf WWTP 2101</v>
      </c>
      <c r="K29" s="20" t="str">
        <f>IFERROR(VLOOKUP(Table47[[#This Row],[ToSite-UPSName]],Table1[[#All],[Company or Name]:[Delivery Address]],16,FALSE),"")</f>
        <v>Dusseldorf WWTP 601</v>
      </c>
      <c r="L29" s="20"/>
      <c r="M29" s="20">
        <f>IFERROR(VLOOKUP(Table47[[#This Row],[ToSite-UPSName]],Table1[[#All],[Company or Name]:[Delivery Address]],18,FALSE),"")</f>
        <v>0</v>
      </c>
      <c r="N29" s="20">
        <f>IFERROR(VLOOKUP(Table47[[#This Row],[ToSite-UPSName]],Table1[[#All],[Company or Name]:[Delivery Address]],19,FALSE),"")</f>
        <v>0</v>
      </c>
      <c r="O29" s="13"/>
      <c r="P29" s="13" t="s">
        <v>692</v>
      </c>
      <c r="Q29" s="20" t="s">
        <v>883</v>
      </c>
      <c r="R29" s="20"/>
      <c r="S29" s="65" t="s">
        <v>813</v>
      </c>
      <c r="T29" s="65" t="s">
        <v>986</v>
      </c>
      <c r="U29" s="13" t="s">
        <v>125</v>
      </c>
      <c r="V29" s="13" t="s">
        <v>110</v>
      </c>
      <c r="X29" s="13"/>
      <c r="Y29" s="20" t="str">
        <f>TEXT(Table47[[#This Row],[Confirmed Sampling Date]], "yyyy") &amp; "_" &amp; TEXT(Table47[[#This Row],[Confirmed Sampling Date]], "mm") &amp; "_" &amp; TEXT(Table47[[#This Row],[Confirmed Sampling Date]], "dd")</f>
        <v>2025_07_01</v>
      </c>
      <c r="Z29" s="20" t="str">
        <f>IFERROR(LEFT(J29, FIND(" ", J29) - 1), J29)</f>
        <v>Dusseldorf</v>
      </c>
      <c r="AA29" s="20" t="str">
        <f>VLOOKUP(Table47[[#This Row],[ToSite-UPSName]],Table1[[Company or Name]:[NOTES]],2,FALSE)</f>
        <v>Germany</v>
      </c>
      <c r="AB29" s="20" t="str">
        <f>IFERROR(VLOOKUP(Table47[[#This Row],[ToSite-UPSName]], Table1[[#All],[Company or Name]:[Delivery Address]],20,FALSE),"")</f>
        <v>Auf dem Draap 15, Chemisch-Biologische Laboratorien, Dusseldorf, 40221, Germany</v>
      </c>
      <c r="AC29" s="20" t="str">
        <f>TEXT(Table47[[#This Row],[Shipping Date (SD-14)]]+3,"YYYY-MM-DD")</f>
        <v>2025-06-20</v>
      </c>
      <c r="AD29" s="20" t="str">
        <f>_xlfn.XLOOKUP(Table47[[#This Row],[Type]],kits!C:C,kits!D:D,"",0)</f>
        <v>boxcontentlabel_template_outbound1.docx</v>
      </c>
    </row>
    <row r="30" spans="2:30" ht="14.1" customHeight="1" x14ac:dyDescent="0.25">
      <c r="B30" s="13">
        <v>72</v>
      </c>
      <c r="C30" s="14" t="s">
        <v>1271</v>
      </c>
      <c r="D30" s="13">
        <v>1</v>
      </c>
      <c r="E30" s="22">
        <v>45840</v>
      </c>
      <c r="F30" s="34">
        <f>_xlfn.LET(
    _xlpm.baseDate, Table47[[#This Row],[Confirmed Sampling Date]] - 14,
    _xlpm.weekdayNum, WEEKDAY(_xlpm.baseDate, 2),
    IF(_xlpm.weekdayNum = 6, _xlpm.baseDate + 2, IF(_xlpm.weekdayNum = 7, _xlpm.baseDate + 1, _xlpm.baseDate))
)</f>
        <v>45826</v>
      </c>
      <c r="G30" s="20">
        <f>IFERROR(WEEKNUM(Table47[[#This Row],[Shipping Date (SD-14)]]),"TBD")</f>
        <v>25</v>
      </c>
      <c r="H30" s="20" t="str">
        <f>IFERROR(TEXT(Table47[[#This Row],[Shipping Date (SD-14)]],"yyyy-mm"),"TBD")</f>
        <v>2025-06</v>
      </c>
      <c r="I30" s="13" t="s">
        <v>680</v>
      </c>
      <c r="J30" s="13" t="str">
        <f>IFERROR(VLOOKUP(Table47[[#This Row],[ToSite-UPSName]],Table1[[#All],[Company or Name]:[Delivery Address]],15,FALSE),"")</f>
        <v>Rome WWTP</v>
      </c>
      <c r="K30" s="20" t="str">
        <f>IFERROR(VLOOKUP(Table47[[#This Row],[ToSite-UPSName]],Table1[[#All],[Company or Name]:[Delivery Address]],16,FALSE),"")</f>
        <v>-</v>
      </c>
      <c r="L30" s="13" t="str">
        <f>IFERROR(VLOOKUP(Table47[[#This Row],[ToSite-UPSName]],Table1[[#All],[Company or Name]:[Delivery Address]],17,FALSE),"")</f>
        <v>-</v>
      </c>
      <c r="M30" s="20" t="str">
        <f>IFERROR(VLOOKUP(Table47[[#This Row],[ToSite-UPSName]],Table1[[#All],[Company or Name]:[Delivery Address]],18,FALSE),"")</f>
        <v>-</v>
      </c>
      <c r="N30" s="20" t="str">
        <f>IFERROR(VLOOKUP(Table47[[#This Row],[ToSite-UPSName]],Table1[[#All],[Company or Name]:[Delivery Address]],19,FALSE),"")</f>
        <v>-</v>
      </c>
      <c r="O30" s="13" t="s">
        <v>42</v>
      </c>
      <c r="P30" s="13" t="s">
        <v>692</v>
      </c>
      <c r="Q30" s="13" t="s">
        <v>833</v>
      </c>
      <c r="R30" s="20"/>
      <c r="S30" s="13" t="s">
        <v>134</v>
      </c>
      <c r="T30" s="13" t="s">
        <v>853</v>
      </c>
      <c r="U30" s="13" t="s">
        <v>125</v>
      </c>
      <c r="V30" s="13" t="s">
        <v>856</v>
      </c>
      <c r="X30" s="13"/>
      <c r="Y30" s="20" t="str">
        <f>TEXT(Table47[[#This Row],[Confirmed Sampling Date]], "yyyy") &amp; "_" &amp; TEXT(Table47[[#This Row],[Confirmed Sampling Date]], "mm") &amp; "_" &amp; TEXT(Table47[[#This Row],[Confirmed Sampling Date]], "dd")</f>
        <v>2025_07_02</v>
      </c>
      <c r="Z30" s="20" t="str">
        <f>IFERROR(LEFT(J30, FIND(" ", J30) - 1), J30)</f>
        <v>Rome</v>
      </c>
      <c r="AA30" s="20" t="str">
        <f>VLOOKUP(Table47[[#This Row],[ToSite-UPSName]],Table1[[Company or Name]:[NOTES]],2,FALSE)</f>
        <v>Italy</v>
      </c>
      <c r="AB30" s="20" t="str">
        <f>IFERROR(VLOOKUP(Table47[[#This Row],[ToSite-UPSName]], Table1[[#All],[Company or Name]:[Delivery Address]],20,FALSE),"")</f>
        <v>Via dell'Equitazione 10, Rome, 00144, Italy</v>
      </c>
      <c r="AC30" s="20" t="str">
        <f>TEXT(Table47[[#This Row],[Shipping Date (SD-14)]]+3,"YYYY-MM-DD")</f>
        <v>2025-06-21</v>
      </c>
      <c r="AD30" s="20" t="str">
        <f>_xlfn.XLOOKUP(Table47[[#This Row],[Type]],kits!C:C,kits!D:D,"",0)</f>
        <v>boxcontentlabel_template_outbound1.docx</v>
      </c>
    </row>
    <row r="31" spans="2:30" ht="14.1" customHeight="1" x14ac:dyDescent="0.25">
      <c r="B31" s="13">
        <v>86</v>
      </c>
      <c r="C31" s="14" t="s">
        <v>1271</v>
      </c>
      <c r="D31" s="13">
        <v>1</v>
      </c>
      <c r="E31" s="22">
        <v>45840</v>
      </c>
      <c r="F31" s="34">
        <f>_xlfn.LET(
    _xlpm.baseDate, Table47[[#This Row],[Confirmed Sampling Date]] - 14,
    _xlpm.weekdayNum, WEEKDAY(_xlpm.baseDate, 2),
    IF(_xlpm.weekdayNum = 6, _xlpm.baseDate + 2, IF(_xlpm.weekdayNum = 7, _xlpm.baseDate + 1, _xlpm.baseDate))
)</f>
        <v>45826</v>
      </c>
      <c r="G31" s="20">
        <f>IFERROR(WEEKNUM(Table47[[#This Row],[Shipping Date (SD-14)]]),"TBD")</f>
        <v>25</v>
      </c>
      <c r="H31" s="20" t="str">
        <f>IFERROR(TEXT(Table47[[#This Row],[Shipping Date (SD-14)]],"yyyy-mm"),"TBD")</f>
        <v>2025-06</v>
      </c>
      <c r="I31" s="13" t="s">
        <v>771</v>
      </c>
      <c r="J31" s="20" t="str">
        <f>IFERROR(VLOOKUP(Table47[[#This Row],[ToSite-UPSName]],Table1[[#All],[Company or Name]:[Delivery Address]],15,FALSE),"")</f>
        <v>RomeAirport</v>
      </c>
      <c r="K31" s="20" t="str">
        <f>IFERROR(VLOOKUP(Table47[[#This Row],[ToSite-UPSName]],Table1[[#All],[Company or Name]:[Delivery Address]],16,FALSE),"")</f>
        <v>-</v>
      </c>
      <c r="L31" s="13" t="str">
        <f>IFERROR(VLOOKUP(Table47[[#This Row],[ToSite-UPSName]],Table1[[#All],[Company or Name]:[Delivery Address]],17,FALSE),"")</f>
        <v>-</v>
      </c>
      <c r="M31" s="20" t="str">
        <f>IFERROR(VLOOKUP(Table47[[#This Row],[ToSite-UPSName]],Table1[[#All],[Company or Name]:[Delivery Address]],18,FALSE),"")</f>
        <v>-</v>
      </c>
      <c r="N31" s="20" t="str">
        <f>IFERROR(VLOOKUP(Table47[[#This Row],[ToSite-UPSName]],Table1[[#All],[Company or Name]:[Delivery Address]],19,FALSE),"")</f>
        <v>-</v>
      </c>
      <c r="O31" s="13" t="s">
        <v>42</v>
      </c>
      <c r="P31" s="20" t="s">
        <v>692</v>
      </c>
      <c r="Q31" s="13" t="s">
        <v>833</v>
      </c>
      <c r="R31" s="20"/>
      <c r="S31" s="13" t="s">
        <v>134</v>
      </c>
      <c r="T31" s="13" t="s">
        <v>820</v>
      </c>
      <c r="U31" s="13" t="s">
        <v>125</v>
      </c>
      <c r="V31" s="13" t="s">
        <v>856</v>
      </c>
      <c r="X31" s="13"/>
      <c r="Y31" s="20" t="str">
        <f>TEXT(Table47[[#This Row],[Confirmed Sampling Date]], "yyyy") &amp; "_" &amp; TEXT(Table47[[#This Row],[Confirmed Sampling Date]], "mm") &amp; "_" &amp; TEXT(Table47[[#This Row],[Confirmed Sampling Date]], "dd")</f>
        <v>2025_07_02</v>
      </c>
      <c r="Z31" s="20" t="str">
        <f>IFERROR(LEFT(J31, FIND(" ", J31) - 1), J31)</f>
        <v>RomeAirport</v>
      </c>
      <c r="AA31" s="20" t="str">
        <f>VLOOKUP(Table47[[#This Row],[ToSite-UPSName]],Table1[[Company or Name]:[NOTES]],2,FALSE)</f>
        <v>Italy</v>
      </c>
      <c r="AB31" s="20" t="str">
        <f>IFERROR(VLOOKUP(Table47[[#This Row],[ToSite-UPSName]], Table1[[#All],[Company or Name]:[Delivery Address]],20,FALSE),"")</f>
        <v>VIA FRATELLI WRIGHT (DEPURATORE BIOLOGICO), FIUMICINO, 00054, Italy</v>
      </c>
      <c r="AC31" s="20" t="str">
        <f>TEXT(Table47[[#This Row],[Shipping Date (SD-14)]]+3,"YYYY-MM-DD")</f>
        <v>2025-06-21</v>
      </c>
      <c r="AD31" s="20" t="str">
        <f>_xlfn.XLOOKUP(Table47[[#This Row],[Type]],kits!C:C,kits!D:D,"",0)</f>
        <v>boxcontentlabel_template_outbound1.docx</v>
      </c>
    </row>
    <row r="32" spans="2:30" ht="14.1" customHeight="1" x14ac:dyDescent="0.25">
      <c r="B32" s="13">
        <v>4</v>
      </c>
      <c r="C32" s="14" t="s">
        <v>1271</v>
      </c>
      <c r="D32" s="13">
        <v>2</v>
      </c>
      <c r="E32" s="83">
        <v>45851</v>
      </c>
      <c r="F32" s="34">
        <f>_xlfn.LET(
    _xlpm.baseDate, Table47[[#This Row],[Confirmed Sampling Date]] - 14,
    _xlpm.weekdayNum, WEEKDAY(_xlpm.baseDate, 2),
    IF(_xlpm.weekdayNum = 6, _xlpm.baseDate + 2, IF(_xlpm.weekdayNum = 7, _xlpm.baseDate + 1, _xlpm.baseDate))
)</f>
        <v>45838</v>
      </c>
      <c r="G32" s="13">
        <f>IFERROR(WEEKNUM(Table47[[#This Row],[Shipping Date (SD-14)]]),"TBD")</f>
        <v>27</v>
      </c>
      <c r="H32" s="13" t="str">
        <f>IFERROR(TEXT(Table47[[#This Row],[Shipping Date (SD-14)]],"yyyy-mm"),"TBD")</f>
        <v>2025-06</v>
      </c>
      <c r="I32" s="13" t="s">
        <v>13</v>
      </c>
      <c r="J32" s="13" t="str">
        <f>IFERROR(VLOOKUP(Table47[[#This Row],[ToSite-UPSName]],Table1[[#All],[Company or Name]:[Delivery Address]],15,FALSE),"")</f>
        <v>Berlin (Schoenefeld) WWTP</v>
      </c>
      <c r="K32" s="13" t="str">
        <f>IFERROR(VLOOKUP(Table47[[#This Row],[ToSite-UPSName]],Table1[[#All],[Company or Name]:[Delivery Address]],16,FALSE),"")</f>
        <v>Berlin Airport</v>
      </c>
      <c r="L32" s="13" t="str">
        <f>IFERROR(VLOOKUP(Table47[[#This Row],[ToSite-UPSName]],Table1[[#All],[Company or Name]:[Delivery Address]],17,FALSE),"")</f>
        <v>-</v>
      </c>
      <c r="M32" s="13" t="str">
        <f>IFERROR(VLOOKUP(Table47[[#This Row],[ToSite-UPSName]],Table1[[#All],[Company or Name]:[Delivery Address]],18,FALSE),"")</f>
        <v>-</v>
      </c>
      <c r="N32" s="13" t="str">
        <f>IFERROR(VLOOKUP(Table47[[#This Row],[ToSite-UPSName]],Table1[[#All],[Company or Name]:[Delivery Address]],19,FALSE),"")</f>
        <v>-</v>
      </c>
      <c r="O32" s="13"/>
      <c r="P32" s="13" t="s">
        <v>692</v>
      </c>
      <c r="Q32" s="13" t="s">
        <v>833</v>
      </c>
      <c r="R32" s="13"/>
      <c r="S32" s="64" t="s">
        <v>884</v>
      </c>
      <c r="T32" s="64" t="s">
        <v>985</v>
      </c>
      <c r="U32" s="13" t="s">
        <v>125</v>
      </c>
      <c r="V32" s="13" t="s">
        <v>856</v>
      </c>
      <c r="X32" s="13"/>
      <c r="Y32" s="20" t="str">
        <f>TEXT(Table47[[#This Row],[Confirmed Sampling Date]], "yyyy") &amp; "_" &amp; TEXT(Table47[[#This Row],[Confirmed Sampling Date]], "mm") &amp; "_" &amp; TEXT(Table47[[#This Row],[Confirmed Sampling Date]], "dd")</f>
        <v>2025_07_13</v>
      </c>
      <c r="Z32" s="20" t="str">
        <f>IFERROR(LEFT(J32, FIND(" ", J32) - 1), J32)</f>
        <v>Berlin</v>
      </c>
      <c r="AA32" s="20" t="str">
        <f>VLOOKUP(Table47[[#This Row],[ToSite-UPSName]],Table1[[Company or Name]:[NOTES]],2,FALSE)</f>
        <v>Germany</v>
      </c>
      <c r="AB32" s="20" t="str">
        <f>IFERROR(VLOOKUP(Table47[[#This Row],[ToSite-UPSName]], Table1[[#All],[Company or Name]:[Delivery Address]],20,FALSE),"")</f>
        <v>Strasse am Klarwerk 4, Klarwerk Wassmannsdorf, Schoenefeld, 12529, Germany</v>
      </c>
      <c r="AC32" s="20" t="str">
        <f>TEXT(Table47[[#This Row],[Shipping Date (SD-14)]]+3,"YYYY-MM-DD")</f>
        <v>2025-07-03</v>
      </c>
      <c r="AD32" s="20" t="str">
        <f>_xlfn.XLOOKUP(Table47[[#This Row],[Type]],kits!C:C,kits!D:D,"",0)</f>
        <v>boxcontentlabel_template_outbound1.docx</v>
      </c>
    </row>
    <row r="33" spans="2:30" ht="14.1" customHeight="1" x14ac:dyDescent="0.25">
      <c r="B33" s="13">
        <v>45</v>
      </c>
      <c r="C33" s="14" t="s">
        <v>1271</v>
      </c>
      <c r="D33" s="13">
        <v>2</v>
      </c>
      <c r="E33" s="34">
        <v>45852</v>
      </c>
      <c r="F33" s="34">
        <f>_xlfn.LET(
    _xlpm.baseDate, Table47[[#This Row],[Confirmed Sampling Date]] - 14,
    _xlpm.weekdayNum, WEEKDAY(_xlpm.baseDate, 2),
    IF(_xlpm.weekdayNum = 6, _xlpm.baseDate + 2, IF(_xlpm.weekdayNum = 7, _xlpm.baseDate + 1, _xlpm.baseDate))
)</f>
        <v>45838</v>
      </c>
      <c r="G33" s="13">
        <f>IFERROR(WEEKNUM(Table47[[#This Row],[Shipping Date (SD-14)]]),"TBD")</f>
        <v>27</v>
      </c>
      <c r="H33" s="13" t="str">
        <f>IFERROR(TEXT(Table47[[#This Row],[Shipping Date (SD-14)]],"yyyy-mm"),"TBD")</f>
        <v>2025-06</v>
      </c>
      <c r="I33" s="13" t="s">
        <v>364</v>
      </c>
      <c r="J33" s="13" t="str">
        <f>IFERROR(VLOOKUP(Table47[[#This Row],[ToSite-UPSName]],Table1[[#All],[Company or Name]:[Delivery Address]],15,FALSE),"")</f>
        <v>Brussels WWTP</v>
      </c>
      <c r="K33" s="13" t="str">
        <f>IFERROR(VLOOKUP(Table47[[#This Row],[ToSite-UPSName]],Table1[[#All],[Company or Name]:[Delivery Address]],16,FALSE),"")</f>
        <v>Brussels Airport</v>
      </c>
      <c r="L33" s="13" t="str">
        <f>IFERROR(VLOOKUP(Table47[[#This Row],[ToSite-UPSName]],Table1[[#All],[Company or Name]:[Delivery Address]],17,FALSE),"")</f>
        <v>-</v>
      </c>
      <c r="M33" s="13" t="str">
        <f>IFERROR(VLOOKUP(Table47[[#This Row],[ToSite-UPSName]],Table1[[#All],[Company or Name]:[Delivery Address]],18,FALSE),"")</f>
        <v>-</v>
      </c>
      <c r="N33" s="13" t="str">
        <f>IFERROR(VLOOKUP(Table47[[#This Row],[ToSite-UPSName]],Table1[[#All],[Company or Name]:[Delivery Address]],19,FALSE),"")</f>
        <v>-</v>
      </c>
      <c r="O33" s="13"/>
      <c r="P33" s="13" t="s">
        <v>692</v>
      </c>
      <c r="Q33" s="13" t="s">
        <v>947</v>
      </c>
      <c r="R33" s="13"/>
      <c r="S33" s="64" t="s">
        <v>892</v>
      </c>
      <c r="T33" s="64" t="s">
        <v>984</v>
      </c>
      <c r="U33" s="13" t="s">
        <v>125</v>
      </c>
      <c r="V33" s="13" t="s">
        <v>856</v>
      </c>
      <c r="X33" s="13"/>
      <c r="Y33" s="20" t="str">
        <f>TEXT(Table47[[#This Row],[Confirmed Sampling Date]], "yyyy") &amp; "_" &amp; TEXT(Table47[[#This Row],[Confirmed Sampling Date]], "mm") &amp; "_" &amp; TEXT(Table47[[#This Row],[Confirmed Sampling Date]], "dd")</f>
        <v>2025_07_14</v>
      </c>
      <c r="Z33" s="20" t="str">
        <f>IFERROR(LEFT(J33, FIND(" ", J33) - 1), J33)</f>
        <v>Brussels</v>
      </c>
      <c r="AA33" s="20" t="str">
        <f>VLOOKUP(Table47[[#This Row],[ToSite-UPSName]],Table1[[Company or Name]:[NOTES]],2,FALSE)</f>
        <v>Belgium</v>
      </c>
      <c r="AB33" s="20" t="str">
        <f>IFERROR(VLOOKUP(Table47[[#This Row],[ToSite-UPSName]], Table1[[#All],[Company or Name]:[Delivery Address]],20,FALSE),"")</f>
        <v>Rue Juliette Wytsmanstraat 14, Brussels, 1050, Belgium</v>
      </c>
      <c r="AC33" s="20" t="str">
        <f>TEXT(Table47[[#This Row],[Shipping Date (SD-14)]]+3,"YYYY-MM-DD")</f>
        <v>2025-07-03</v>
      </c>
      <c r="AD33" s="20" t="str">
        <f>_xlfn.XLOOKUP(Table47[[#This Row],[Type]],kits!C:C,kits!D:D,"",0)</f>
        <v>boxcontentlabel_template_outbound1.docx</v>
      </c>
    </row>
    <row r="34" spans="2:30" ht="14.1" customHeight="1" x14ac:dyDescent="0.25">
      <c r="B34" s="13">
        <v>18</v>
      </c>
      <c r="C34" s="14" t="s">
        <v>1271</v>
      </c>
      <c r="D34" s="13">
        <v>2</v>
      </c>
      <c r="E34" s="34">
        <v>45853</v>
      </c>
      <c r="F34" s="34">
        <f>_xlfn.LET(
    _xlpm.baseDate, Table47[[#This Row],[Confirmed Sampling Date]] - 14,
    _xlpm.weekdayNum, WEEKDAY(_xlpm.baseDate, 2),
    IF(_xlpm.weekdayNum = 6, _xlpm.baseDate + 2, IF(_xlpm.weekdayNum = 7, _xlpm.baseDate + 1, _xlpm.baseDate))
)</f>
        <v>45839</v>
      </c>
      <c r="G34" s="13">
        <f>IFERROR(WEEKNUM(Table47[[#This Row],[Shipping Date (SD-14)]]),"TBD")</f>
        <v>27</v>
      </c>
      <c r="H34" s="13" t="str">
        <f>IFERROR(TEXT(Table47[[#This Row],[Shipping Date (SD-14)]],"yyyy-mm"),"TBD")</f>
        <v>2025-07</v>
      </c>
      <c r="I34" s="13" t="s">
        <v>19</v>
      </c>
      <c r="J34" s="13" t="str">
        <f>IFERROR(VLOOKUP(Table47[[#This Row],[ToSite-UPSName]],Table1[[#All],[Company or Name]:[Delivery Address]],15,FALSE),"")</f>
        <v>Munich WWTP</v>
      </c>
      <c r="K34" s="13" t="str">
        <f>IFERROR(VLOOKUP(Table47[[#This Row],[ToSite-UPSName]],Table1[[#All],[Company or Name]:[Delivery Address]],16,FALSE),"")</f>
        <v>Munich Airport</v>
      </c>
      <c r="L34" s="13" t="str">
        <f>IFERROR(VLOOKUP(Table47[[#This Row],[ToSite-UPSName]],Table1[[#All],[Company or Name]:[Delivery Address]],17,FALSE),"")</f>
        <v>-</v>
      </c>
      <c r="M34" s="13" t="str">
        <f>IFERROR(VLOOKUP(Table47[[#This Row],[ToSite-UPSName]],Table1[[#All],[Company or Name]:[Delivery Address]],18,FALSE),"")</f>
        <v>-</v>
      </c>
      <c r="N34" s="13" t="str">
        <f>IFERROR(VLOOKUP(Table47[[#This Row],[ToSite-UPSName]],Table1[[#All],[Company or Name]:[Delivery Address]],19,FALSE),"")</f>
        <v>-</v>
      </c>
      <c r="O34" s="13"/>
      <c r="P34" s="13" t="s">
        <v>692</v>
      </c>
      <c r="Q34" s="13" t="s">
        <v>833</v>
      </c>
      <c r="R34" s="13"/>
      <c r="S34" s="13" t="s">
        <v>134</v>
      </c>
      <c r="T34" s="13" t="s">
        <v>983</v>
      </c>
      <c r="U34" s="13" t="s">
        <v>125</v>
      </c>
      <c r="V34" s="13" t="s">
        <v>856</v>
      </c>
      <c r="X34" s="13"/>
      <c r="Y34" s="20" t="str">
        <f>TEXT(Table47[[#This Row],[Confirmed Sampling Date]], "yyyy") &amp; "_" &amp; TEXT(Table47[[#This Row],[Confirmed Sampling Date]], "mm") &amp; "_" &amp; TEXT(Table47[[#This Row],[Confirmed Sampling Date]], "dd")</f>
        <v>2025_07_15</v>
      </c>
      <c r="Z34" s="20" t="str">
        <f>IFERROR(LEFT(J34, FIND(" ", J34) - 1), J34)</f>
        <v>Munich</v>
      </c>
      <c r="AA34" s="20" t="str">
        <f>VLOOKUP(Table47[[#This Row],[ToSite-UPSName]],Table1[[Company or Name]:[NOTES]],2,FALSE)</f>
        <v>Germany</v>
      </c>
      <c r="AB34" s="20" t="str">
        <f>IFERROR(VLOOKUP(Table47[[#This Row],[ToSite-UPSName]], Table1[[#All],[Company or Name]:[Delivery Address]],20,FALSE),"")</f>
        <v>Leopoldstrasse 5, Institut fuer Infektions- und Tropenmedizin, Munich, 80802, Germany</v>
      </c>
      <c r="AC34" s="20" t="str">
        <f>TEXT(Table47[[#This Row],[Shipping Date (SD-14)]]+3,"YYYY-MM-DD")</f>
        <v>2025-07-04</v>
      </c>
      <c r="AD34" s="20" t="str">
        <f>_xlfn.XLOOKUP(Table47[[#This Row],[Type]],kits!C:C,kits!D:D,"",0)</f>
        <v>boxcontentlabel_template_outbound1.docx</v>
      </c>
    </row>
    <row r="35" spans="2:30" ht="14.1" customHeight="1" x14ac:dyDescent="0.25">
      <c r="B35" s="13">
        <v>32</v>
      </c>
      <c r="C35" s="14" t="s">
        <v>1271</v>
      </c>
      <c r="D35" s="13">
        <v>1</v>
      </c>
      <c r="E35" s="83">
        <v>45853</v>
      </c>
      <c r="F35" s="34">
        <f>_xlfn.LET(
    _xlpm.baseDate, Table47[[#This Row],[Confirmed Sampling Date]] - 14,
    _xlpm.weekdayNum, WEEKDAY(_xlpm.baseDate, 2),
    IF(_xlpm.weekdayNum = 6, _xlpm.baseDate + 2, IF(_xlpm.weekdayNum = 7, _xlpm.baseDate + 1, _xlpm.baseDate))
)</f>
        <v>45839</v>
      </c>
      <c r="G35" s="13">
        <f>IFERROR(WEEKNUM(Table47[[#This Row],[Shipping Date (SD-14)]]),"TBD")</f>
        <v>27</v>
      </c>
      <c r="H35" s="13" t="str">
        <f>IFERROR(TEXT(Table47[[#This Row],[Shipping Date (SD-14)]],"yyyy-mm"),"TBD")</f>
        <v>2025-07</v>
      </c>
      <c r="I35" s="13" t="s">
        <v>677</v>
      </c>
      <c r="J35" s="13" t="str">
        <f>IFERROR(VLOOKUP(Table47[[#This Row],[ToSite-UPSName]],Table1[[#All],[Company or Name]:[Delivery Address]],15,FALSE),"")</f>
        <v>Frankfurt WWTP</v>
      </c>
      <c r="K35" s="13" t="str">
        <f>IFERROR(VLOOKUP(Table47[[#This Row],[ToSite-UPSName]],Table1[[#All],[Company or Name]:[Delivery Address]],16,FALSE),"")</f>
        <v>Frankfurt Airport</v>
      </c>
      <c r="L35" s="13" t="str">
        <f>IFERROR(VLOOKUP(Table47[[#This Row],[ToSite-UPSName]],Table1[[#All],[Company or Name]:[Delivery Address]],17,FALSE),"")</f>
        <v>-</v>
      </c>
      <c r="M35" s="13" t="str">
        <f>IFERROR(VLOOKUP(Table47[[#This Row],[ToSite-UPSName]],Table1[[#All],[Company or Name]:[Delivery Address]],18,FALSE),"")</f>
        <v>-</v>
      </c>
      <c r="N35" s="13" t="str">
        <f>IFERROR(VLOOKUP(Table47[[#This Row],[ToSite-UPSName]],Table1[[#All],[Company or Name]:[Delivery Address]],19,FALSE),"")</f>
        <v>-</v>
      </c>
      <c r="O35" s="13"/>
      <c r="P35" s="13" t="s">
        <v>692</v>
      </c>
      <c r="Q35" s="13" t="s">
        <v>946</v>
      </c>
      <c r="R35" s="13"/>
      <c r="S35" s="13" t="s">
        <v>134</v>
      </c>
      <c r="T35" s="13" t="s">
        <v>893</v>
      </c>
      <c r="U35" s="13" t="s">
        <v>125</v>
      </c>
      <c r="V35" s="13" t="s">
        <v>856</v>
      </c>
      <c r="X35" s="13"/>
      <c r="Y35" s="20" t="str">
        <f>TEXT(Table47[[#This Row],[Confirmed Sampling Date]], "yyyy") &amp; "_" &amp; TEXT(Table47[[#This Row],[Confirmed Sampling Date]], "mm") &amp; "_" &amp; TEXT(Table47[[#This Row],[Confirmed Sampling Date]], "dd")</f>
        <v>2025_07_15</v>
      </c>
      <c r="Z35" s="20" t="str">
        <f>IFERROR(LEFT(J35, FIND(" ", J35) - 1), J35)</f>
        <v>Frankfurt</v>
      </c>
      <c r="AA35" s="20" t="str">
        <f>VLOOKUP(Table47[[#This Row],[ToSite-UPSName]],Table1[[Company or Name]:[NOTES]],2,FALSE)</f>
        <v>Germany</v>
      </c>
      <c r="AB35" s="20" t="str">
        <f>IFERROR(VLOOKUP(Table47[[#This Row],[ToSite-UPSName]], Table1[[#All],[Company or Name]:[Delivery Address]],20,FALSE),"")</f>
        <v>Goldsteinstraße 160, Gebäude 71 , Frankfurt am Main , 60528, Germany</v>
      </c>
      <c r="AC35" s="20" t="str">
        <f>TEXT(Table47[[#This Row],[Shipping Date (SD-14)]]+3,"YYYY-MM-DD")</f>
        <v>2025-07-04</v>
      </c>
      <c r="AD35" s="20" t="str">
        <f>_xlfn.XLOOKUP(Table47[[#This Row],[Type]],kits!C:C,kits!D:D,"",0)</f>
        <v>boxcontentlabel_template_outbound1.docx</v>
      </c>
    </row>
    <row r="36" spans="2:30" ht="14.1" customHeight="1" x14ac:dyDescent="0.25">
      <c r="B36" s="13">
        <v>100</v>
      </c>
      <c r="C36" s="14" t="s">
        <v>1271</v>
      </c>
      <c r="D36" s="13">
        <v>4</v>
      </c>
      <c r="E36" s="34">
        <v>45853</v>
      </c>
      <c r="F36" s="34">
        <f>_xlfn.LET(
    _xlpm.baseDate, Table47[[#This Row],[Confirmed Sampling Date]] - 14,
    _xlpm.weekdayNum, WEEKDAY(_xlpm.baseDate, 2),
    IF(_xlpm.weekdayNum = 6, _xlpm.baseDate + 2, IF(_xlpm.weekdayNum = 7, _xlpm.baseDate + 1, _xlpm.baseDate))
)</f>
        <v>45839</v>
      </c>
      <c r="G36" s="20">
        <f>IFERROR(WEEKNUM(Table47[[#This Row],[Shipping Date (SD-14)]]),"TBD")</f>
        <v>27</v>
      </c>
      <c r="H36" s="20" t="str">
        <f>IFERROR(TEXT(Table47[[#This Row],[Shipping Date (SD-14)]],"yyyy-mm"),"TBD")</f>
        <v>2025-07</v>
      </c>
      <c r="I36" s="13" t="s">
        <v>877</v>
      </c>
      <c r="J36" s="20" t="str">
        <f>IFERROR(VLOOKUP(Table47[[#This Row],[ToSite-UPSName]],Table1[[#All],[Company or Name]:[Delivery Address]],15,FALSE),"")</f>
        <v>Prague National Institute</v>
      </c>
      <c r="K36" s="20" t="str">
        <f>IFERROR(VLOOKUP(Table47[[#This Row],[ToSite-UPSName]],Table1[[#All],[Company or Name]:[Delivery Address]],16,FALSE),"")</f>
        <v>Prague WWTP FLOW 1</v>
      </c>
      <c r="L36" s="13" t="str">
        <f>IFERROR(VLOOKUP(Table47[[#This Row],[ToSite-UPSName]],Table1[[#All],[Company or Name]:[Delivery Address]],17,FALSE),"")</f>
        <v>Prague WWTP FLOW 2</v>
      </c>
      <c r="M36" s="20" t="str">
        <f>IFERROR(VLOOKUP(Table47[[#This Row],[ToSite-UPSName]],Table1[[#All],[Company or Name]:[Delivery Address]],18,FALSE),"")</f>
        <v>Prague Airport</v>
      </c>
      <c r="N36" s="20" t="str">
        <f>IFERROR(VLOOKUP(Table47[[#This Row],[ToSite-UPSName]],Table1[[#All],[Company or Name]:[Delivery Address]],19,FALSE),"")</f>
        <v>Prague Hospital</v>
      </c>
      <c r="O36" s="13"/>
      <c r="P36" s="13" t="s">
        <v>692</v>
      </c>
      <c r="Q36" s="13" t="s">
        <v>833</v>
      </c>
      <c r="R36" s="20"/>
      <c r="S36" s="65" t="s">
        <v>134</v>
      </c>
      <c r="T36" s="65" t="s">
        <v>982</v>
      </c>
      <c r="U36" s="13" t="s">
        <v>125</v>
      </c>
      <c r="V36" s="13" t="s">
        <v>856</v>
      </c>
      <c r="X36" s="13"/>
      <c r="Y36" s="20" t="str">
        <f>TEXT(Table47[[#This Row],[Confirmed Sampling Date]], "yyyy") &amp; "_" &amp; TEXT(Table47[[#This Row],[Confirmed Sampling Date]], "mm") &amp; "_" &amp; TEXT(Table47[[#This Row],[Confirmed Sampling Date]], "dd")</f>
        <v>2025_07_15</v>
      </c>
      <c r="Z36" s="20" t="str">
        <f>IFERROR(LEFT(J36, FIND(" ", J36) - 1), J36)</f>
        <v>Prague</v>
      </c>
      <c r="AA36" s="20" t="str">
        <f>VLOOKUP(Table47[[#This Row],[ToSite-UPSName]],Table1[[Company or Name]:[NOTES]],2,FALSE)</f>
        <v>Czech Republic</v>
      </c>
      <c r="AB36" s="20" t="str">
        <f>IFERROR(VLOOKUP(Table47[[#This Row],[ToSite-UPSName]], Table1[[#All],[Company or Name]:[Delivery Address]],20,FALSE),"")</f>
        <v>Šrobárova 49/48, Státní zdravotní ústav, Praha, 100 00, Czech Republic</v>
      </c>
      <c r="AC36" s="20" t="str">
        <f>TEXT(Table47[[#This Row],[Shipping Date (SD-14)]]+3,"YYYY-MM-DD")</f>
        <v>2025-07-04</v>
      </c>
      <c r="AD36" s="20" t="str">
        <f>_xlfn.XLOOKUP(Table47[[#This Row],[Type]],kits!C:C,kits!D:D,"",0)</f>
        <v>boxcontentlabel_template_outbound1.docx</v>
      </c>
    </row>
    <row r="37" spans="2:30" ht="14.1" customHeight="1" x14ac:dyDescent="0.25">
      <c r="B37" s="13">
        <v>113</v>
      </c>
      <c r="C37" s="14" t="s">
        <v>1271</v>
      </c>
      <c r="D37" s="13">
        <v>2</v>
      </c>
      <c r="E37" s="34">
        <v>45853</v>
      </c>
      <c r="F37" s="34">
        <f>_xlfn.LET(
    _xlpm.baseDate, Table47[[#This Row],[Confirmed Sampling Date]] - 14,
    _xlpm.weekdayNum, WEEKDAY(_xlpm.baseDate, 2),
    IF(_xlpm.weekdayNum = 6, _xlpm.baseDate + 2, IF(_xlpm.weekdayNum = 7, _xlpm.baseDate + 1, _xlpm.baseDate))
)</f>
        <v>45839</v>
      </c>
      <c r="G37" s="20">
        <f>IFERROR(WEEKNUM(Table47[[#This Row],[Shipping Date (SD-14)]]),"TBD")</f>
        <v>27</v>
      </c>
      <c r="H37" s="20" t="str">
        <f>IFERROR(TEXT(Table47[[#This Row],[Shipping Date (SD-14)]],"yyyy-mm"),"TBD")</f>
        <v>2025-07</v>
      </c>
      <c r="I37" s="13" t="s">
        <v>779</v>
      </c>
      <c r="J37" s="20" t="str">
        <f>IFERROR(VLOOKUP(Table47[[#This Row],[ToSite-UPSName]],Table1[[#All],[Company or Name]:[Delivery Address]],15,FALSE),"")</f>
        <v>Larnaca WWTP</v>
      </c>
      <c r="K37" s="20" t="str">
        <f>IFERROR(VLOOKUP(Table47[[#This Row],[ToSite-UPSName]],Table1[[#All],[Company or Name]:[Delivery Address]],16,FALSE),"")</f>
        <v>Larnaca Airport</v>
      </c>
      <c r="L37" s="20"/>
      <c r="M37" s="20">
        <f>IFERROR(VLOOKUP(Table47[[#This Row],[ToSite-UPSName]],Table1[[#All],[Company or Name]:[Delivery Address]],18,FALSE),"")</f>
        <v>0</v>
      </c>
      <c r="N37" s="20">
        <f>IFERROR(VLOOKUP(Table47[[#This Row],[ToSite-UPSName]],Table1[[#All],[Company or Name]:[Delivery Address]],19,FALSE),"")</f>
        <v>0</v>
      </c>
      <c r="O37" s="13"/>
      <c r="P37" s="13" t="s">
        <v>692</v>
      </c>
      <c r="Q37" s="13" t="s">
        <v>946</v>
      </c>
      <c r="R37" s="20"/>
      <c r="S37" s="20" t="s">
        <v>134</v>
      </c>
      <c r="T37" s="20" t="s">
        <v>981</v>
      </c>
      <c r="U37" s="13" t="s">
        <v>125</v>
      </c>
      <c r="V37" s="20" t="s">
        <v>856</v>
      </c>
      <c r="W37" s="20"/>
      <c r="X37" s="13"/>
      <c r="Y37" s="20" t="str">
        <f>TEXT(Table47[[#This Row],[Confirmed Sampling Date]], "yyyy") &amp; "_" &amp; TEXT(Table47[[#This Row],[Confirmed Sampling Date]], "mm") &amp; "_" &amp; TEXT(Table47[[#This Row],[Confirmed Sampling Date]], "dd")</f>
        <v>2025_07_15</v>
      </c>
      <c r="Z37" s="20" t="str">
        <f>IFERROR(LEFT(J37, FIND(" ", J37) - 1), J37)</f>
        <v>Larnaca</v>
      </c>
      <c r="AA37" s="20" t="str">
        <f>VLOOKUP(Table47[[#This Row],[ToSite-UPSName]],Table1[[Company or Name]:[NOTES]],2,FALSE)</f>
        <v>Cyprus</v>
      </c>
      <c r="AB37" s="20" t="str">
        <f>IFERROR(VLOOKUP(Table47[[#This Row],[ToSite-UPSName]], Table1[[#All],[Company or Name]:[Delivery Address]],20,FALSE),"")</f>
        <v>Adamantiou Korai street 12, Larnaca District Local Government Organization offices, Larnaca, 6010, Cyprus</v>
      </c>
      <c r="AC37" s="20" t="str">
        <f>TEXT(Table47[[#This Row],[Shipping Date (SD-14)]]+3,"YYYY-MM-DD")</f>
        <v>2025-07-04</v>
      </c>
      <c r="AD37" s="20" t="str">
        <f>_xlfn.XLOOKUP(Table47[[#This Row],[Type]],kits!C:C,kits!D:D,"",0)</f>
        <v>boxcontentlabel_template_outbound1.docx</v>
      </c>
    </row>
    <row r="38" spans="2:30" ht="14.1" customHeight="1" x14ac:dyDescent="0.25">
      <c r="B38" s="13">
        <v>125</v>
      </c>
      <c r="C38" s="14" t="s">
        <v>1271</v>
      </c>
      <c r="D38" s="13">
        <v>2</v>
      </c>
      <c r="E38" s="83">
        <v>45853</v>
      </c>
      <c r="F38" s="34">
        <f>_xlfn.LET(
    _xlpm.baseDate, Table47[[#This Row],[Confirmed Sampling Date]] - 14,
    _xlpm.weekdayNum, WEEKDAY(_xlpm.baseDate, 2),
    IF(_xlpm.weekdayNum = 6, _xlpm.baseDate + 2, IF(_xlpm.weekdayNum = 7, _xlpm.baseDate + 1, _xlpm.baseDate))
)</f>
        <v>45839</v>
      </c>
      <c r="G38" s="20">
        <f>IFERROR(WEEKNUM(Table47[[#This Row],[Shipping Date (SD-14)]]),"TBD")</f>
        <v>27</v>
      </c>
      <c r="H38" s="20" t="str">
        <f>IFERROR(TEXT(Table47[[#This Row],[Shipping Date (SD-14)]],"yyyy-mm"),"TBD")</f>
        <v>2025-07</v>
      </c>
      <c r="I38" s="13" t="s">
        <v>863</v>
      </c>
      <c r="J38" s="20" t="str">
        <f>IFERROR(VLOOKUP(Table47[[#This Row],[ToSite-UPSName]],Table1[[#All],[Company or Name]:[Delivery Address]],15,FALSE),"")</f>
        <v>Dusseldorf WWTP 2101</v>
      </c>
      <c r="K38" s="20" t="str">
        <f>IFERROR(VLOOKUP(Table47[[#This Row],[ToSite-UPSName]],Table1[[#All],[Company or Name]:[Delivery Address]],16,FALSE),"")</f>
        <v>Dusseldorf WWTP 601</v>
      </c>
      <c r="L38" s="20"/>
      <c r="M38" s="20">
        <f>IFERROR(VLOOKUP(Table47[[#This Row],[ToSite-UPSName]],Table1[[#All],[Company or Name]:[Delivery Address]],18,FALSE),"")</f>
        <v>0</v>
      </c>
      <c r="N38" s="20">
        <f>IFERROR(VLOOKUP(Table47[[#This Row],[ToSite-UPSName]],Table1[[#All],[Company or Name]:[Delivery Address]],19,FALSE),"")</f>
        <v>0</v>
      </c>
      <c r="O38" s="13"/>
      <c r="P38" s="13" t="s">
        <v>692</v>
      </c>
      <c r="Q38" s="13" t="s">
        <v>946</v>
      </c>
      <c r="R38" s="20"/>
      <c r="S38" s="20" t="s">
        <v>134</v>
      </c>
      <c r="T38" s="20" t="s">
        <v>980</v>
      </c>
      <c r="U38" s="13" t="s">
        <v>125</v>
      </c>
      <c r="V38" s="13" t="s">
        <v>856</v>
      </c>
      <c r="X38" s="13"/>
      <c r="Y38" s="20" t="str">
        <f>TEXT(Table47[[#This Row],[Confirmed Sampling Date]], "yyyy") &amp; "_" &amp; TEXT(Table47[[#This Row],[Confirmed Sampling Date]], "mm") &amp; "_" &amp; TEXT(Table47[[#This Row],[Confirmed Sampling Date]], "dd")</f>
        <v>2025_07_15</v>
      </c>
      <c r="Z38" s="20" t="str">
        <f>IFERROR(LEFT(J38, FIND(" ", J38) - 1), J38)</f>
        <v>Dusseldorf</v>
      </c>
      <c r="AA38" s="20" t="str">
        <f>VLOOKUP(Table47[[#This Row],[ToSite-UPSName]],Table1[[Company or Name]:[NOTES]],2,FALSE)</f>
        <v>Germany</v>
      </c>
      <c r="AB38" s="20" t="str">
        <f>IFERROR(VLOOKUP(Table47[[#This Row],[ToSite-UPSName]], Table1[[#All],[Company or Name]:[Delivery Address]],20,FALSE),"")</f>
        <v>Auf dem Draap 15, Chemisch-Biologische Laboratorien, Dusseldorf, 40221, Germany</v>
      </c>
      <c r="AC38" s="20" t="str">
        <f>TEXT(Table47[[#This Row],[Shipping Date (SD-14)]]+3,"YYYY-MM-DD")</f>
        <v>2025-07-04</v>
      </c>
      <c r="AD38" s="20" t="str">
        <f>_xlfn.XLOOKUP(Table47[[#This Row],[Type]],kits!C:C,kits!D:D,"",0)</f>
        <v>boxcontentlabel_template_outbound1.docx</v>
      </c>
    </row>
    <row r="39" spans="2:30" ht="14.1" customHeight="1" x14ac:dyDescent="0.25">
      <c r="B39" s="13">
        <v>136</v>
      </c>
      <c r="C39" s="14" t="s">
        <v>1271</v>
      </c>
      <c r="D39" s="13">
        <v>2</v>
      </c>
      <c r="E39" s="25">
        <v>45853</v>
      </c>
      <c r="F39" s="34">
        <f>_xlfn.LET(
    _xlpm.baseDate, Table47[[#This Row],[Confirmed Sampling Date]] - 14,
    _xlpm.weekdayNum, WEEKDAY(_xlpm.baseDate, 2),
    IF(_xlpm.weekdayNum = 6, _xlpm.baseDate + 2, IF(_xlpm.weekdayNum = 7, _xlpm.baseDate + 1, _xlpm.baseDate))
)</f>
        <v>45839</v>
      </c>
      <c r="G39" s="20">
        <f>IFERROR(WEEKNUM(Table47[[#This Row],[Shipping Date (SD-14)]]),"TBD")</f>
        <v>27</v>
      </c>
      <c r="H39" s="20" t="str">
        <f>IFERROR(TEXT(Table47[[#This Row],[Shipping Date (SD-14)]],"yyyy-mm"),"TBD")</f>
        <v>2025-07</v>
      </c>
      <c r="I39" s="13" t="s">
        <v>637</v>
      </c>
      <c r="J39" s="20" t="str">
        <f>IFERROR(VLOOKUP(Table47[[#This Row],[ToSite-UPSName]],Table1[[#All],[Company or Name]:[Delivery Address]],15,FALSE),"")</f>
        <v>Luxembourg (Beggen) WWTP</v>
      </c>
      <c r="K39" s="20" t="str">
        <f>IFERROR(VLOOKUP(Table47[[#This Row],[ToSite-UPSName]],Table1[[#All],[Company or Name]:[Delivery Address]],16,FALSE),"")</f>
        <v>Luxembourg Airport</v>
      </c>
      <c r="L39" s="20" t="str">
        <f>IFERROR(VLOOKUP(Table47[[#This Row],[ToSite-UPSName]],Table1[[#All],[Company or Name]:[Delivery Address]],17,FALSE),"")</f>
        <v>-</v>
      </c>
      <c r="M39" s="20" t="str">
        <f>IFERROR(VLOOKUP(Table47[[#This Row],[ToSite-UPSName]],Table1[[#All],[Company or Name]:[Delivery Address]],18,FALSE),"")</f>
        <v>-</v>
      </c>
      <c r="N39" s="20" t="str">
        <f>IFERROR(VLOOKUP(Table47[[#This Row],[ToSite-UPSName]],Table1[[#All],[Company or Name]:[Delivery Address]],19,FALSE),"")</f>
        <v>-</v>
      </c>
      <c r="O39" s="13" t="s">
        <v>42</v>
      </c>
      <c r="P39" s="13" t="s">
        <v>692</v>
      </c>
      <c r="Q39" s="13" t="s">
        <v>955</v>
      </c>
      <c r="R39" s="20"/>
      <c r="S39" s="65" t="s">
        <v>952</v>
      </c>
      <c r="T39" s="65" t="s">
        <v>979</v>
      </c>
      <c r="U39" s="13" t="s">
        <v>125</v>
      </c>
      <c r="V39" s="13" t="s">
        <v>856</v>
      </c>
      <c r="X39" s="20"/>
      <c r="Y39" s="20" t="str">
        <f>TEXT(Table47[[#This Row],[Confirmed Sampling Date]], "yyyy") &amp; "_" &amp; TEXT(Table47[[#This Row],[Confirmed Sampling Date]], "mm") &amp; "_" &amp; TEXT(Table47[[#This Row],[Confirmed Sampling Date]], "dd")</f>
        <v>2025_07_15</v>
      </c>
      <c r="Z39" s="20" t="str">
        <f>IFERROR(LEFT(J39, FIND(" ", J39) - 1), J39)</f>
        <v>Luxembourg</v>
      </c>
      <c r="AA39" s="20" t="str">
        <f>VLOOKUP(Table47[[#This Row],[ToSite-UPSName]],Table1[[Company or Name]:[NOTES]],2,FALSE)</f>
        <v>Luxembourg</v>
      </c>
      <c r="AB39" s="20" t="str">
        <f>IFERROR(VLOOKUP(Table47[[#This Row],[ToSite-UPSName]], Table1[[#All],[Company or Name]:[Delivery Address]],20,FALSE),"")</f>
        <v>41 rue du Brill, Luxembourg, L-4422 , Luxembourg</v>
      </c>
      <c r="AC39" s="20" t="str">
        <f>TEXT(Table47[[#This Row],[Shipping Date (SD-14)]]+3,"YYYY-MM-DD")</f>
        <v>2025-07-04</v>
      </c>
      <c r="AD39" s="20" t="str">
        <f>_xlfn.XLOOKUP(Table47[[#This Row],[Type]],kits!C:C,kits!D:D,"",0)</f>
        <v>boxcontentlabel_template_outbound1.docx</v>
      </c>
    </row>
    <row r="40" spans="2:30" ht="14.1" customHeight="1" x14ac:dyDescent="0.25">
      <c r="B40" s="13">
        <v>73</v>
      </c>
      <c r="C40" s="14" t="s">
        <v>1271</v>
      </c>
      <c r="D40" s="13">
        <v>1</v>
      </c>
      <c r="E40" s="83">
        <v>45854</v>
      </c>
      <c r="F40" s="34">
        <f>_xlfn.LET(
    _xlpm.baseDate, Table47[[#This Row],[Confirmed Sampling Date]] - 14,
    _xlpm.weekdayNum, WEEKDAY(_xlpm.baseDate, 2),
    IF(_xlpm.weekdayNum = 6, _xlpm.baseDate + 2, IF(_xlpm.weekdayNum = 7, _xlpm.baseDate + 1, _xlpm.baseDate))
)</f>
        <v>45840</v>
      </c>
      <c r="G40" s="20">
        <f>IFERROR(WEEKNUM(Table47[[#This Row],[Shipping Date (SD-14)]]),"TBD")</f>
        <v>27</v>
      </c>
      <c r="H40" s="20" t="str">
        <f>IFERROR(TEXT(Table47[[#This Row],[Shipping Date (SD-14)]],"yyyy-mm"),"TBD")</f>
        <v>2025-07</v>
      </c>
      <c r="I40" s="13" t="s">
        <v>680</v>
      </c>
      <c r="J40" s="13" t="str">
        <f>IFERROR(VLOOKUP(Table47[[#This Row],[ToSite-UPSName]],Table1[[#All],[Company or Name]:[Delivery Address]],15,FALSE),"")</f>
        <v>Rome WWTP</v>
      </c>
      <c r="K40" s="20" t="str">
        <f>IFERROR(VLOOKUP(Table47[[#This Row],[ToSite-UPSName]],Table1[[#All],[Company or Name]:[Delivery Address]],16,FALSE),"")</f>
        <v>-</v>
      </c>
      <c r="L40" s="13" t="str">
        <f>IFERROR(VLOOKUP(Table47[[#This Row],[ToSite-UPSName]],Table1[[#All],[Company or Name]:[Delivery Address]],17,FALSE),"")</f>
        <v>-</v>
      </c>
      <c r="M40" s="20" t="str">
        <f>IFERROR(VLOOKUP(Table47[[#This Row],[ToSite-UPSName]],Table1[[#All],[Company or Name]:[Delivery Address]],18,FALSE),"")</f>
        <v>-</v>
      </c>
      <c r="N40" s="20" t="str">
        <f>IFERROR(VLOOKUP(Table47[[#This Row],[ToSite-UPSName]],Table1[[#All],[Company or Name]:[Delivery Address]],19,FALSE),"")</f>
        <v>-</v>
      </c>
      <c r="O40" s="13"/>
      <c r="P40" s="13" t="s">
        <v>692</v>
      </c>
      <c r="Q40" s="13" t="s">
        <v>946</v>
      </c>
      <c r="R40" s="20"/>
      <c r="S40" s="101" t="s">
        <v>134</v>
      </c>
      <c r="T40" s="101" t="s">
        <v>894</v>
      </c>
      <c r="U40" s="13" t="s">
        <v>125</v>
      </c>
      <c r="V40" s="13" t="s">
        <v>856</v>
      </c>
      <c r="X40" s="13"/>
      <c r="Y40" s="20" t="str">
        <f>TEXT(Table47[[#This Row],[Confirmed Sampling Date]], "yyyy") &amp; "_" &amp; TEXT(Table47[[#This Row],[Confirmed Sampling Date]], "mm") &amp; "_" &amp; TEXT(Table47[[#This Row],[Confirmed Sampling Date]], "dd")</f>
        <v>2025_07_16</v>
      </c>
      <c r="Z40" s="20" t="str">
        <f>IFERROR(LEFT(J40, FIND(" ", J40) - 1), J40)</f>
        <v>Rome</v>
      </c>
      <c r="AA40" s="20" t="str">
        <f>VLOOKUP(Table47[[#This Row],[ToSite-UPSName]],Table1[[Company or Name]:[NOTES]],2,FALSE)</f>
        <v>Italy</v>
      </c>
      <c r="AB40" s="20" t="str">
        <f>IFERROR(VLOOKUP(Table47[[#This Row],[ToSite-UPSName]], Table1[[#All],[Company or Name]:[Delivery Address]],20,FALSE),"")</f>
        <v>Via dell'Equitazione 10, Rome, 00144, Italy</v>
      </c>
      <c r="AC40" s="20" t="str">
        <f>TEXT(Table47[[#This Row],[Shipping Date (SD-14)]]+3,"YYYY-MM-DD")</f>
        <v>2025-07-05</v>
      </c>
      <c r="AD40" s="20" t="str">
        <f>_xlfn.XLOOKUP(Table47[[#This Row],[Type]],kits!C:C,kits!D:D,"",0)</f>
        <v>boxcontentlabel_template_outbound1.docx</v>
      </c>
    </row>
    <row r="41" spans="2:30" ht="14.1" customHeight="1" x14ac:dyDescent="0.25">
      <c r="B41" s="13">
        <v>87</v>
      </c>
      <c r="C41" s="14" t="s">
        <v>1271</v>
      </c>
      <c r="D41" s="13">
        <v>1</v>
      </c>
      <c r="E41" s="22">
        <v>45854</v>
      </c>
      <c r="F41" s="34">
        <f>_xlfn.LET(
    _xlpm.baseDate, Table47[[#This Row],[Confirmed Sampling Date]] - 14,
    _xlpm.weekdayNum, WEEKDAY(_xlpm.baseDate, 2),
    IF(_xlpm.weekdayNum = 6, _xlpm.baseDate + 2, IF(_xlpm.weekdayNum = 7, _xlpm.baseDate + 1, _xlpm.baseDate))
)</f>
        <v>45840</v>
      </c>
      <c r="G41" s="20">
        <f>IFERROR(WEEKNUM(Table47[[#This Row],[Shipping Date (SD-14)]]),"TBD")</f>
        <v>27</v>
      </c>
      <c r="H41" s="20" t="str">
        <f>IFERROR(TEXT(Table47[[#This Row],[Shipping Date (SD-14)]],"yyyy-mm"),"TBD")</f>
        <v>2025-07</v>
      </c>
      <c r="I41" s="13" t="s">
        <v>771</v>
      </c>
      <c r="J41" s="20" t="str">
        <f>IFERROR(VLOOKUP(Table47[[#This Row],[ToSite-UPSName]],Table1[[#All],[Company or Name]:[Delivery Address]],15,FALSE),"")</f>
        <v>RomeAirport</v>
      </c>
      <c r="K41" s="20" t="str">
        <f>IFERROR(VLOOKUP(Table47[[#This Row],[ToSite-UPSName]],Table1[[#All],[Company or Name]:[Delivery Address]],16,FALSE),"")</f>
        <v>-</v>
      </c>
      <c r="L41" s="13" t="str">
        <f>IFERROR(VLOOKUP(Table47[[#This Row],[ToSite-UPSName]],Table1[[#All],[Company or Name]:[Delivery Address]],17,FALSE),"")</f>
        <v>-</v>
      </c>
      <c r="M41" s="20" t="str">
        <f>IFERROR(VLOOKUP(Table47[[#This Row],[ToSite-UPSName]],Table1[[#All],[Company or Name]:[Delivery Address]],18,FALSE),"")</f>
        <v>-</v>
      </c>
      <c r="N41" s="20" t="str">
        <f>IFERROR(VLOOKUP(Table47[[#This Row],[ToSite-UPSName]],Table1[[#All],[Company or Name]:[Delivery Address]],19,FALSE),"")</f>
        <v>-</v>
      </c>
      <c r="O41" s="13"/>
      <c r="P41" s="13" t="s">
        <v>692</v>
      </c>
      <c r="Q41" s="13" t="s">
        <v>946</v>
      </c>
      <c r="R41" s="20"/>
      <c r="S41" s="65" t="s">
        <v>134</v>
      </c>
      <c r="T41" s="65" t="s">
        <v>895</v>
      </c>
      <c r="U41" s="13" t="s">
        <v>125</v>
      </c>
      <c r="V41" s="13" t="s">
        <v>856</v>
      </c>
      <c r="X41" s="13"/>
      <c r="Y41" s="20" t="str">
        <f>TEXT(Table47[[#This Row],[Confirmed Sampling Date]], "yyyy") &amp; "_" &amp; TEXT(Table47[[#This Row],[Confirmed Sampling Date]], "mm") &amp; "_" &amp; TEXT(Table47[[#This Row],[Confirmed Sampling Date]], "dd")</f>
        <v>2025_07_16</v>
      </c>
      <c r="Z41" s="20" t="str">
        <f>IFERROR(LEFT(J41, FIND(" ", J41) - 1), J41)</f>
        <v>RomeAirport</v>
      </c>
      <c r="AA41" s="20" t="str">
        <f>VLOOKUP(Table47[[#This Row],[ToSite-UPSName]],Table1[[Company or Name]:[NOTES]],2,FALSE)</f>
        <v>Italy</v>
      </c>
      <c r="AB41" s="20" t="str">
        <f>IFERROR(VLOOKUP(Table47[[#This Row],[ToSite-UPSName]], Table1[[#All],[Company or Name]:[Delivery Address]],20,FALSE),"")</f>
        <v>VIA FRATELLI WRIGHT (DEPURATORE BIOLOGICO), FIUMICINO, 00054, Italy</v>
      </c>
      <c r="AC41" s="20" t="str">
        <f>TEXT(Table47[[#This Row],[Shipping Date (SD-14)]]+3,"YYYY-MM-DD")</f>
        <v>2025-07-05</v>
      </c>
      <c r="AD41" s="20" t="str">
        <f>_xlfn.XLOOKUP(Table47[[#This Row],[Type]],kits!C:C,kits!D:D,"",0)</f>
        <v>boxcontentlabel_template_outbound1.docx</v>
      </c>
    </row>
    <row r="42" spans="2:30" ht="14.1" customHeight="1" x14ac:dyDescent="0.25">
      <c r="B42" s="13">
        <v>137</v>
      </c>
      <c r="C42" s="14" t="s">
        <v>1271</v>
      </c>
      <c r="D42" s="13">
        <v>3</v>
      </c>
      <c r="E42" s="83">
        <v>45860</v>
      </c>
      <c r="F42" s="34">
        <f>_xlfn.LET(
    _xlpm.baseDate, Table47[[#This Row],[Confirmed Sampling Date]] - 14,
    _xlpm.weekdayNum, WEEKDAY(_xlpm.baseDate, 2),
    IF(_xlpm.weekdayNum = 6, _xlpm.baseDate + 2, IF(_xlpm.weekdayNum = 7, _xlpm.baseDate + 1, _xlpm.baseDate))
)</f>
        <v>45846</v>
      </c>
      <c r="G42" s="20">
        <f>IFERROR(WEEKNUM(Table47[[#This Row],[Shipping Date (SD-14)]]),"TBD")</f>
        <v>28</v>
      </c>
      <c r="H42" s="20" t="str">
        <f>IFERROR(TEXT(Table47[[#This Row],[Shipping Date (SD-14)]],"yyyy-mm"),"TBD")</f>
        <v>2025-07</v>
      </c>
      <c r="I42" s="13" t="s">
        <v>975</v>
      </c>
      <c r="J42" s="20" t="str">
        <f>IFERROR(VLOOKUP(Table47[[#This Row],[ToSite-UPSName]],Table1[[#All],[Company or Name]:[Delivery Address]],15,FALSE),"")</f>
        <v>Vilnius WWTP</v>
      </c>
      <c r="K42" s="20" t="str">
        <f>IFERROR(VLOOKUP(Table47[[#This Row],[ToSite-UPSName]],Table1[[#All],[Company or Name]:[Delivery Address]],16,FALSE),"")</f>
        <v>Vilnius Bus Terminal</v>
      </c>
      <c r="L42" s="20"/>
      <c r="M42" s="20">
        <f>IFERROR(VLOOKUP(Table47[[#This Row],[ToSite-UPSName]],Table1[[#All],[Company or Name]:[Delivery Address]],18,FALSE),"")</f>
        <v>0</v>
      </c>
      <c r="N42" s="20">
        <f>IFERROR(VLOOKUP(Table47[[#This Row],[ToSite-UPSName]],Table1[[#All],[Company or Name]:[Delivery Address]],19,FALSE),"")</f>
        <v>0</v>
      </c>
      <c r="O42" s="13"/>
      <c r="P42" s="20" t="s">
        <v>692</v>
      </c>
      <c r="Q42" s="20" t="s">
        <v>833</v>
      </c>
      <c r="R42" s="20"/>
      <c r="S42" s="101" t="s">
        <v>813</v>
      </c>
      <c r="T42" s="101" t="s">
        <v>978</v>
      </c>
      <c r="U42" s="13" t="s">
        <v>125</v>
      </c>
      <c r="V42" s="13" t="s">
        <v>856</v>
      </c>
      <c r="X42" s="13"/>
      <c r="Y42" s="20" t="str">
        <f>TEXT(Table47[[#This Row],[Confirmed Sampling Date]], "yyyy") &amp; "_" &amp; TEXT(Table47[[#This Row],[Confirmed Sampling Date]], "mm") &amp; "_" &amp; TEXT(Table47[[#This Row],[Confirmed Sampling Date]], "dd")</f>
        <v>2025_07_22</v>
      </c>
      <c r="Z42" s="20" t="str">
        <f>IFERROR(LEFT(J42, FIND(" ", J42) - 1), J42)</f>
        <v>Vilnius</v>
      </c>
      <c r="AA42" s="20" t="str">
        <f>VLOOKUP(Table47[[#This Row],[ToSite-UPSName]],Table1[[Company or Name]:[NOTES]],2,FALSE)</f>
        <v>Lithuania</v>
      </c>
      <c r="AB42" s="20" t="str">
        <f>IFERROR(VLOOKUP(Table47[[#This Row],[ToSite-UPSName]], Table1[[#All],[Company or Name]:[Delivery Address]],20,FALSE),"")</f>
        <v>Zolyno 36 gatve, Vilnius, 10210, Lithuania</v>
      </c>
      <c r="AC42" s="20" t="str">
        <f>TEXT(Table47[[#This Row],[Shipping Date (SD-14)]]+3,"YYYY-MM-DD")</f>
        <v>2025-07-11</v>
      </c>
      <c r="AD42" s="20" t="str">
        <f>_xlfn.XLOOKUP(Table47[[#This Row],[Type]],kits!C:C,kits!D:D,"",0)</f>
        <v>boxcontentlabel_template_outbound1.docx</v>
      </c>
    </row>
    <row r="43" spans="2:30" ht="14.1" customHeight="1" x14ac:dyDescent="0.25">
      <c r="B43" s="13">
        <v>58</v>
      </c>
      <c r="C43" s="14" t="s">
        <v>1271</v>
      </c>
      <c r="D43" s="13">
        <v>1</v>
      </c>
      <c r="E43" s="22">
        <v>45864</v>
      </c>
      <c r="F43" s="34">
        <f>_xlfn.LET(
    _xlpm.baseDate, Table47[[#This Row],[Confirmed Sampling Date]] - 14,
    _xlpm.weekdayNum, WEEKDAY(_xlpm.baseDate, 2),
    IF(_xlpm.weekdayNum = 6, _xlpm.baseDate + 2, IF(_xlpm.weekdayNum = 7, _xlpm.baseDate + 1, _xlpm.baseDate))
)</f>
        <v>45852</v>
      </c>
      <c r="G43" s="13">
        <f>IFERROR(WEEKNUM(Table47[[#This Row],[Shipping Date (SD-14)]]),"TBD")</f>
        <v>29</v>
      </c>
      <c r="H43" s="13" t="str">
        <f>IFERROR(TEXT(Table47[[#This Row],[Shipping Date (SD-14)]],"yyyy-mm"),"TBD")</f>
        <v>2025-07</v>
      </c>
      <c r="I43" s="13" t="s">
        <v>33</v>
      </c>
      <c r="J43" s="13" t="str">
        <f>IFERROR(VLOOKUP(Table47[[#This Row],[ToSite-UPSName]],Table1[[#All],[Company or Name]:[Delivery Address]],15,FALSE),"")</f>
        <v>Osaka Expo</v>
      </c>
      <c r="K43" s="13" t="str">
        <f>IFERROR(VLOOKUP(Table47[[#This Row],[ToSite-UPSName]],Table1[[#All],[Company or Name]:[Delivery Address]],16,FALSE),"")</f>
        <v>-</v>
      </c>
      <c r="L43" s="13" t="str">
        <f>IFERROR(VLOOKUP(Table47[[#This Row],[ToSite-UPSName]],Table1[[#All],[Company or Name]:[Delivery Address]],17,FALSE),"")</f>
        <v>-</v>
      </c>
      <c r="M43" s="13" t="str">
        <f>IFERROR(VLOOKUP(Table47[[#This Row],[ToSite-UPSName]],Table1[[#All],[Company or Name]:[Delivery Address]],18,FALSE),"")</f>
        <v>-</v>
      </c>
      <c r="N43" s="13" t="str">
        <f>IFERROR(VLOOKUP(Table47[[#This Row],[ToSite-UPSName]],Table1[[#All],[Company or Name]:[Delivery Address]],19,FALSE),"")</f>
        <v>-</v>
      </c>
      <c r="O43" s="13"/>
      <c r="P43" s="13" t="s">
        <v>639</v>
      </c>
      <c r="Q43" s="13" t="s">
        <v>813</v>
      </c>
      <c r="R43" s="13"/>
      <c r="S43" s="13" t="s">
        <v>813</v>
      </c>
      <c r="T43" s="13" t="s">
        <v>1003</v>
      </c>
      <c r="U43" s="13" t="s">
        <v>125</v>
      </c>
      <c r="V43" s="13" t="s">
        <v>856</v>
      </c>
      <c r="X43" s="13"/>
      <c r="Y43" s="20" t="str">
        <f>TEXT(Table47[[#This Row],[Confirmed Sampling Date]], "yyyy") &amp; "_" &amp; TEXT(Table47[[#This Row],[Confirmed Sampling Date]], "mm") &amp; "_" &amp; TEXT(Table47[[#This Row],[Confirmed Sampling Date]], "dd")</f>
        <v>2025_07_26</v>
      </c>
      <c r="Z43" s="20" t="str">
        <f>IFERROR(LEFT(J43, FIND(" ", J43) - 1), J43)</f>
        <v>Osaka</v>
      </c>
      <c r="AA43" s="20" t="str">
        <f>VLOOKUP(Table47[[#This Row],[ToSite-UPSName]],Table1[[Company or Name]:[NOTES]],2,FALSE)</f>
        <v>Japan</v>
      </c>
      <c r="AB43" s="20" t="str">
        <f>IFERROR(VLOOKUP(Table47[[#This Row],[ToSite-UPSName]], Table1[[#All],[Company or Name]:[Delivery Address]],20,FALSE),"")</f>
        <v>1-3-3 Nakamichi, Higashinari-ku, Osaka, 537-0025, Japan</v>
      </c>
      <c r="AC43" s="20" t="str">
        <f>TEXT(Table47[[#This Row],[Shipping Date (SD-14)]]+3,"YYYY-MM-DD")</f>
        <v>2025-07-17</v>
      </c>
      <c r="AD43" s="20" t="str">
        <f>_xlfn.XLOOKUP(Table47[[#This Row],[Type]],kits!C:C,kits!D:D,"",0)</f>
        <v>boxcontentlabel_template_outbound1.docx</v>
      </c>
    </row>
    <row r="44" spans="2:30" ht="14.1" customHeight="1" x14ac:dyDescent="0.25">
      <c r="B44" s="13">
        <v>5</v>
      </c>
      <c r="C44" s="14" t="s">
        <v>1271</v>
      </c>
      <c r="D44" s="13">
        <v>2</v>
      </c>
      <c r="E44" s="34">
        <v>45872</v>
      </c>
      <c r="F44" s="34">
        <f>_xlfn.LET(
    _xlpm.baseDate, Table47[[#This Row],[Confirmed Sampling Date]] - 14,
    _xlpm.weekdayNum, WEEKDAY(_xlpm.baseDate, 2),
    IF(_xlpm.weekdayNum = 6, _xlpm.baseDate + 2, IF(_xlpm.weekdayNum = 7, _xlpm.baseDate + 1, _xlpm.baseDate))
)</f>
        <v>45859</v>
      </c>
      <c r="G44" s="13">
        <f>IFERROR(WEEKNUM(Table47[[#This Row],[Shipping Date (SD-14)]]),"TBD")</f>
        <v>30</v>
      </c>
      <c r="H44" s="13" t="str">
        <f>IFERROR(TEXT(Table47[[#This Row],[Shipping Date (SD-14)]],"yyyy-mm"),"TBD")</f>
        <v>2025-07</v>
      </c>
      <c r="I44" s="13" t="s">
        <v>13</v>
      </c>
      <c r="J44" s="13" t="str">
        <f>IFERROR(VLOOKUP(Table47[[#This Row],[ToSite-UPSName]],Table1[[#All],[Company or Name]:[Delivery Address]],15,FALSE),"")</f>
        <v>Berlin (Schoenefeld) WWTP</v>
      </c>
      <c r="K44" s="13" t="str">
        <f>IFERROR(VLOOKUP(Table47[[#This Row],[ToSite-UPSName]],Table1[[#All],[Company or Name]:[Delivery Address]],16,FALSE),"")</f>
        <v>Berlin Airport</v>
      </c>
      <c r="L44" s="13" t="str">
        <f>IFERROR(VLOOKUP(Table47[[#This Row],[ToSite-UPSName]],Table1[[#All],[Company or Name]:[Delivery Address]],17,FALSE),"")</f>
        <v>-</v>
      </c>
      <c r="M44" s="13" t="str">
        <f>IFERROR(VLOOKUP(Table47[[#This Row],[ToSite-UPSName]],Table1[[#All],[Company or Name]:[Delivery Address]],18,FALSE),"")</f>
        <v>-</v>
      </c>
      <c r="N44" s="13" t="str">
        <f>IFERROR(VLOOKUP(Table47[[#This Row],[ToSite-UPSName]],Table1[[#All],[Company or Name]:[Delivery Address]],19,FALSE),"")</f>
        <v>-</v>
      </c>
      <c r="O44" s="13"/>
      <c r="P44" s="13"/>
      <c r="Q44" s="13"/>
      <c r="R44" s="13"/>
      <c r="S44" s="13" t="s">
        <v>1043</v>
      </c>
      <c r="T44" s="13" t="s">
        <v>1042</v>
      </c>
      <c r="U44" s="13" t="s">
        <v>125</v>
      </c>
      <c r="V44" s="13" t="s">
        <v>856</v>
      </c>
      <c r="X44" s="13"/>
      <c r="Y44" s="20" t="str">
        <f>TEXT(Table47[[#This Row],[Confirmed Sampling Date]], "yyyy") &amp; "_" &amp; TEXT(Table47[[#This Row],[Confirmed Sampling Date]], "mm") &amp; "_" &amp; TEXT(Table47[[#This Row],[Confirmed Sampling Date]], "dd")</f>
        <v>2025_08_03</v>
      </c>
      <c r="Z44" s="20" t="str">
        <f>IFERROR(LEFT(J44, FIND(" ", J44) - 1), J44)</f>
        <v>Berlin</v>
      </c>
      <c r="AA44" s="20" t="str">
        <f>VLOOKUP(Table47[[#This Row],[ToSite-UPSName]],Table1[[Company or Name]:[NOTES]],2,FALSE)</f>
        <v>Germany</v>
      </c>
      <c r="AB44" s="20" t="str">
        <f>IFERROR(VLOOKUP(Table47[[#This Row],[ToSite-UPSName]], Table1[[#All],[Company or Name]:[Delivery Address]],20,FALSE),"")</f>
        <v>Strasse am Klarwerk 4, Klarwerk Wassmannsdorf, Schoenefeld, 12529, Germany</v>
      </c>
      <c r="AC44" s="20" t="str">
        <f>TEXT(Table47[[#This Row],[Shipping Date (SD-14)]]+3,"YYYY-MM-DD")</f>
        <v>2025-07-24</v>
      </c>
      <c r="AD44" s="20" t="str">
        <f>_xlfn.XLOOKUP(Table47[[#This Row],[Type]],kits!C:C,kits!D:D,"",0)</f>
        <v>boxcontentlabel_template_outbound1.docx</v>
      </c>
    </row>
    <row r="45" spans="2:30" ht="14.1" customHeight="1" x14ac:dyDescent="0.25">
      <c r="B45" s="13">
        <v>46</v>
      </c>
      <c r="C45" s="14" t="s">
        <v>1271</v>
      </c>
      <c r="D45" s="13">
        <v>2</v>
      </c>
      <c r="E45" s="83">
        <v>45873</v>
      </c>
      <c r="F45" s="34">
        <f>_xlfn.LET(
    _xlpm.baseDate, Table47[[#This Row],[Confirmed Sampling Date]] - 14,
    _xlpm.weekdayNum, WEEKDAY(_xlpm.baseDate, 2),
    IF(_xlpm.weekdayNum = 6, _xlpm.baseDate + 2, IF(_xlpm.weekdayNum = 7, _xlpm.baseDate + 1, _xlpm.baseDate))
)</f>
        <v>45859</v>
      </c>
      <c r="G45" s="13">
        <f>IFERROR(WEEKNUM(Table47[[#This Row],[Shipping Date (SD-14)]]),"TBD")</f>
        <v>30</v>
      </c>
      <c r="H45" s="13" t="str">
        <f>IFERROR(TEXT(Table47[[#This Row],[Shipping Date (SD-14)]],"yyyy-mm"),"TBD")</f>
        <v>2025-07</v>
      </c>
      <c r="I45" s="13" t="s">
        <v>364</v>
      </c>
      <c r="J45" s="13" t="str">
        <f>IFERROR(VLOOKUP(Table47[[#This Row],[ToSite-UPSName]],Table1[[#All],[Company or Name]:[Delivery Address]],15,FALSE),"")</f>
        <v>Brussels WWTP</v>
      </c>
      <c r="K45" s="13" t="str">
        <f>IFERROR(VLOOKUP(Table47[[#This Row],[ToSite-UPSName]],Table1[[#All],[Company or Name]:[Delivery Address]],16,FALSE),"")</f>
        <v>Brussels Airport</v>
      </c>
      <c r="L45" s="13" t="str">
        <f>IFERROR(VLOOKUP(Table47[[#This Row],[ToSite-UPSName]],Table1[[#All],[Company or Name]:[Delivery Address]],17,FALSE),"")</f>
        <v>-</v>
      </c>
      <c r="M45" s="13" t="str">
        <f>IFERROR(VLOOKUP(Table47[[#This Row],[ToSite-UPSName]],Table1[[#All],[Company or Name]:[Delivery Address]],18,FALSE),"")</f>
        <v>-</v>
      </c>
      <c r="N45" s="13" t="str">
        <f>IFERROR(VLOOKUP(Table47[[#This Row],[ToSite-UPSName]],Table1[[#All],[Company or Name]:[Delivery Address]],19,FALSE),"")</f>
        <v>-</v>
      </c>
      <c r="O45" s="13"/>
      <c r="P45" s="13"/>
      <c r="Q45" s="13"/>
      <c r="R45" s="13"/>
      <c r="S45" s="13" t="s">
        <v>1043</v>
      </c>
      <c r="T45" s="13" t="s">
        <v>1044</v>
      </c>
      <c r="U45" s="13" t="s">
        <v>125</v>
      </c>
      <c r="V45" s="13" t="s">
        <v>856</v>
      </c>
      <c r="X45" s="13"/>
      <c r="Y45" s="20" t="str">
        <f>TEXT(Table47[[#This Row],[Confirmed Sampling Date]], "yyyy") &amp; "_" &amp; TEXT(Table47[[#This Row],[Confirmed Sampling Date]], "mm") &amp; "_" &amp; TEXT(Table47[[#This Row],[Confirmed Sampling Date]], "dd")</f>
        <v>2025_08_04</v>
      </c>
      <c r="Z45" s="20" t="str">
        <f>IFERROR(LEFT(J45, FIND(" ", J45) - 1), J45)</f>
        <v>Brussels</v>
      </c>
      <c r="AA45" s="20" t="str">
        <f>VLOOKUP(Table47[[#This Row],[ToSite-UPSName]],Table1[[Company or Name]:[NOTES]],2,FALSE)</f>
        <v>Belgium</v>
      </c>
      <c r="AB45" s="20" t="str">
        <f>IFERROR(VLOOKUP(Table47[[#This Row],[ToSite-UPSName]], Table1[[#All],[Company or Name]:[Delivery Address]],20,FALSE),"")</f>
        <v>Rue Juliette Wytsmanstraat 14, Brussels, 1050, Belgium</v>
      </c>
      <c r="AC45" s="20" t="str">
        <f>TEXT(Table47[[#This Row],[Shipping Date (SD-14)]]+3,"YYYY-MM-DD")</f>
        <v>2025-07-24</v>
      </c>
      <c r="AD45" s="20" t="str">
        <f>_xlfn.XLOOKUP(Table47[[#This Row],[Type]],kits!C:C,kits!D:D,"",0)</f>
        <v>boxcontentlabel_template_outbound1.docx</v>
      </c>
    </row>
    <row r="46" spans="2:30" ht="14.1" customHeight="1" x14ac:dyDescent="0.25">
      <c r="B46" s="13">
        <v>19</v>
      </c>
      <c r="C46" s="14" t="s">
        <v>1271</v>
      </c>
      <c r="D46" s="13">
        <v>2</v>
      </c>
      <c r="E46" s="83">
        <v>45874</v>
      </c>
      <c r="F46" s="34">
        <f>_xlfn.LET(
    _xlpm.baseDate, Table47[[#This Row],[Confirmed Sampling Date]] - 14,
    _xlpm.weekdayNum, WEEKDAY(_xlpm.baseDate, 2),
    IF(_xlpm.weekdayNum = 6, _xlpm.baseDate + 2, IF(_xlpm.weekdayNum = 7, _xlpm.baseDate + 1, _xlpm.baseDate))
)</f>
        <v>45860</v>
      </c>
      <c r="G46" s="13">
        <f>IFERROR(WEEKNUM(Table47[[#This Row],[Shipping Date (SD-14)]]),"TBD")</f>
        <v>30</v>
      </c>
      <c r="H46" s="13" t="str">
        <f>IFERROR(TEXT(Table47[[#This Row],[Shipping Date (SD-14)]],"yyyy-mm"),"TBD")</f>
        <v>2025-07</v>
      </c>
      <c r="I46" s="13" t="s">
        <v>19</v>
      </c>
      <c r="J46" s="13" t="str">
        <f>IFERROR(VLOOKUP(Table47[[#This Row],[ToSite-UPSName]],Table1[[#All],[Company or Name]:[Delivery Address]],15,FALSE),"")</f>
        <v>Munich WWTP</v>
      </c>
      <c r="K46" s="13" t="str">
        <f>IFERROR(VLOOKUP(Table47[[#This Row],[ToSite-UPSName]],Table1[[#All],[Company or Name]:[Delivery Address]],16,FALSE),"")</f>
        <v>Munich Airport</v>
      </c>
      <c r="L46" s="13" t="str">
        <f>IFERROR(VLOOKUP(Table47[[#This Row],[ToSite-UPSName]],Table1[[#All],[Company or Name]:[Delivery Address]],17,FALSE),"")</f>
        <v>-</v>
      </c>
      <c r="M46" s="13" t="str">
        <f>IFERROR(VLOOKUP(Table47[[#This Row],[ToSite-UPSName]],Table1[[#All],[Company or Name]:[Delivery Address]],18,FALSE),"")</f>
        <v>-</v>
      </c>
      <c r="N46" s="13" t="str">
        <f>IFERROR(VLOOKUP(Table47[[#This Row],[ToSite-UPSName]],Table1[[#All],[Company or Name]:[Delivery Address]],19,FALSE),"")</f>
        <v>-</v>
      </c>
      <c r="O46" s="13"/>
      <c r="P46" s="13"/>
      <c r="Q46" s="13"/>
      <c r="R46" s="13"/>
      <c r="S46" s="13" t="s">
        <v>1043</v>
      </c>
      <c r="T46" s="13" t="s">
        <v>1045</v>
      </c>
      <c r="U46" s="13" t="s">
        <v>125</v>
      </c>
      <c r="V46" s="13" t="s">
        <v>856</v>
      </c>
      <c r="X46" s="13"/>
      <c r="Y46" s="20" t="str">
        <f>TEXT(Table47[[#This Row],[Confirmed Sampling Date]], "yyyy") &amp; "_" &amp; TEXT(Table47[[#This Row],[Confirmed Sampling Date]], "mm") &amp; "_" &amp; TEXT(Table47[[#This Row],[Confirmed Sampling Date]], "dd")</f>
        <v>2025_08_05</v>
      </c>
      <c r="Z46" s="20" t="str">
        <f>IFERROR(LEFT(J46, FIND(" ", J46) - 1), J46)</f>
        <v>Munich</v>
      </c>
      <c r="AA46" s="20" t="str">
        <f>VLOOKUP(Table47[[#This Row],[ToSite-UPSName]],Table1[[Company or Name]:[NOTES]],2,FALSE)</f>
        <v>Germany</v>
      </c>
      <c r="AB46" s="20" t="str">
        <f>IFERROR(VLOOKUP(Table47[[#This Row],[ToSite-UPSName]], Table1[[#All],[Company or Name]:[Delivery Address]],20,FALSE),"")</f>
        <v>Leopoldstrasse 5, Institut fuer Infektions- und Tropenmedizin, Munich, 80802, Germany</v>
      </c>
      <c r="AC46" s="20" t="str">
        <f>TEXT(Table47[[#This Row],[Shipping Date (SD-14)]]+3,"YYYY-MM-DD")</f>
        <v>2025-07-25</v>
      </c>
      <c r="AD46" s="20" t="str">
        <f>_xlfn.XLOOKUP(Table47[[#This Row],[Type]],kits!C:C,kits!D:D,"",0)</f>
        <v>boxcontentlabel_template_outbound1.docx</v>
      </c>
    </row>
    <row r="47" spans="2:30" ht="14.1" customHeight="1" x14ac:dyDescent="0.25">
      <c r="B47" s="13">
        <v>33</v>
      </c>
      <c r="C47" s="14" t="s">
        <v>1271</v>
      </c>
      <c r="D47" s="13">
        <v>1</v>
      </c>
      <c r="E47" s="34">
        <v>45874</v>
      </c>
      <c r="F47" s="34">
        <f>_xlfn.LET(
    _xlpm.baseDate, Table47[[#This Row],[Confirmed Sampling Date]] - 14,
    _xlpm.weekdayNum, WEEKDAY(_xlpm.baseDate, 2),
    IF(_xlpm.weekdayNum = 6, _xlpm.baseDate + 2, IF(_xlpm.weekdayNum = 7, _xlpm.baseDate + 1, _xlpm.baseDate))
)</f>
        <v>45860</v>
      </c>
      <c r="G47" s="13">
        <f>IFERROR(WEEKNUM(Table47[[#This Row],[Shipping Date (SD-14)]]),"TBD")</f>
        <v>30</v>
      </c>
      <c r="H47" s="13" t="str">
        <f>IFERROR(TEXT(Table47[[#This Row],[Shipping Date (SD-14)]],"yyyy-mm"),"TBD")</f>
        <v>2025-07</v>
      </c>
      <c r="I47" s="13" t="s">
        <v>677</v>
      </c>
      <c r="J47" s="13" t="str">
        <f>IFERROR(VLOOKUP(Table47[[#This Row],[ToSite-UPSName]],Table1[[#All],[Company or Name]:[Delivery Address]],15,FALSE),"")</f>
        <v>Frankfurt WWTP</v>
      </c>
      <c r="K47" s="13" t="str">
        <f>IFERROR(VLOOKUP(Table47[[#This Row],[ToSite-UPSName]],Table1[[#All],[Company or Name]:[Delivery Address]],16,FALSE),"")</f>
        <v>Frankfurt Airport</v>
      </c>
      <c r="L47" s="13" t="str">
        <f>IFERROR(VLOOKUP(Table47[[#This Row],[ToSite-UPSName]],Table1[[#All],[Company or Name]:[Delivery Address]],17,FALSE),"")</f>
        <v>-</v>
      </c>
      <c r="M47" s="13" t="str">
        <f>IFERROR(VLOOKUP(Table47[[#This Row],[ToSite-UPSName]],Table1[[#All],[Company or Name]:[Delivery Address]],18,FALSE),"")</f>
        <v>-</v>
      </c>
      <c r="N47" s="13" t="str">
        <f>IFERROR(VLOOKUP(Table47[[#This Row],[ToSite-UPSName]],Table1[[#All],[Company or Name]:[Delivery Address]],19,FALSE),"")</f>
        <v>-</v>
      </c>
      <c r="O47" s="13"/>
      <c r="P47" s="13"/>
      <c r="Q47" s="13"/>
      <c r="R47" s="13"/>
      <c r="S47" s="13" t="s">
        <v>1043</v>
      </c>
      <c r="T47" s="13" t="s">
        <v>1046</v>
      </c>
      <c r="U47" s="13" t="s">
        <v>125</v>
      </c>
      <c r="V47" s="13" t="s">
        <v>856</v>
      </c>
      <c r="X47" s="13"/>
      <c r="Y47" s="20" t="str">
        <f>TEXT(Table47[[#This Row],[Confirmed Sampling Date]], "yyyy") &amp; "_" &amp; TEXT(Table47[[#This Row],[Confirmed Sampling Date]], "mm") &amp; "_" &amp; TEXT(Table47[[#This Row],[Confirmed Sampling Date]], "dd")</f>
        <v>2025_08_05</v>
      </c>
      <c r="Z47" s="20" t="str">
        <f>IFERROR(LEFT(J47, FIND(" ", J47) - 1), J47)</f>
        <v>Frankfurt</v>
      </c>
      <c r="AA47" s="20" t="str">
        <f>VLOOKUP(Table47[[#This Row],[ToSite-UPSName]],Table1[[Company or Name]:[NOTES]],2,FALSE)</f>
        <v>Germany</v>
      </c>
      <c r="AB47" s="20" t="str">
        <f>IFERROR(VLOOKUP(Table47[[#This Row],[ToSite-UPSName]], Table1[[#All],[Company or Name]:[Delivery Address]],20,FALSE),"")</f>
        <v>Goldsteinstraße 160, Gebäude 71 , Frankfurt am Main , 60528, Germany</v>
      </c>
      <c r="AC47" s="20" t="str">
        <f>TEXT(Table47[[#This Row],[Shipping Date (SD-14)]]+3,"YYYY-MM-DD")</f>
        <v>2025-07-25</v>
      </c>
      <c r="AD47" s="20" t="str">
        <f>_xlfn.XLOOKUP(Table47[[#This Row],[Type]],kits!C:C,kits!D:D,"",0)</f>
        <v>boxcontentlabel_template_outbound1.docx</v>
      </c>
    </row>
    <row r="48" spans="2:30" ht="14.1" customHeight="1" x14ac:dyDescent="0.25">
      <c r="B48" s="13">
        <v>101</v>
      </c>
      <c r="C48" s="14" t="s">
        <v>1271</v>
      </c>
      <c r="D48" s="13">
        <v>3</v>
      </c>
      <c r="E48" s="19">
        <v>45874</v>
      </c>
      <c r="F48" s="34">
        <f>_xlfn.LET(
    _xlpm.baseDate, Table47[[#This Row],[Confirmed Sampling Date]] - 14,
    _xlpm.weekdayNum, WEEKDAY(_xlpm.baseDate, 2),
    IF(_xlpm.weekdayNum = 6, _xlpm.baseDate + 2, IF(_xlpm.weekdayNum = 7, _xlpm.baseDate + 1, _xlpm.baseDate))
)</f>
        <v>45860</v>
      </c>
      <c r="G48" s="20">
        <f>IFERROR(WEEKNUM(Table47[[#This Row],[Shipping Date (SD-14)]]),"TBD")</f>
        <v>30</v>
      </c>
      <c r="H48" s="20" t="str">
        <f>IFERROR(TEXT(Table47[[#This Row],[Shipping Date (SD-14)]],"yyyy-mm"),"TBD")</f>
        <v>2025-07</v>
      </c>
      <c r="I48" s="13" t="s">
        <v>877</v>
      </c>
      <c r="J48" s="20" t="str">
        <f>IFERROR(VLOOKUP(Table47[[#This Row],[ToSite-UPSName]],Table1[[#All],[Company or Name]:[Delivery Address]],15,FALSE),"")</f>
        <v>Prague National Institute</v>
      </c>
      <c r="K48" s="20" t="str">
        <f>IFERROR(VLOOKUP(Table47[[#This Row],[ToSite-UPSName]],Table1[[#All],[Company or Name]:[Delivery Address]],16,FALSE),"")</f>
        <v>Prague WWTP FLOW 1</v>
      </c>
      <c r="L48" s="13" t="str">
        <f>IFERROR(VLOOKUP(Table47[[#This Row],[ToSite-UPSName]],Table1[[#All],[Company or Name]:[Delivery Address]],17,FALSE),"")</f>
        <v>Prague WWTP FLOW 2</v>
      </c>
      <c r="M48" s="20" t="str">
        <f>IFERROR(VLOOKUP(Table47[[#This Row],[ToSite-UPSName]],Table1[[#All],[Company or Name]:[Delivery Address]],18,FALSE),"")</f>
        <v>Prague Airport</v>
      </c>
      <c r="N48" s="20" t="str">
        <f>IFERROR(VLOOKUP(Table47[[#This Row],[ToSite-UPSName]],Table1[[#All],[Company or Name]:[Delivery Address]],19,FALSE),"")</f>
        <v>Prague Hospital</v>
      </c>
      <c r="O48" s="13"/>
      <c r="P48" s="20" t="s">
        <v>692</v>
      </c>
      <c r="Q48" s="20" t="s">
        <v>947</v>
      </c>
      <c r="R48" s="20"/>
      <c r="S48" s="65" t="s">
        <v>813</v>
      </c>
      <c r="T48" s="65" t="s">
        <v>1047</v>
      </c>
      <c r="U48" s="13" t="s">
        <v>125</v>
      </c>
      <c r="V48" s="13" t="s">
        <v>856</v>
      </c>
      <c r="X48" s="13"/>
      <c r="Y48" s="20" t="str">
        <f>TEXT(Table47[[#This Row],[Confirmed Sampling Date]], "yyyy") &amp; "_" &amp; TEXT(Table47[[#This Row],[Confirmed Sampling Date]], "mm") &amp; "_" &amp; TEXT(Table47[[#This Row],[Confirmed Sampling Date]], "dd")</f>
        <v>2025_08_05</v>
      </c>
      <c r="Z48" s="20" t="str">
        <f>IFERROR(LEFT(J48, FIND(" ", J48) - 1), J48)</f>
        <v>Prague</v>
      </c>
      <c r="AA48" s="20" t="str">
        <f>VLOOKUP(Table47[[#This Row],[ToSite-UPSName]],Table1[[Company or Name]:[NOTES]],2,FALSE)</f>
        <v>Czech Republic</v>
      </c>
      <c r="AB48" s="20" t="str">
        <f>IFERROR(VLOOKUP(Table47[[#This Row],[ToSite-UPSName]], Table1[[#All],[Company or Name]:[Delivery Address]],20,FALSE),"")</f>
        <v>Šrobárova 49/48, Státní zdravotní ústav, Praha, 100 00, Czech Republic</v>
      </c>
      <c r="AC48" s="20" t="str">
        <f>TEXT(Table47[[#This Row],[Shipping Date (SD-14)]]+3,"YYYY-MM-DD")</f>
        <v>2025-07-25</v>
      </c>
      <c r="AD48" s="20" t="str">
        <f>_xlfn.XLOOKUP(Table47[[#This Row],[Type]],kits!C:C,kits!D:D,"",0)</f>
        <v>boxcontentlabel_template_outbound1.docx</v>
      </c>
    </row>
    <row r="49" spans="2:30" ht="14.1" customHeight="1" x14ac:dyDescent="0.25">
      <c r="B49" s="13">
        <v>114</v>
      </c>
      <c r="C49" s="14" t="s">
        <v>1271</v>
      </c>
      <c r="D49" s="13">
        <v>2</v>
      </c>
      <c r="E49" s="19">
        <v>45874</v>
      </c>
      <c r="F49" s="34">
        <f>_xlfn.LET(
    _xlpm.baseDate, Table47[[#This Row],[Confirmed Sampling Date]] - 14,
    _xlpm.weekdayNum, WEEKDAY(_xlpm.baseDate, 2),
    IF(_xlpm.weekdayNum = 6, _xlpm.baseDate + 2, IF(_xlpm.weekdayNum = 7, _xlpm.baseDate + 1, _xlpm.baseDate))
)</f>
        <v>45860</v>
      </c>
      <c r="G49" s="20">
        <f>IFERROR(WEEKNUM(Table47[[#This Row],[Shipping Date (SD-14)]]),"TBD")</f>
        <v>30</v>
      </c>
      <c r="H49" s="20" t="str">
        <f>IFERROR(TEXT(Table47[[#This Row],[Shipping Date (SD-14)]],"yyyy-mm"),"TBD")</f>
        <v>2025-07</v>
      </c>
      <c r="I49" s="13" t="s">
        <v>779</v>
      </c>
      <c r="J49" s="20" t="str">
        <f>IFERROR(VLOOKUP(Table47[[#This Row],[ToSite-UPSName]],Table1[[#All],[Company or Name]:[Delivery Address]],15,FALSE),"")</f>
        <v>Larnaca WWTP</v>
      </c>
      <c r="K49" s="20" t="str">
        <f>IFERROR(VLOOKUP(Table47[[#This Row],[ToSite-UPSName]],Table1[[#All],[Company or Name]:[Delivery Address]],16,FALSE),"")</f>
        <v>Larnaca Airport</v>
      </c>
      <c r="L49" s="20"/>
      <c r="M49" s="20">
        <f>IFERROR(VLOOKUP(Table47[[#This Row],[ToSite-UPSName]],Table1[[#All],[Company or Name]:[Delivery Address]],18,FALSE),"")</f>
        <v>0</v>
      </c>
      <c r="N49" s="20">
        <f>IFERROR(VLOOKUP(Table47[[#This Row],[ToSite-UPSName]],Table1[[#All],[Company or Name]:[Delivery Address]],19,FALSE),"")</f>
        <v>0</v>
      </c>
      <c r="O49" s="13"/>
      <c r="P49" s="20" t="s">
        <v>692</v>
      </c>
      <c r="Q49" s="20" t="s">
        <v>1077</v>
      </c>
      <c r="R49" s="20"/>
      <c r="S49" s="20" t="s">
        <v>813</v>
      </c>
      <c r="T49" s="20" t="s">
        <v>1048</v>
      </c>
      <c r="U49" s="13" t="s">
        <v>125</v>
      </c>
      <c r="V49" s="20" t="s">
        <v>856</v>
      </c>
      <c r="W49" s="20"/>
      <c r="X49" s="13"/>
      <c r="Y49" s="20" t="str">
        <f>TEXT(Table47[[#This Row],[Confirmed Sampling Date]], "yyyy") &amp; "_" &amp; TEXT(Table47[[#This Row],[Confirmed Sampling Date]], "mm") &amp; "_" &amp; TEXT(Table47[[#This Row],[Confirmed Sampling Date]], "dd")</f>
        <v>2025_08_05</v>
      </c>
      <c r="Z49" s="20" t="str">
        <f>IFERROR(LEFT(J49, FIND(" ", J49) - 1), J49)</f>
        <v>Larnaca</v>
      </c>
      <c r="AA49" s="20" t="str">
        <f>VLOOKUP(Table47[[#This Row],[ToSite-UPSName]],Table1[[Company or Name]:[NOTES]],2,FALSE)</f>
        <v>Cyprus</v>
      </c>
      <c r="AB49" s="20" t="str">
        <f>IFERROR(VLOOKUP(Table47[[#This Row],[ToSite-UPSName]], Table1[[#All],[Company or Name]:[Delivery Address]],20,FALSE),"")</f>
        <v>Adamantiou Korai street 12, Larnaca District Local Government Organization offices, Larnaca, 6010, Cyprus</v>
      </c>
      <c r="AC49" s="20" t="str">
        <f>TEXT(Table47[[#This Row],[Shipping Date (SD-14)]]+3,"YYYY-MM-DD")</f>
        <v>2025-07-25</v>
      </c>
      <c r="AD49" s="20" t="str">
        <f>_xlfn.XLOOKUP(Table47[[#This Row],[Type]],kits!C:C,kits!D:D,"",0)</f>
        <v>boxcontentlabel_template_outbound1.docx</v>
      </c>
    </row>
    <row r="50" spans="2:30" ht="14.1" customHeight="1" x14ac:dyDescent="0.25">
      <c r="B50" s="13">
        <v>126</v>
      </c>
      <c r="C50" s="14" t="s">
        <v>1271</v>
      </c>
      <c r="D50" s="13">
        <v>2</v>
      </c>
      <c r="E50" s="34">
        <v>45874</v>
      </c>
      <c r="F50" s="34">
        <f>_xlfn.LET(
    _xlpm.baseDate, Table47[[#This Row],[Confirmed Sampling Date]] - 14,
    _xlpm.weekdayNum, WEEKDAY(_xlpm.baseDate, 2),
    IF(_xlpm.weekdayNum = 6, _xlpm.baseDate + 2, IF(_xlpm.weekdayNum = 7, _xlpm.baseDate + 1, _xlpm.baseDate))
)</f>
        <v>45860</v>
      </c>
      <c r="G50" s="20">
        <f>IFERROR(WEEKNUM(Table47[[#This Row],[Shipping Date (SD-14)]]),"TBD")</f>
        <v>30</v>
      </c>
      <c r="H50" s="20" t="str">
        <f>IFERROR(TEXT(Table47[[#This Row],[Shipping Date (SD-14)]],"yyyy-mm"),"TBD")</f>
        <v>2025-07</v>
      </c>
      <c r="I50" s="13" t="s">
        <v>863</v>
      </c>
      <c r="J50" s="20" t="str">
        <f>IFERROR(VLOOKUP(Table47[[#This Row],[ToSite-UPSName]],Table1[[#All],[Company or Name]:[Delivery Address]],15,FALSE),"")</f>
        <v>Dusseldorf WWTP 2101</v>
      </c>
      <c r="K50" s="20" t="str">
        <f>IFERROR(VLOOKUP(Table47[[#This Row],[ToSite-UPSName]],Table1[[#All],[Company or Name]:[Delivery Address]],16,FALSE),"")</f>
        <v>Dusseldorf WWTP 601</v>
      </c>
      <c r="L50" s="20"/>
      <c r="M50" s="20">
        <f>IFERROR(VLOOKUP(Table47[[#This Row],[ToSite-UPSName]],Table1[[#All],[Company or Name]:[Delivery Address]],18,FALSE),"")</f>
        <v>0</v>
      </c>
      <c r="N50" s="20">
        <f>IFERROR(VLOOKUP(Table47[[#This Row],[ToSite-UPSName]],Table1[[#All],[Company or Name]:[Delivery Address]],19,FALSE),"")</f>
        <v>0</v>
      </c>
      <c r="O50" s="13"/>
      <c r="P50" s="20"/>
      <c r="Q50" s="20"/>
      <c r="R50" s="20"/>
      <c r="S50" s="65" t="s">
        <v>813</v>
      </c>
      <c r="T50" s="65" t="s">
        <v>1049</v>
      </c>
      <c r="U50" s="13" t="s">
        <v>125</v>
      </c>
      <c r="V50" s="13" t="s">
        <v>856</v>
      </c>
      <c r="X50" s="13"/>
      <c r="Y50" s="20" t="str">
        <f>TEXT(Table47[[#This Row],[Confirmed Sampling Date]], "yyyy") &amp; "_" &amp; TEXT(Table47[[#This Row],[Confirmed Sampling Date]], "mm") &amp; "_" &amp; TEXT(Table47[[#This Row],[Confirmed Sampling Date]], "dd")</f>
        <v>2025_08_05</v>
      </c>
      <c r="Z50" s="20" t="str">
        <f>IFERROR(LEFT(J50, FIND(" ", J50) - 1), J50)</f>
        <v>Dusseldorf</v>
      </c>
      <c r="AA50" s="20" t="str">
        <f>VLOOKUP(Table47[[#This Row],[ToSite-UPSName]],Table1[[Company or Name]:[NOTES]],2,FALSE)</f>
        <v>Germany</v>
      </c>
      <c r="AB50" s="20" t="str">
        <f>IFERROR(VLOOKUP(Table47[[#This Row],[ToSite-UPSName]], Table1[[#All],[Company or Name]:[Delivery Address]],20,FALSE),"")</f>
        <v>Auf dem Draap 15, Chemisch-Biologische Laboratorien, Dusseldorf, 40221, Germany</v>
      </c>
      <c r="AC50" s="20" t="str">
        <f>TEXT(Table47[[#This Row],[Shipping Date (SD-14)]]+3,"YYYY-MM-DD")</f>
        <v>2025-07-25</v>
      </c>
      <c r="AD50" s="20" t="str">
        <f>_xlfn.XLOOKUP(Table47[[#This Row],[Type]],kits!C:C,kits!D:D,"",0)</f>
        <v>boxcontentlabel_template_outbound1.docx</v>
      </c>
    </row>
    <row r="51" spans="2:30" ht="14.1" customHeight="1" x14ac:dyDescent="0.25">
      <c r="B51" s="13">
        <v>138</v>
      </c>
      <c r="C51" s="14" t="s">
        <v>1271</v>
      </c>
      <c r="D51" s="13">
        <v>3</v>
      </c>
      <c r="E51" s="19">
        <v>45874</v>
      </c>
      <c r="F51" s="34">
        <f>_xlfn.LET(
    _xlpm.baseDate, Table47[[#This Row],[Confirmed Sampling Date]] - 14,
    _xlpm.weekdayNum, WEEKDAY(_xlpm.baseDate, 2),
    IF(_xlpm.weekdayNum = 6, _xlpm.baseDate + 2, IF(_xlpm.weekdayNum = 7, _xlpm.baseDate + 1, _xlpm.baseDate))
)</f>
        <v>45860</v>
      </c>
      <c r="G51" s="20">
        <f>IFERROR(WEEKNUM(Table47[[#This Row],[Shipping Date (SD-14)]]),"TBD")</f>
        <v>30</v>
      </c>
      <c r="H51" s="20" t="str">
        <f>IFERROR(TEXT(Table47[[#This Row],[Shipping Date (SD-14)]],"yyyy-mm"),"TBD")</f>
        <v>2025-07</v>
      </c>
      <c r="I51" s="13" t="s">
        <v>975</v>
      </c>
      <c r="J51" s="20" t="str">
        <f>IFERROR(VLOOKUP(Table47[[#This Row],[ToSite-UPSName]],Table1[[#All],[Company or Name]:[Delivery Address]],15,FALSE),"")</f>
        <v>Vilnius WWTP</v>
      </c>
      <c r="K51" s="20" t="str">
        <f>IFERROR(VLOOKUP(Table47[[#This Row],[ToSite-UPSName]],Table1[[#All],[Company or Name]:[Delivery Address]],16,FALSE),"")</f>
        <v>Vilnius Bus Terminal</v>
      </c>
      <c r="L51" s="20"/>
      <c r="M51" s="20">
        <f>IFERROR(VLOOKUP(Table47[[#This Row],[ToSite-UPSName]],Table1[[#All],[Company or Name]:[Delivery Address]],18,FALSE),"")</f>
        <v>0</v>
      </c>
      <c r="N51" s="20">
        <f>IFERROR(VLOOKUP(Table47[[#This Row],[ToSite-UPSName]],Table1[[#All],[Company or Name]:[Delivery Address]],19,FALSE),"")</f>
        <v>0</v>
      </c>
      <c r="O51" s="13"/>
      <c r="P51" s="20" t="s">
        <v>692</v>
      </c>
      <c r="Q51" s="20" t="s">
        <v>1077</v>
      </c>
      <c r="R51" s="20"/>
      <c r="S51" s="20" t="s">
        <v>813</v>
      </c>
      <c r="T51" s="20" t="s">
        <v>1050</v>
      </c>
      <c r="U51" s="13" t="s">
        <v>125</v>
      </c>
      <c r="V51" s="13" t="s">
        <v>856</v>
      </c>
      <c r="X51" s="13"/>
      <c r="Y51" s="20" t="str">
        <f>TEXT(Table47[[#This Row],[Confirmed Sampling Date]], "yyyy") &amp; "_" &amp; TEXT(Table47[[#This Row],[Confirmed Sampling Date]], "mm") &amp; "_" &amp; TEXT(Table47[[#This Row],[Confirmed Sampling Date]], "dd")</f>
        <v>2025_08_05</v>
      </c>
      <c r="Z51" s="20" t="str">
        <f>IFERROR(LEFT(J51, FIND(" ", J51) - 1), J51)</f>
        <v>Vilnius</v>
      </c>
      <c r="AA51" s="20" t="str">
        <f>VLOOKUP(Table47[[#This Row],[ToSite-UPSName]],Table1[[Company or Name]:[NOTES]],2,FALSE)</f>
        <v>Lithuania</v>
      </c>
      <c r="AB51" s="20" t="str">
        <f>IFERROR(VLOOKUP(Table47[[#This Row],[ToSite-UPSName]], Table1[[#All],[Company or Name]:[Delivery Address]],20,FALSE),"")</f>
        <v>Zolyno 36 gatve, Vilnius, 10210, Lithuania</v>
      </c>
      <c r="AC51" s="20" t="str">
        <f>TEXT(Table47[[#This Row],[Shipping Date (SD-14)]]+3,"YYYY-MM-DD")</f>
        <v>2025-07-25</v>
      </c>
      <c r="AD51" s="20" t="str">
        <f>_xlfn.XLOOKUP(Table47[[#This Row],[Type]],kits!C:C,kits!D:D,"",0)</f>
        <v>boxcontentlabel_template_outbound1.docx</v>
      </c>
    </row>
    <row r="52" spans="2:30" ht="14.1" customHeight="1" x14ac:dyDescent="0.25">
      <c r="B52" s="13">
        <v>74</v>
      </c>
      <c r="C52" s="14" t="s">
        <v>1271</v>
      </c>
      <c r="D52" s="13">
        <v>1</v>
      </c>
      <c r="E52" s="83">
        <v>45875</v>
      </c>
      <c r="F52" s="34">
        <f>_xlfn.LET(
    _xlpm.baseDate, Table47[[#This Row],[Confirmed Sampling Date]] - 14,
    _xlpm.weekdayNum, WEEKDAY(_xlpm.baseDate, 2),
    IF(_xlpm.weekdayNum = 6, _xlpm.baseDate + 2, IF(_xlpm.weekdayNum = 7, _xlpm.baseDate + 1, _xlpm.baseDate))
)</f>
        <v>45861</v>
      </c>
      <c r="G52" s="20">
        <f>IFERROR(WEEKNUM(Table47[[#This Row],[Shipping Date (SD-14)]]),"TBD")</f>
        <v>30</v>
      </c>
      <c r="H52" s="20" t="str">
        <f>IFERROR(TEXT(Table47[[#This Row],[Shipping Date (SD-14)]],"yyyy-mm"),"TBD")</f>
        <v>2025-07</v>
      </c>
      <c r="I52" s="13" t="s">
        <v>680</v>
      </c>
      <c r="J52" s="13" t="str">
        <f>IFERROR(VLOOKUP(Table47[[#This Row],[ToSite-UPSName]],Table1[[#All],[Company or Name]:[Delivery Address]],15,FALSE),"")</f>
        <v>Rome WWTP</v>
      </c>
      <c r="K52" s="20" t="str">
        <f>IFERROR(VLOOKUP(Table47[[#This Row],[ToSite-UPSName]],Table1[[#All],[Company or Name]:[Delivery Address]],16,FALSE),"")</f>
        <v>-</v>
      </c>
      <c r="L52" s="13" t="str">
        <f>IFERROR(VLOOKUP(Table47[[#This Row],[ToSite-UPSName]],Table1[[#All],[Company or Name]:[Delivery Address]],17,FALSE),"")</f>
        <v>-</v>
      </c>
      <c r="M52" s="20" t="str">
        <f>IFERROR(VLOOKUP(Table47[[#This Row],[ToSite-UPSName]],Table1[[#All],[Company or Name]:[Delivery Address]],18,FALSE),"")</f>
        <v>-</v>
      </c>
      <c r="N52" s="20" t="str">
        <f>IFERROR(VLOOKUP(Table47[[#This Row],[ToSite-UPSName]],Table1[[#All],[Company or Name]:[Delivery Address]],19,FALSE),"")</f>
        <v>-</v>
      </c>
      <c r="O52" s="13"/>
      <c r="P52" s="20" t="s">
        <v>692</v>
      </c>
      <c r="Q52" s="20" t="s">
        <v>947</v>
      </c>
      <c r="R52" s="20"/>
      <c r="S52" s="65" t="s">
        <v>813</v>
      </c>
      <c r="T52" s="65" t="s">
        <v>1051</v>
      </c>
      <c r="U52" s="13" t="s">
        <v>125</v>
      </c>
      <c r="V52" s="13" t="s">
        <v>856</v>
      </c>
      <c r="X52" s="13"/>
      <c r="Y52" s="20" t="str">
        <f>TEXT(Table47[[#This Row],[Confirmed Sampling Date]], "yyyy") &amp; "_" &amp; TEXT(Table47[[#This Row],[Confirmed Sampling Date]], "mm") &amp; "_" &amp; TEXT(Table47[[#This Row],[Confirmed Sampling Date]], "dd")</f>
        <v>2025_08_06</v>
      </c>
      <c r="Z52" s="20" t="str">
        <f>IFERROR(LEFT(J52, FIND(" ", J52) - 1), J52)</f>
        <v>Rome</v>
      </c>
      <c r="AA52" s="20" t="str">
        <f>VLOOKUP(Table47[[#This Row],[ToSite-UPSName]],Table1[[Company or Name]:[NOTES]],2,FALSE)</f>
        <v>Italy</v>
      </c>
      <c r="AB52" s="20" t="str">
        <f>IFERROR(VLOOKUP(Table47[[#This Row],[ToSite-UPSName]], Table1[[#All],[Company or Name]:[Delivery Address]],20,FALSE),"")</f>
        <v>Via dell'Equitazione 10, Rome, 00144, Italy</v>
      </c>
      <c r="AC52" s="20" t="str">
        <f>TEXT(Table47[[#This Row],[Shipping Date (SD-14)]]+3,"YYYY-MM-DD")</f>
        <v>2025-07-26</v>
      </c>
      <c r="AD52" s="20" t="str">
        <f>_xlfn.XLOOKUP(Table47[[#This Row],[Type]],kits!C:C,kits!D:D,"",0)</f>
        <v>boxcontentlabel_template_outbound1.docx</v>
      </c>
    </row>
    <row r="53" spans="2:30" ht="14.1" customHeight="1" x14ac:dyDescent="0.25">
      <c r="B53" s="13">
        <v>88</v>
      </c>
      <c r="C53" s="14" t="s">
        <v>1271</v>
      </c>
      <c r="D53" s="13">
        <v>1</v>
      </c>
      <c r="E53" s="22">
        <v>45875</v>
      </c>
      <c r="F53" s="34">
        <f>_xlfn.LET(
    _xlpm.baseDate, Table47[[#This Row],[Confirmed Sampling Date]] - 14,
    _xlpm.weekdayNum, WEEKDAY(_xlpm.baseDate, 2),
    IF(_xlpm.weekdayNum = 6, _xlpm.baseDate + 2, IF(_xlpm.weekdayNum = 7, _xlpm.baseDate + 1, _xlpm.baseDate))
)</f>
        <v>45861</v>
      </c>
      <c r="G53" s="20">
        <f>IFERROR(WEEKNUM(Table47[[#This Row],[Shipping Date (SD-14)]]),"TBD")</f>
        <v>30</v>
      </c>
      <c r="H53" s="20" t="str">
        <f>IFERROR(TEXT(Table47[[#This Row],[Shipping Date (SD-14)]],"yyyy-mm"),"TBD")</f>
        <v>2025-07</v>
      </c>
      <c r="I53" s="13" t="s">
        <v>771</v>
      </c>
      <c r="J53" s="20" t="str">
        <f>IFERROR(VLOOKUP(Table47[[#This Row],[ToSite-UPSName]],Table1[[#All],[Company or Name]:[Delivery Address]],15,FALSE),"")</f>
        <v>RomeAirport</v>
      </c>
      <c r="K53" s="20" t="str">
        <f>IFERROR(VLOOKUP(Table47[[#This Row],[ToSite-UPSName]],Table1[[#All],[Company or Name]:[Delivery Address]],16,FALSE),"")</f>
        <v>-</v>
      </c>
      <c r="L53" s="13" t="str">
        <f>IFERROR(VLOOKUP(Table47[[#This Row],[ToSite-UPSName]],Table1[[#All],[Company or Name]:[Delivery Address]],17,FALSE),"")</f>
        <v>-</v>
      </c>
      <c r="M53" s="20" t="str">
        <f>IFERROR(VLOOKUP(Table47[[#This Row],[ToSite-UPSName]],Table1[[#All],[Company or Name]:[Delivery Address]],18,FALSE),"")</f>
        <v>-</v>
      </c>
      <c r="N53" s="20" t="str">
        <f>IFERROR(VLOOKUP(Table47[[#This Row],[ToSite-UPSName]],Table1[[#All],[Company or Name]:[Delivery Address]],19,FALSE),"")</f>
        <v>-</v>
      </c>
      <c r="O53" s="13"/>
      <c r="P53" s="20" t="s">
        <v>692</v>
      </c>
      <c r="Q53" s="20" t="s">
        <v>947</v>
      </c>
      <c r="R53" s="20"/>
      <c r="S53" s="101" t="s">
        <v>813</v>
      </c>
      <c r="T53" s="101" t="s">
        <v>1052</v>
      </c>
      <c r="U53" s="13" t="s">
        <v>125</v>
      </c>
      <c r="V53" s="13" t="s">
        <v>856</v>
      </c>
      <c r="X53" s="13"/>
      <c r="Y53" s="20" t="str">
        <f>TEXT(Table47[[#This Row],[Confirmed Sampling Date]], "yyyy") &amp; "_" &amp; TEXT(Table47[[#This Row],[Confirmed Sampling Date]], "mm") &amp; "_" &amp; TEXT(Table47[[#This Row],[Confirmed Sampling Date]], "dd")</f>
        <v>2025_08_06</v>
      </c>
      <c r="Z53" s="20" t="str">
        <f>IFERROR(LEFT(J53, FIND(" ", J53) - 1), J53)</f>
        <v>RomeAirport</v>
      </c>
      <c r="AA53" s="20" t="str">
        <f>VLOOKUP(Table47[[#This Row],[ToSite-UPSName]],Table1[[Company or Name]:[NOTES]],2,FALSE)</f>
        <v>Italy</v>
      </c>
      <c r="AB53" s="20" t="str">
        <f>IFERROR(VLOOKUP(Table47[[#This Row],[ToSite-UPSName]], Table1[[#All],[Company or Name]:[Delivery Address]],20,FALSE),"")</f>
        <v>VIA FRATELLI WRIGHT (DEPURATORE BIOLOGICO), FIUMICINO, 00054, Italy</v>
      </c>
      <c r="AC53" s="20" t="str">
        <f>TEXT(Table47[[#This Row],[Shipping Date (SD-14)]]+3,"YYYY-MM-DD")</f>
        <v>2025-07-26</v>
      </c>
      <c r="AD53" s="20" t="str">
        <f>_xlfn.XLOOKUP(Table47[[#This Row],[Type]],kits!C:C,kits!D:D,"",0)</f>
        <v>boxcontentlabel_template_outbound1.docx</v>
      </c>
    </row>
    <row r="54" spans="2:30" ht="14.1" customHeight="1" x14ac:dyDescent="0.25">
      <c r="B54" s="13">
        <v>65</v>
      </c>
      <c r="C54" s="14" t="s">
        <v>1271</v>
      </c>
      <c r="D54" s="13">
        <v>2</v>
      </c>
      <c r="E54" s="26">
        <v>45882</v>
      </c>
      <c r="F54" s="83">
        <f>_xlfn.LET(
    _xlpm.baseDate, Table47[[#This Row],[Confirmed Sampling Date]] - 14,
    _xlpm.weekdayNum, WEEKDAY(_xlpm.baseDate, 2),
    IF(_xlpm.weekdayNum = 6, _xlpm.baseDate + 2, IF(_xlpm.weekdayNum = 7, _xlpm.baseDate + 1, _xlpm.baseDate))
)</f>
        <v>45868</v>
      </c>
      <c r="G54" s="20">
        <f>IFERROR(WEEKNUM(Table47[[#This Row],[Shipping Date (SD-14)]]),"TBD")</f>
        <v>31</v>
      </c>
      <c r="H54" s="20" t="str">
        <f>IFERROR(TEXT(Table47[[#This Row],[Shipping Date (SD-14)]],"yyyy-mm"),"TBD")</f>
        <v>2025-07</v>
      </c>
      <c r="I54" s="13" t="s">
        <v>637</v>
      </c>
      <c r="J54" s="13" t="str">
        <f>IFERROR(VLOOKUP(Table47[[#This Row],[ToSite-UPSName]],Table1[[#All],[Company or Name]:[Delivery Address]],15,FALSE),"")</f>
        <v>Luxembourg (Beggen) WWTP</v>
      </c>
      <c r="K54" s="20" t="str">
        <f>IFERROR(VLOOKUP(Table47[[#This Row],[ToSite-UPSName]],Table1[[#All],[Company or Name]:[Delivery Address]],16,FALSE),"")</f>
        <v>Luxembourg Airport</v>
      </c>
      <c r="L54" s="13" t="str">
        <f>IFERROR(VLOOKUP(Table47[[#This Row],[ToSite-UPSName]],Table1[[#All],[Company or Name]:[Delivery Address]],17,FALSE),"")</f>
        <v>-</v>
      </c>
      <c r="M54" s="13" t="str">
        <f>IFERROR(VLOOKUP(Table47[[#This Row],[ToSite-UPSName]],Table1[[#All],[Company or Name]:[Delivery Address]],18,FALSE),"")</f>
        <v>-</v>
      </c>
      <c r="N54" s="13" t="str">
        <f>IFERROR(VLOOKUP(Table47[[#This Row],[ToSite-UPSName]],Table1[[#All],[Company or Name]:[Delivery Address]],19,FALSE),"")</f>
        <v>-</v>
      </c>
      <c r="O54" s="13"/>
      <c r="P54" s="20"/>
      <c r="Q54" s="20"/>
      <c r="R54" s="20"/>
      <c r="S54" s="65" t="s">
        <v>813</v>
      </c>
      <c r="T54" s="65" t="s">
        <v>1093</v>
      </c>
      <c r="U54" s="13" t="s">
        <v>125</v>
      </c>
      <c r="V54" s="13" t="s">
        <v>856</v>
      </c>
      <c r="X54" s="13"/>
      <c r="Y54" s="20" t="str">
        <f>TEXT(Table47[[#This Row],[Confirmed Sampling Date]], "yyyy") &amp; "_" &amp; TEXT(Table47[[#This Row],[Confirmed Sampling Date]], "mm") &amp; "_" &amp; TEXT(Table47[[#This Row],[Confirmed Sampling Date]], "dd")</f>
        <v>2025_08_13</v>
      </c>
      <c r="Z54" s="20" t="str">
        <f>IFERROR(LEFT(J54, FIND(" ", J54) - 1), J54)</f>
        <v>Luxembourg</v>
      </c>
      <c r="AA54" s="20" t="str">
        <f>VLOOKUP(Table47[[#This Row],[ToSite-UPSName]],Table1[[Company or Name]:[NOTES]],2,FALSE)</f>
        <v>Luxembourg</v>
      </c>
      <c r="AB54" s="20" t="str">
        <f>IFERROR(VLOOKUP(Table47[[#This Row],[ToSite-UPSName]], Table1[[#All],[Company or Name]:[Delivery Address]],20,FALSE),"")</f>
        <v>41 rue du Brill, Luxembourg, L-4422 , Luxembourg</v>
      </c>
      <c r="AC54" s="20" t="str">
        <f>TEXT(Table47[[#This Row],[Shipping Date (SD-14)]]+3,"YYYY-MM-DD")</f>
        <v>2025-08-02</v>
      </c>
      <c r="AD54" s="20" t="str">
        <f>_xlfn.XLOOKUP(Table47[[#This Row],[Type]],kits!C:C,kits!D:D,"",0)</f>
        <v>boxcontentlabel_template_outbound1.docx</v>
      </c>
    </row>
    <row r="55" spans="2:30" ht="14.1" customHeight="1" x14ac:dyDescent="0.25">
      <c r="B55" s="13">
        <v>148</v>
      </c>
      <c r="C55" s="14" t="s">
        <v>1271</v>
      </c>
      <c r="D55" s="13">
        <v>20</v>
      </c>
      <c r="E55" s="80">
        <v>45882</v>
      </c>
      <c r="F55" s="34">
        <f>_xlfn.LET(
    _xlpm.baseDate, Table47[[#This Row],[Confirmed Sampling Date]] - 14,
    _xlpm.weekdayNum, WEEKDAY(_xlpm.baseDate, 2),
    IF(_xlpm.weekdayNum = 6, _xlpm.baseDate + 2, IF(_xlpm.weekdayNum = 7, _xlpm.baseDate + 1, _xlpm.baseDate))
)</f>
        <v>45868</v>
      </c>
      <c r="G55" s="20">
        <f>IFERROR(WEEKNUM(Table47[[#This Row],[Shipping Date (SD-14)]]),"TBD")</f>
        <v>31</v>
      </c>
      <c r="H55" s="20" t="str">
        <f>IFERROR(TEXT(Table47[[#This Row],[Shipping Date (SD-14)]],"yyyy-mm"),"TBD")</f>
        <v>2025-07</v>
      </c>
      <c r="I55" s="78" t="s">
        <v>1628</v>
      </c>
      <c r="J55" s="20" t="str">
        <f>IFERROR(VLOOKUP(Table47[[#This Row],[ToSite-UPSName]],Table1[[#All],[Company or Name]:[Delivery Address]],15,FALSE),"")</f>
        <v>Funchal WWTP</v>
      </c>
      <c r="K55" s="20" t="str">
        <f>IFERROR(VLOOKUP(Table47[[#This Row],[ToSite-UPSName]],Table1[[#All],[Company or Name]:[Delivery Address]],16,FALSE),"")</f>
        <v>Madeira, 10 locations</v>
      </c>
      <c r="L55" s="20"/>
      <c r="M55" s="20">
        <f>IFERROR(VLOOKUP(Table47[[#This Row],[ToSite-UPSName]],Table1[[#All],[Company or Name]:[Delivery Address]],18,FALSE),"")</f>
        <v>0</v>
      </c>
      <c r="N55" s="20">
        <f>IFERROR(VLOOKUP(Table47[[#This Row],[ToSite-UPSName]],Table1[[#All],[Company or Name]:[Delivery Address]],19,FALSE),"")</f>
        <v>0</v>
      </c>
      <c r="O55" s="13"/>
      <c r="P55" s="20" t="s">
        <v>692</v>
      </c>
      <c r="Q55" s="20" t="s">
        <v>1196</v>
      </c>
      <c r="R55" s="20"/>
      <c r="S55" s="101" t="s">
        <v>813</v>
      </c>
      <c r="T55" s="101" t="s">
        <v>1094</v>
      </c>
      <c r="U55" s="13" t="s">
        <v>125</v>
      </c>
      <c r="V55" s="13" t="s">
        <v>856</v>
      </c>
      <c r="X55" s="13" t="s">
        <v>1195</v>
      </c>
      <c r="Y55" s="20" t="str">
        <f>TEXT(Table47[[#This Row],[Confirmed Sampling Date]], "yyyy") &amp; "_" &amp; TEXT(Table47[[#This Row],[Confirmed Sampling Date]], "mm") &amp; "_" &amp; TEXT(Table47[[#This Row],[Confirmed Sampling Date]], "dd")</f>
        <v>2025_08_13</v>
      </c>
      <c r="Z55" s="20" t="str">
        <f>IFERROR(LEFT(J55, FIND(" ", J55) - 1), J55)</f>
        <v>Funchal</v>
      </c>
      <c r="AA55" s="20" t="str">
        <f>VLOOKUP(Table47[[#This Row],[ToSite-UPSName]],Table1[[Company or Name]:[NOTES]],2,FALSE)</f>
        <v>Portugal</v>
      </c>
      <c r="AB55" s="20" t="str">
        <f>IFERROR(VLOOKUP(Table47[[#This Row],[ToSite-UPSName]], Table1[[#All],[Company or Name]:[Delivery Address]],20,FALSE),"")</f>
        <v>R. do Matadouro 4, Funchal, 9050-100, Portugal</v>
      </c>
      <c r="AC55" s="20" t="str">
        <f>TEXT(Table47[[#This Row],[Shipping Date (SD-14)]]+3,"YYYY-MM-DD")</f>
        <v>2025-08-02</v>
      </c>
      <c r="AD55" s="20" t="str">
        <f>_xlfn.XLOOKUP(Table47[[#This Row],[Type]],kits!C:C,kits!D:D,"",0)</f>
        <v>boxcontentlabel_template_outbound1.docx</v>
      </c>
    </row>
    <row r="56" spans="2:30" ht="14.1" customHeight="1" x14ac:dyDescent="0.25">
      <c r="B56" s="13">
        <v>6</v>
      </c>
      <c r="C56" s="14" t="s">
        <v>1271</v>
      </c>
      <c r="D56" s="13">
        <v>2</v>
      </c>
      <c r="E56" s="19">
        <v>45886</v>
      </c>
      <c r="F56" s="34">
        <f>_xlfn.LET(
    _xlpm.baseDate, Table47[[#This Row],[Confirmed Sampling Date]] - 14,
    _xlpm.weekdayNum, WEEKDAY(_xlpm.baseDate, 2),
    IF(_xlpm.weekdayNum = 6, _xlpm.baseDate + 2, IF(_xlpm.weekdayNum = 7, _xlpm.baseDate + 1, _xlpm.baseDate))
)</f>
        <v>45873</v>
      </c>
      <c r="G56" s="13">
        <f>IFERROR(WEEKNUM(Table47[[#This Row],[Shipping Date (SD-14)]]),"TBD")</f>
        <v>32</v>
      </c>
      <c r="H56" s="13" t="str">
        <f>IFERROR(TEXT(Table47[[#This Row],[Shipping Date (SD-14)]],"yyyy-mm"),"TBD")</f>
        <v>2025-08</v>
      </c>
      <c r="I56" s="13" t="s">
        <v>13</v>
      </c>
      <c r="J56" s="13" t="str">
        <f>IFERROR(VLOOKUP(Table47[[#This Row],[ToSite-UPSName]],Table1[[#All],[Company or Name]:[Delivery Address]],15,FALSE),"")</f>
        <v>Berlin (Schoenefeld) WWTP</v>
      </c>
      <c r="K56" s="13" t="str">
        <f>IFERROR(VLOOKUP(Table47[[#This Row],[ToSite-UPSName]],Table1[[#All],[Company or Name]:[Delivery Address]],16,FALSE),"")</f>
        <v>Berlin Airport</v>
      </c>
      <c r="L56" s="13" t="str">
        <f>IFERROR(VLOOKUP(Table47[[#This Row],[ToSite-UPSName]],Table1[[#All],[Company or Name]:[Delivery Address]],17,FALSE),"")</f>
        <v>-</v>
      </c>
      <c r="M56" s="13" t="str">
        <f>IFERROR(VLOOKUP(Table47[[#This Row],[ToSite-UPSName]],Table1[[#All],[Company or Name]:[Delivery Address]],18,FALSE),"")</f>
        <v>-</v>
      </c>
      <c r="N56" s="13" t="str">
        <f>IFERROR(VLOOKUP(Table47[[#This Row],[ToSite-UPSName]],Table1[[#All],[Company or Name]:[Delivery Address]],19,FALSE),"")</f>
        <v>-</v>
      </c>
      <c r="O56" s="13"/>
      <c r="P56" s="13" t="s">
        <v>1266</v>
      </c>
      <c r="Q56" s="13" t="s">
        <v>1267</v>
      </c>
      <c r="R56" s="13"/>
      <c r="S56" s="13" t="s">
        <v>892</v>
      </c>
      <c r="T56" s="13" t="s">
        <v>1138</v>
      </c>
      <c r="U56" s="13" t="s">
        <v>125</v>
      </c>
      <c r="V56" s="13" t="s">
        <v>856</v>
      </c>
      <c r="X56" s="13"/>
      <c r="Y56" s="20" t="str">
        <f>TEXT(Table47[[#This Row],[Confirmed Sampling Date]], "yyyy") &amp; "_" &amp; TEXT(Table47[[#This Row],[Confirmed Sampling Date]], "mm") &amp; "_" &amp; TEXT(Table47[[#This Row],[Confirmed Sampling Date]], "dd")</f>
        <v>2025_08_17</v>
      </c>
      <c r="Z56" s="20" t="str">
        <f>IFERROR(LEFT(J56, FIND(" ", J56) - 1), J56)</f>
        <v>Berlin</v>
      </c>
      <c r="AA56" s="20" t="str">
        <f>VLOOKUP(Table47[[#This Row],[ToSite-UPSName]],Table1[[Company or Name]:[NOTES]],2,FALSE)</f>
        <v>Germany</v>
      </c>
      <c r="AB56" s="20" t="str">
        <f>IFERROR(VLOOKUP(Table47[[#This Row],[ToSite-UPSName]], Table1[[#All],[Company or Name]:[Delivery Address]],20,FALSE),"")</f>
        <v>Strasse am Klarwerk 4, Klarwerk Wassmannsdorf, Schoenefeld, 12529, Germany</v>
      </c>
      <c r="AC56" s="20" t="str">
        <f>TEXT(Table47[[#This Row],[Shipping Date (SD-14)]]+3,"YYYY-MM-DD")</f>
        <v>2025-08-07</v>
      </c>
      <c r="AD56" s="20" t="str">
        <f>_xlfn.XLOOKUP(Table47[[#This Row],[Type]],kits!C:C,kits!D:D,"",0)</f>
        <v>boxcontentlabel_template_outbound1.docx</v>
      </c>
    </row>
    <row r="57" spans="2:30" ht="14.1" customHeight="1" x14ac:dyDescent="0.25">
      <c r="B57" s="13">
        <v>47</v>
      </c>
      <c r="C57" s="14" t="s">
        <v>1271</v>
      </c>
      <c r="D57" s="13">
        <v>2</v>
      </c>
      <c r="E57" s="34">
        <v>45887</v>
      </c>
      <c r="F57" s="34">
        <f>_xlfn.LET(
    _xlpm.baseDate, Table47[[#This Row],[Confirmed Sampling Date]] - 14,
    _xlpm.weekdayNum, WEEKDAY(_xlpm.baseDate, 2),
    IF(_xlpm.weekdayNum = 6, _xlpm.baseDate + 2, IF(_xlpm.weekdayNum = 7, _xlpm.baseDate + 1, _xlpm.baseDate))
)</f>
        <v>45873</v>
      </c>
      <c r="G57" s="13">
        <f>IFERROR(WEEKNUM(Table47[[#This Row],[Shipping Date (SD-14)]]),"TBD")</f>
        <v>32</v>
      </c>
      <c r="H57" s="13" t="str">
        <f>IFERROR(TEXT(Table47[[#This Row],[Shipping Date (SD-14)]],"yyyy-mm"),"TBD")</f>
        <v>2025-08</v>
      </c>
      <c r="I57" s="13" t="s">
        <v>364</v>
      </c>
      <c r="J57" s="13" t="str">
        <f>IFERROR(VLOOKUP(Table47[[#This Row],[ToSite-UPSName]],Table1[[#All],[Company or Name]:[Delivery Address]],15,FALSE),"")</f>
        <v>Brussels WWTP</v>
      </c>
      <c r="K57" s="13" t="str">
        <f>IFERROR(VLOOKUP(Table47[[#This Row],[ToSite-UPSName]],Table1[[#All],[Company or Name]:[Delivery Address]],16,FALSE),"")</f>
        <v>Brussels Airport</v>
      </c>
      <c r="L57" s="13" t="str">
        <f>IFERROR(VLOOKUP(Table47[[#This Row],[ToSite-UPSName]],Table1[[#All],[Company or Name]:[Delivery Address]],17,FALSE),"")</f>
        <v>-</v>
      </c>
      <c r="M57" s="13" t="str">
        <f>IFERROR(VLOOKUP(Table47[[#This Row],[ToSite-UPSName]],Table1[[#All],[Company or Name]:[Delivery Address]],18,FALSE),"")</f>
        <v>-</v>
      </c>
      <c r="N57" s="13" t="str">
        <f>IFERROR(VLOOKUP(Table47[[#This Row],[ToSite-UPSName]],Table1[[#All],[Company or Name]:[Delivery Address]],19,FALSE),"")</f>
        <v>-</v>
      </c>
      <c r="O57" s="13"/>
      <c r="P57" s="13" t="s">
        <v>1266</v>
      </c>
      <c r="Q57" s="13" t="s">
        <v>1267</v>
      </c>
      <c r="R57" s="13"/>
      <c r="S57" s="13" t="s">
        <v>892</v>
      </c>
      <c r="T57" s="13" t="s">
        <v>1141</v>
      </c>
      <c r="U57" s="13" t="s">
        <v>125</v>
      </c>
      <c r="V57" s="13" t="s">
        <v>856</v>
      </c>
      <c r="X57" s="13"/>
      <c r="Y57" s="20" t="str">
        <f>TEXT(Table47[[#This Row],[Confirmed Sampling Date]], "yyyy") &amp; "_" &amp; TEXT(Table47[[#This Row],[Confirmed Sampling Date]], "mm") &amp; "_" &amp; TEXT(Table47[[#This Row],[Confirmed Sampling Date]], "dd")</f>
        <v>2025_08_18</v>
      </c>
      <c r="Z57" s="20" t="str">
        <f>IFERROR(LEFT(J57, FIND(" ", J57) - 1), J57)</f>
        <v>Brussels</v>
      </c>
      <c r="AA57" s="20" t="str">
        <f>VLOOKUP(Table47[[#This Row],[ToSite-UPSName]],Table1[[Company or Name]:[NOTES]],2,FALSE)</f>
        <v>Belgium</v>
      </c>
      <c r="AB57" s="20" t="str">
        <f>IFERROR(VLOOKUP(Table47[[#This Row],[ToSite-UPSName]], Table1[[#All],[Company or Name]:[Delivery Address]],20,FALSE),"")</f>
        <v>Rue Juliette Wytsmanstraat 14, Brussels, 1050, Belgium</v>
      </c>
      <c r="AC57" s="20" t="str">
        <f>TEXT(Table47[[#This Row],[Shipping Date (SD-14)]]+3,"YYYY-MM-DD")</f>
        <v>2025-08-07</v>
      </c>
      <c r="AD57" s="20" t="str">
        <f>_xlfn.XLOOKUP(Table47[[#This Row],[Type]],kits!C:C,kits!D:D,"",0)</f>
        <v>boxcontentlabel_template_outbound1.docx</v>
      </c>
    </row>
    <row r="58" spans="2:30" ht="14.1" customHeight="1" x14ac:dyDescent="0.25">
      <c r="B58" s="13">
        <v>158</v>
      </c>
      <c r="C58" s="14" t="s">
        <v>1271</v>
      </c>
      <c r="D58" s="13">
        <v>1</v>
      </c>
      <c r="E58" s="22">
        <v>45887</v>
      </c>
      <c r="F58" s="34">
        <f>_xlfn.LET(
    _xlpm.baseDate, Table47[[#This Row],[Confirmed Sampling Date]] - 14,
    _xlpm.weekdayNum, WEEKDAY(_xlpm.baseDate, 2),
    IF(_xlpm.weekdayNum = 6, _xlpm.baseDate + 2, IF(_xlpm.weekdayNum = 7, _xlpm.baseDate + 1, _xlpm.baseDate))
)</f>
        <v>45873</v>
      </c>
      <c r="G58" s="20">
        <f>IFERROR(WEEKNUM(Table47[[#This Row],[Shipping Date (SD-14)]]),"TBD")</f>
        <v>32</v>
      </c>
      <c r="H58" s="20" t="str">
        <f>IFERROR(TEXT(Table47[[#This Row],[Shipping Date (SD-14)]],"yyyy-mm"),"TBD")</f>
        <v>2025-08</v>
      </c>
      <c r="I58" s="78" t="s">
        <v>1114</v>
      </c>
      <c r="J58" s="20" t="str">
        <f>IFERROR(VLOOKUP(Table47[[#This Row],[ToSite-UPSName]],Table1[[#All],[Company or Name]:[Delivery Address]],15,FALSE),"")</f>
        <v>Uppsala WWTP</v>
      </c>
      <c r="K58" s="20" t="str">
        <f>IFERROR(VLOOKUP(Table47[[#This Row],[ToSite-UPSName]],Table1[[#All],[Company or Name]:[Delivery Address]],16,FALSE),"")</f>
        <v>-</v>
      </c>
      <c r="L58" s="20"/>
      <c r="M58" s="20" t="str">
        <f>IFERROR(VLOOKUP(Table47[[#This Row],[ToSite-UPSName]],Table1[[#All],[Company or Name]:[Delivery Address]],18,FALSE),"")</f>
        <v>-</v>
      </c>
      <c r="N58" s="20" t="str">
        <f>IFERROR(VLOOKUP(Table47[[#This Row],[ToSite-UPSName]],Table1[[#All],[Company or Name]:[Delivery Address]],19,FALSE),"")</f>
        <v>-</v>
      </c>
      <c r="O58" s="13"/>
      <c r="P58" s="13" t="s">
        <v>1266</v>
      </c>
      <c r="Q58" s="13" t="s">
        <v>1267</v>
      </c>
      <c r="R58" s="20"/>
      <c r="S58" s="20" t="s">
        <v>892</v>
      </c>
      <c r="T58" s="13" t="s">
        <v>1148</v>
      </c>
      <c r="U58" s="13" t="s">
        <v>125</v>
      </c>
      <c r="V58" s="13" t="s">
        <v>856</v>
      </c>
      <c r="X58" s="13"/>
      <c r="Y58" s="20" t="str">
        <f>TEXT(Table47[[#This Row],[Confirmed Sampling Date]], "yyyy") &amp; "_" &amp; TEXT(Table47[[#This Row],[Confirmed Sampling Date]], "mm") &amp; "_" &amp; TEXT(Table47[[#This Row],[Confirmed Sampling Date]], "dd")</f>
        <v>2025_08_18</v>
      </c>
      <c r="Z58" s="20" t="str">
        <f>IFERROR(LEFT(J58, FIND(" ", J58) - 1), J58)</f>
        <v>Uppsala</v>
      </c>
      <c r="AA58" s="20" t="str">
        <f>VLOOKUP(Table47[[#This Row],[ToSite-UPSName]],Table1[[Company or Name]:[NOTES]],2,FALSE)</f>
        <v>Sweden</v>
      </c>
      <c r="AB58" s="20" t="str">
        <f>IFERROR(VLOOKUP(Table47[[#This Row],[ToSite-UPSName]], Table1[[#All],[Company or Name]:[Delivery Address]],20,FALSE),"")</f>
        <v>Gerda Nilssons väg 5, Uppsala, 756 51, Sweden</v>
      </c>
      <c r="AC58" s="20" t="str">
        <f>TEXT(Table47[[#This Row],[Shipping Date (SD-14)]]+3,"YYYY-MM-DD")</f>
        <v>2025-08-07</v>
      </c>
      <c r="AD58" s="20" t="str">
        <f>_xlfn.XLOOKUP(Table47[[#This Row],[Type]],kits!C:C,kits!D:D,"",0)</f>
        <v>boxcontentlabel_template_outbound1.docx</v>
      </c>
    </row>
    <row r="59" spans="2:30" ht="14.1" customHeight="1" x14ac:dyDescent="0.25">
      <c r="B59" s="13">
        <v>185</v>
      </c>
      <c r="C59" s="14" t="s">
        <v>1271</v>
      </c>
      <c r="D59" s="13">
        <v>1</v>
      </c>
      <c r="E59" s="83">
        <v>45887</v>
      </c>
      <c r="F59" s="34">
        <f>_xlfn.LET(
    _xlpm.baseDate, Table47[[#This Row],[Confirmed Sampling Date]] - 14,
    _xlpm.weekdayNum, WEEKDAY(_xlpm.baseDate, 2),
    IF(_xlpm.weekdayNum = 6, _xlpm.baseDate + 2, IF(_xlpm.weekdayNum = 7, _xlpm.baseDate + 1, _xlpm.baseDate))
)</f>
        <v>45873</v>
      </c>
      <c r="G59" s="20">
        <f>IFERROR(WEEKNUM(Table47[[#This Row],[Shipping Date (SD-14)]]),"TBD")</f>
        <v>32</v>
      </c>
      <c r="H59" s="20" t="str">
        <f>IFERROR(TEXT(Table47[[#This Row],[Shipping Date (SD-14)]],"yyyy-mm"),"TBD")</f>
        <v>2025-08</v>
      </c>
      <c r="I59" s="78" t="s">
        <v>1187</v>
      </c>
      <c r="J59" s="20" t="str">
        <f>IFERROR(VLOOKUP(Table47[[#This Row],[ToSite-UPSName]],Table1[[#All],[Company or Name]:[Delivery Address]],15,FALSE),"")</f>
        <v>Aachen WWTP</v>
      </c>
      <c r="K59" s="20" t="str">
        <f>IFERROR(VLOOKUP(Table47[[#This Row],[ToSite-UPSName]],Table1[[#All],[Company or Name]:[Delivery Address]],16,FALSE),"")</f>
        <v>Aachen Hospital</v>
      </c>
      <c r="L59" s="20"/>
      <c r="M59" s="20">
        <f>IFERROR(VLOOKUP(Table47[[#This Row],[ToSite-UPSName]],Table1[[#All],[Company or Name]:[Delivery Address]],18,FALSE),"")</f>
        <v>0</v>
      </c>
      <c r="N59" s="20">
        <f>IFERROR(VLOOKUP(Table47[[#This Row],[ToSite-UPSName]],Table1[[#All],[Company or Name]:[Delivery Address]],19,FALSE),"")</f>
        <v>0</v>
      </c>
      <c r="O59" s="13"/>
      <c r="P59" s="20"/>
      <c r="Q59" s="20"/>
      <c r="R59" s="20"/>
      <c r="S59" s="65" t="s">
        <v>892</v>
      </c>
      <c r="T59" s="65" t="s">
        <v>1268</v>
      </c>
      <c r="U59" s="13" t="s">
        <v>125</v>
      </c>
      <c r="V59" s="13" t="s">
        <v>856</v>
      </c>
      <c r="X59" s="13"/>
      <c r="Y59" s="20" t="str">
        <f>TEXT(Table47[[#This Row],[Confirmed Sampling Date]], "yyyy") &amp; "_" &amp; TEXT(Table47[[#This Row],[Confirmed Sampling Date]], "mm") &amp; "_" &amp; TEXT(Table47[[#This Row],[Confirmed Sampling Date]], "dd")</f>
        <v>2025_08_18</v>
      </c>
      <c r="Z59" s="20" t="str">
        <f>IFERROR(LEFT(J59, FIND(" ", J59) - 1), J59)</f>
        <v>Aachen</v>
      </c>
      <c r="AA59" s="20" t="str">
        <f>VLOOKUP(Table47[[#This Row],[ToSite-UPSName]],Table1[[Company or Name]:[NOTES]],2,FALSE)</f>
        <v>Germany</v>
      </c>
      <c r="AB59" s="20" t="str">
        <f>IFERROR(VLOOKUP(Table47[[#This Row],[ToSite-UPSName]], Table1[[#All],[Company or Name]:[Delivery Address]],20,FALSE),"")</f>
        <v>Krefelder Str. 299, Aachen, 52070, Germany</v>
      </c>
      <c r="AC59" s="20" t="str">
        <f>TEXT(Table47[[#This Row],[Shipping Date (SD-14)]]+3,"YYYY-MM-DD")</f>
        <v>2025-08-07</v>
      </c>
      <c r="AD59" s="20" t="str">
        <f>_xlfn.XLOOKUP(Table47[[#This Row],[Type]],kits!C:C,kits!D:D,"",0)</f>
        <v>boxcontentlabel_template_outbound1.docx</v>
      </c>
    </row>
    <row r="60" spans="2:30" ht="14.1" customHeight="1" x14ac:dyDescent="0.25">
      <c r="B60" s="13">
        <v>20</v>
      </c>
      <c r="C60" s="14" t="s">
        <v>1271</v>
      </c>
      <c r="D60" s="13">
        <v>2</v>
      </c>
      <c r="E60" s="24">
        <v>45888</v>
      </c>
      <c r="F60" s="34">
        <f>_xlfn.LET(
    _xlpm.baseDate, Table47[[#This Row],[Confirmed Sampling Date]] - 14,
    _xlpm.weekdayNum, WEEKDAY(_xlpm.baseDate, 2),
    IF(_xlpm.weekdayNum = 6, _xlpm.baseDate + 2, IF(_xlpm.weekdayNum = 7, _xlpm.baseDate + 1, _xlpm.baseDate))
)</f>
        <v>45874</v>
      </c>
      <c r="G60" s="13">
        <f>IFERROR(WEEKNUM(Table47[[#This Row],[Shipping Date (SD-14)]]),"TBD")</f>
        <v>32</v>
      </c>
      <c r="H60" s="13" t="str">
        <f>IFERROR(TEXT(Table47[[#This Row],[Shipping Date (SD-14)]],"yyyy-mm"),"TBD")</f>
        <v>2025-08</v>
      </c>
      <c r="I60" s="13" t="s">
        <v>19</v>
      </c>
      <c r="J60" s="13" t="str">
        <f>IFERROR(VLOOKUP(Table47[[#This Row],[ToSite-UPSName]],Table1[[#All],[Company or Name]:[Delivery Address]],15,FALSE),"")</f>
        <v>Munich WWTP</v>
      </c>
      <c r="K60" s="13" t="str">
        <f>IFERROR(VLOOKUP(Table47[[#This Row],[ToSite-UPSName]],Table1[[#All],[Company or Name]:[Delivery Address]],16,FALSE),"")</f>
        <v>Munich Airport</v>
      </c>
      <c r="L60" s="13" t="str">
        <f>IFERROR(VLOOKUP(Table47[[#This Row],[ToSite-UPSName]],Table1[[#All],[Company or Name]:[Delivery Address]],17,FALSE),"")</f>
        <v>-</v>
      </c>
      <c r="M60" s="13" t="str">
        <f>IFERROR(VLOOKUP(Table47[[#This Row],[ToSite-UPSName]],Table1[[#All],[Company or Name]:[Delivery Address]],18,FALSE),"")</f>
        <v>-</v>
      </c>
      <c r="N60" s="13" t="str">
        <f>IFERROR(VLOOKUP(Table47[[#This Row],[ToSite-UPSName]],Table1[[#All],[Company or Name]:[Delivery Address]],19,FALSE),"")</f>
        <v>-</v>
      </c>
      <c r="O60" s="13"/>
      <c r="P60" s="13" t="s">
        <v>1266</v>
      </c>
      <c r="Q60" s="13" t="s">
        <v>1267</v>
      </c>
      <c r="R60" s="13"/>
      <c r="S60" s="13" t="s">
        <v>892</v>
      </c>
      <c r="T60" s="13" t="s">
        <v>1139</v>
      </c>
      <c r="U60" s="13" t="s">
        <v>125</v>
      </c>
      <c r="V60" s="13" t="s">
        <v>856</v>
      </c>
      <c r="X60" s="13"/>
      <c r="Y60" s="20" t="str">
        <f>TEXT(Table47[[#This Row],[Confirmed Sampling Date]], "yyyy") &amp; "_" &amp; TEXT(Table47[[#This Row],[Confirmed Sampling Date]], "mm") &amp; "_" &amp; TEXT(Table47[[#This Row],[Confirmed Sampling Date]], "dd")</f>
        <v>2025_08_19</v>
      </c>
      <c r="Z60" s="20" t="str">
        <f>IFERROR(LEFT(J60, FIND(" ", J60) - 1), J60)</f>
        <v>Munich</v>
      </c>
      <c r="AA60" s="20" t="str">
        <f>VLOOKUP(Table47[[#This Row],[ToSite-UPSName]],Table1[[Company or Name]:[NOTES]],2,FALSE)</f>
        <v>Germany</v>
      </c>
      <c r="AB60" s="20" t="str">
        <f>IFERROR(VLOOKUP(Table47[[#This Row],[ToSite-UPSName]], Table1[[#All],[Company or Name]:[Delivery Address]],20,FALSE),"")</f>
        <v>Leopoldstrasse 5, Institut fuer Infektions- und Tropenmedizin, Munich, 80802, Germany</v>
      </c>
      <c r="AC60" s="20" t="str">
        <f>TEXT(Table47[[#This Row],[Shipping Date (SD-14)]]+3,"YYYY-MM-DD")</f>
        <v>2025-08-08</v>
      </c>
      <c r="AD60" s="20" t="str">
        <f>_xlfn.XLOOKUP(Table47[[#This Row],[Type]],kits!C:C,kits!D:D,"",0)</f>
        <v>boxcontentlabel_template_outbound1.docx</v>
      </c>
    </row>
    <row r="61" spans="2:30" ht="14.1" customHeight="1" x14ac:dyDescent="0.25">
      <c r="B61" s="13">
        <v>34</v>
      </c>
      <c r="C61" s="14" t="s">
        <v>1271</v>
      </c>
      <c r="D61" s="13">
        <v>1</v>
      </c>
      <c r="E61" s="24">
        <v>45888</v>
      </c>
      <c r="F61" s="34">
        <f>_xlfn.LET(
    _xlpm.baseDate, Table47[[#This Row],[Confirmed Sampling Date]] - 14,
    _xlpm.weekdayNum, WEEKDAY(_xlpm.baseDate, 2),
    IF(_xlpm.weekdayNum = 6, _xlpm.baseDate + 2, IF(_xlpm.weekdayNum = 7, _xlpm.baseDate + 1, _xlpm.baseDate))
)</f>
        <v>45874</v>
      </c>
      <c r="G61" s="13">
        <f>IFERROR(WEEKNUM(Table47[[#This Row],[Shipping Date (SD-14)]]),"TBD")</f>
        <v>32</v>
      </c>
      <c r="H61" s="13" t="str">
        <f>IFERROR(TEXT(Table47[[#This Row],[Shipping Date (SD-14)]],"yyyy-mm"),"TBD")</f>
        <v>2025-08</v>
      </c>
      <c r="I61" s="13" t="s">
        <v>677</v>
      </c>
      <c r="J61" s="13" t="str">
        <f>IFERROR(VLOOKUP(Table47[[#This Row],[ToSite-UPSName]],Table1[[#All],[Company or Name]:[Delivery Address]],15,FALSE),"")</f>
        <v>Frankfurt WWTP</v>
      </c>
      <c r="K61" s="13" t="str">
        <f>IFERROR(VLOOKUP(Table47[[#This Row],[ToSite-UPSName]],Table1[[#All],[Company or Name]:[Delivery Address]],16,FALSE),"")</f>
        <v>Frankfurt Airport</v>
      </c>
      <c r="L61" s="13" t="str">
        <f>IFERROR(VLOOKUP(Table47[[#This Row],[ToSite-UPSName]],Table1[[#All],[Company or Name]:[Delivery Address]],17,FALSE),"")</f>
        <v>-</v>
      </c>
      <c r="M61" s="13" t="str">
        <f>IFERROR(VLOOKUP(Table47[[#This Row],[ToSite-UPSName]],Table1[[#All],[Company or Name]:[Delivery Address]],18,FALSE),"")</f>
        <v>-</v>
      </c>
      <c r="N61" s="13" t="str">
        <f>IFERROR(VLOOKUP(Table47[[#This Row],[ToSite-UPSName]],Table1[[#All],[Company or Name]:[Delivery Address]],19,FALSE),"")</f>
        <v>-</v>
      </c>
      <c r="O61" s="13"/>
      <c r="P61" s="13" t="s">
        <v>1266</v>
      </c>
      <c r="Q61" s="13" t="s">
        <v>1267</v>
      </c>
      <c r="R61" s="13"/>
      <c r="S61" s="13" t="s">
        <v>892</v>
      </c>
      <c r="T61" s="13" t="s">
        <v>1140</v>
      </c>
      <c r="U61" s="13" t="s">
        <v>125</v>
      </c>
      <c r="V61" s="13" t="s">
        <v>856</v>
      </c>
      <c r="X61" s="13"/>
      <c r="Y61" s="20" t="str">
        <f>TEXT(Table47[[#This Row],[Confirmed Sampling Date]], "yyyy") &amp; "_" &amp; TEXT(Table47[[#This Row],[Confirmed Sampling Date]], "mm") &amp; "_" &amp; TEXT(Table47[[#This Row],[Confirmed Sampling Date]], "dd")</f>
        <v>2025_08_19</v>
      </c>
      <c r="Z61" s="20" t="str">
        <f>IFERROR(LEFT(J61, FIND(" ", J61) - 1), J61)</f>
        <v>Frankfurt</v>
      </c>
      <c r="AA61" s="20" t="str">
        <f>VLOOKUP(Table47[[#This Row],[ToSite-UPSName]],Table1[[Company or Name]:[NOTES]],2,FALSE)</f>
        <v>Germany</v>
      </c>
      <c r="AB61" s="20" t="str">
        <f>IFERROR(VLOOKUP(Table47[[#This Row],[ToSite-UPSName]], Table1[[#All],[Company or Name]:[Delivery Address]],20,FALSE),"")</f>
        <v>Goldsteinstraße 160, Gebäude 71 , Frankfurt am Main , 60528, Germany</v>
      </c>
      <c r="AC61" s="20" t="str">
        <f>TEXT(Table47[[#This Row],[Shipping Date (SD-14)]]+3,"YYYY-MM-DD")</f>
        <v>2025-08-08</v>
      </c>
      <c r="AD61" s="20" t="str">
        <f>_xlfn.XLOOKUP(Table47[[#This Row],[Type]],kits!C:C,kits!D:D,"",0)</f>
        <v>boxcontentlabel_template_outbound1.docx</v>
      </c>
    </row>
    <row r="62" spans="2:30" ht="14.1" customHeight="1" x14ac:dyDescent="0.25">
      <c r="B62" s="13">
        <v>102</v>
      </c>
      <c r="C62" s="14" t="s">
        <v>1271</v>
      </c>
      <c r="D62" s="13">
        <v>4</v>
      </c>
      <c r="E62" s="24">
        <v>45888</v>
      </c>
      <c r="F62" s="34">
        <f>_xlfn.LET(
    _xlpm.baseDate, Table47[[#This Row],[Confirmed Sampling Date]] - 14,
    _xlpm.weekdayNum, WEEKDAY(_xlpm.baseDate, 2),
    IF(_xlpm.weekdayNum = 6, _xlpm.baseDate + 2, IF(_xlpm.weekdayNum = 7, _xlpm.baseDate + 1, _xlpm.baseDate))
)</f>
        <v>45874</v>
      </c>
      <c r="G62" s="20">
        <f>IFERROR(WEEKNUM(Table47[[#This Row],[Shipping Date (SD-14)]]),"TBD")</f>
        <v>32</v>
      </c>
      <c r="H62" s="20" t="str">
        <f>IFERROR(TEXT(Table47[[#This Row],[Shipping Date (SD-14)]],"yyyy-mm"),"TBD")</f>
        <v>2025-08</v>
      </c>
      <c r="I62" s="13" t="s">
        <v>877</v>
      </c>
      <c r="J62" s="20" t="str">
        <f>IFERROR(VLOOKUP(Table47[[#This Row],[ToSite-UPSName]],Table1[[#All],[Company or Name]:[Delivery Address]],15,FALSE),"")</f>
        <v>Prague National Institute</v>
      </c>
      <c r="K62" s="20" t="str">
        <f>IFERROR(VLOOKUP(Table47[[#This Row],[ToSite-UPSName]],Table1[[#All],[Company or Name]:[Delivery Address]],16,FALSE),"")</f>
        <v>Prague WWTP FLOW 1</v>
      </c>
      <c r="L62" s="13" t="str">
        <f>IFERROR(VLOOKUP(Table47[[#This Row],[ToSite-UPSName]],Table1[[#All],[Company or Name]:[Delivery Address]],17,FALSE),"")</f>
        <v>Prague WWTP FLOW 2</v>
      </c>
      <c r="M62" s="20" t="str">
        <f>IFERROR(VLOOKUP(Table47[[#This Row],[ToSite-UPSName]],Table1[[#All],[Company or Name]:[Delivery Address]],18,FALSE),"")</f>
        <v>Prague Airport</v>
      </c>
      <c r="N62" s="20" t="str">
        <f>IFERROR(VLOOKUP(Table47[[#This Row],[ToSite-UPSName]],Table1[[#All],[Company or Name]:[Delivery Address]],19,FALSE),"")</f>
        <v>Prague Hospital</v>
      </c>
      <c r="O62" s="13"/>
      <c r="P62" s="13" t="s">
        <v>1266</v>
      </c>
      <c r="Q62" s="13" t="s">
        <v>1267</v>
      </c>
      <c r="R62" s="20"/>
      <c r="S62" s="65" t="s">
        <v>892</v>
      </c>
      <c r="T62" s="64" t="s">
        <v>1144</v>
      </c>
      <c r="U62" s="13" t="s">
        <v>125</v>
      </c>
      <c r="V62" s="13" t="s">
        <v>856</v>
      </c>
      <c r="X62" s="13"/>
      <c r="Y62" s="20" t="str">
        <f>TEXT(Table47[[#This Row],[Confirmed Sampling Date]], "yyyy") &amp; "_" &amp; TEXT(Table47[[#This Row],[Confirmed Sampling Date]], "mm") &amp; "_" &amp; TEXT(Table47[[#This Row],[Confirmed Sampling Date]], "dd")</f>
        <v>2025_08_19</v>
      </c>
      <c r="Z62" s="20" t="str">
        <f>IFERROR(LEFT(J62, FIND(" ", J62) - 1), J62)</f>
        <v>Prague</v>
      </c>
      <c r="AA62" s="20" t="str">
        <f>VLOOKUP(Table47[[#This Row],[ToSite-UPSName]],Table1[[Company or Name]:[NOTES]],2,FALSE)</f>
        <v>Czech Republic</v>
      </c>
      <c r="AB62" s="20" t="str">
        <f>IFERROR(VLOOKUP(Table47[[#This Row],[ToSite-UPSName]], Table1[[#All],[Company or Name]:[Delivery Address]],20,FALSE),"")</f>
        <v>Šrobárova 49/48, Státní zdravotní ústav, Praha, 100 00, Czech Republic</v>
      </c>
      <c r="AC62" s="20" t="str">
        <f>TEXT(Table47[[#This Row],[Shipping Date (SD-14)]]+3,"YYYY-MM-DD")</f>
        <v>2025-08-08</v>
      </c>
      <c r="AD62" s="20" t="str">
        <f>_xlfn.XLOOKUP(Table47[[#This Row],[Type]],kits!C:C,kits!D:D,"",0)</f>
        <v>boxcontentlabel_template_outbound1.docx</v>
      </c>
    </row>
    <row r="63" spans="2:30" ht="14.1" customHeight="1" x14ac:dyDescent="0.25">
      <c r="B63" s="13">
        <v>115</v>
      </c>
      <c r="C63" s="14" t="s">
        <v>1271</v>
      </c>
      <c r="D63" s="13">
        <v>2</v>
      </c>
      <c r="E63" s="24">
        <v>45888</v>
      </c>
      <c r="F63" s="34">
        <f>_xlfn.LET(
    _xlpm.baseDate, Table47[[#This Row],[Confirmed Sampling Date]] - 14,
    _xlpm.weekdayNum, WEEKDAY(_xlpm.baseDate, 2),
    IF(_xlpm.weekdayNum = 6, _xlpm.baseDate + 2, IF(_xlpm.weekdayNum = 7, _xlpm.baseDate + 1, _xlpm.baseDate))
)</f>
        <v>45874</v>
      </c>
      <c r="G63" s="20">
        <f>IFERROR(WEEKNUM(Table47[[#This Row],[Shipping Date (SD-14)]]),"TBD")</f>
        <v>32</v>
      </c>
      <c r="H63" s="20" t="str">
        <f>IFERROR(TEXT(Table47[[#This Row],[Shipping Date (SD-14)]],"yyyy-mm"),"TBD")</f>
        <v>2025-08</v>
      </c>
      <c r="I63" s="13" t="s">
        <v>779</v>
      </c>
      <c r="J63" s="20" t="str">
        <f>IFERROR(VLOOKUP(Table47[[#This Row],[ToSite-UPSName]],Table1[[#All],[Company or Name]:[Delivery Address]],15,FALSE),"")</f>
        <v>Larnaca WWTP</v>
      </c>
      <c r="K63" s="20" t="str">
        <f>IFERROR(VLOOKUP(Table47[[#This Row],[ToSite-UPSName]],Table1[[#All],[Company or Name]:[Delivery Address]],16,FALSE),"")</f>
        <v>Larnaca Airport</v>
      </c>
      <c r="L63" s="20"/>
      <c r="M63" s="20">
        <f>IFERROR(VLOOKUP(Table47[[#This Row],[ToSite-UPSName]],Table1[[#All],[Company or Name]:[Delivery Address]],18,FALSE),"")</f>
        <v>0</v>
      </c>
      <c r="N63" s="20">
        <f>IFERROR(VLOOKUP(Table47[[#This Row],[ToSite-UPSName]],Table1[[#All],[Company or Name]:[Delivery Address]],19,FALSE),"")</f>
        <v>0</v>
      </c>
      <c r="O63" s="13"/>
      <c r="P63" s="13" t="s">
        <v>1266</v>
      </c>
      <c r="Q63" s="13" t="s">
        <v>1267</v>
      </c>
      <c r="R63" s="20"/>
      <c r="S63" s="20" t="s">
        <v>892</v>
      </c>
      <c r="T63" s="13" t="s">
        <v>1145</v>
      </c>
      <c r="U63" s="13" t="s">
        <v>125</v>
      </c>
      <c r="V63" s="13" t="s">
        <v>856</v>
      </c>
      <c r="X63" s="13"/>
      <c r="Y63" s="20" t="str">
        <f>TEXT(Table47[[#This Row],[Confirmed Sampling Date]], "yyyy") &amp; "_" &amp; TEXT(Table47[[#This Row],[Confirmed Sampling Date]], "mm") &amp; "_" &amp; TEXT(Table47[[#This Row],[Confirmed Sampling Date]], "dd")</f>
        <v>2025_08_19</v>
      </c>
      <c r="Z63" s="20" t="str">
        <f>IFERROR(LEFT(J63, FIND(" ", J63) - 1), J63)</f>
        <v>Larnaca</v>
      </c>
      <c r="AA63" s="20" t="str">
        <f>VLOOKUP(Table47[[#This Row],[ToSite-UPSName]],Table1[[Company or Name]:[NOTES]],2,FALSE)</f>
        <v>Cyprus</v>
      </c>
      <c r="AB63" s="20" t="str">
        <f>IFERROR(VLOOKUP(Table47[[#This Row],[ToSite-UPSName]], Table1[[#All],[Company or Name]:[Delivery Address]],20,FALSE),"")</f>
        <v>Adamantiou Korai street 12, Larnaca District Local Government Organization offices, Larnaca, 6010, Cyprus</v>
      </c>
      <c r="AC63" s="20" t="str">
        <f>TEXT(Table47[[#This Row],[Shipping Date (SD-14)]]+3,"YYYY-MM-DD")</f>
        <v>2025-08-08</v>
      </c>
      <c r="AD63" s="20" t="str">
        <f>_xlfn.XLOOKUP(Table47[[#This Row],[Type]],kits!C:C,kits!D:D,"",0)</f>
        <v>boxcontentlabel_template_outbound1.docx</v>
      </c>
    </row>
    <row r="64" spans="2:30" ht="14.1" customHeight="1" x14ac:dyDescent="0.25">
      <c r="B64" s="13">
        <v>127</v>
      </c>
      <c r="C64" s="14" t="s">
        <v>1271</v>
      </c>
      <c r="D64" s="13">
        <v>2</v>
      </c>
      <c r="E64" s="24">
        <v>45888</v>
      </c>
      <c r="F64" s="83">
        <f>_xlfn.LET(
    _xlpm.baseDate, Table47[[#This Row],[Confirmed Sampling Date]] - 14,
    _xlpm.weekdayNum, WEEKDAY(_xlpm.baseDate, 2),
    IF(_xlpm.weekdayNum = 6, _xlpm.baseDate + 2, IF(_xlpm.weekdayNum = 7, _xlpm.baseDate + 1, _xlpm.baseDate))
)</f>
        <v>45874</v>
      </c>
      <c r="G64" s="20">
        <f>IFERROR(WEEKNUM(Table47[[#This Row],[Shipping Date (SD-14)]]),"TBD")</f>
        <v>32</v>
      </c>
      <c r="H64" s="20" t="str">
        <f>IFERROR(TEXT(Table47[[#This Row],[Shipping Date (SD-14)]],"yyyy-mm"),"TBD")</f>
        <v>2025-08</v>
      </c>
      <c r="I64" s="13" t="s">
        <v>863</v>
      </c>
      <c r="J64" s="20" t="str">
        <f>IFERROR(VLOOKUP(Table47[[#This Row],[ToSite-UPSName]],Table1[[#All],[Company or Name]:[Delivery Address]],15,FALSE),"")</f>
        <v>Dusseldorf WWTP 2101</v>
      </c>
      <c r="K64" s="20" t="str">
        <f>IFERROR(VLOOKUP(Table47[[#This Row],[ToSite-UPSName]],Table1[[#All],[Company or Name]:[Delivery Address]],16,FALSE),"")</f>
        <v>Dusseldorf WWTP 601</v>
      </c>
      <c r="L64" s="20"/>
      <c r="M64" s="20">
        <f>IFERROR(VLOOKUP(Table47[[#This Row],[ToSite-UPSName]],Table1[[#All],[Company or Name]:[Delivery Address]],18,FALSE),"")</f>
        <v>0</v>
      </c>
      <c r="N64" s="20">
        <f>IFERROR(VLOOKUP(Table47[[#This Row],[ToSite-UPSName]],Table1[[#All],[Company or Name]:[Delivery Address]],19,FALSE),"")</f>
        <v>0</v>
      </c>
      <c r="O64" s="13"/>
      <c r="P64" s="13" t="s">
        <v>1266</v>
      </c>
      <c r="Q64" s="13" t="s">
        <v>1267</v>
      </c>
      <c r="R64" s="20"/>
      <c r="S64" s="20" t="s">
        <v>892</v>
      </c>
      <c r="T64" s="13" t="s">
        <v>1146</v>
      </c>
      <c r="U64" s="13" t="s">
        <v>125</v>
      </c>
      <c r="V64" s="13" t="s">
        <v>856</v>
      </c>
      <c r="X64" s="13"/>
      <c r="Y64" s="20" t="str">
        <f>TEXT(Table47[[#This Row],[Confirmed Sampling Date]], "yyyy") &amp; "_" &amp; TEXT(Table47[[#This Row],[Confirmed Sampling Date]], "mm") &amp; "_" &amp; TEXT(Table47[[#This Row],[Confirmed Sampling Date]], "dd")</f>
        <v>2025_08_19</v>
      </c>
      <c r="Z64" s="20" t="str">
        <f>IFERROR(LEFT(J64, FIND(" ", J64) - 1), J64)</f>
        <v>Dusseldorf</v>
      </c>
      <c r="AA64" s="20" t="str">
        <f>VLOOKUP(Table47[[#This Row],[ToSite-UPSName]],Table1[[Company or Name]:[NOTES]],2,FALSE)</f>
        <v>Germany</v>
      </c>
      <c r="AB64" s="20" t="str">
        <f>IFERROR(VLOOKUP(Table47[[#This Row],[ToSite-UPSName]], Table1[[#All],[Company or Name]:[Delivery Address]],20,FALSE),"")</f>
        <v>Auf dem Draap 15, Chemisch-Biologische Laboratorien, Dusseldorf, 40221, Germany</v>
      </c>
      <c r="AC64" s="20" t="str">
        <f>TEXT(Table47[[#This Row],[Shipping Date (SD-14)]]+3,"YYYY-MM-DD")</f>
        <v>2025-08-08</v>
      </c>
      <c r="AD64" s="20" t="str">
        <f>_xlfn.XLOOKUP(Table47[[#This Row],[Type]],kits!C:C,kits!D:D,"",0)</f>
        <v>boxcontentlabel_template_outbound1.docx</v>
      </c>
    </row>
    <row r="65" spans="2:30" ht="14.1" customHeight="1" x14ac:dyDescent="0.25">
      <c r="B65" s="13">
        <v>139</v>
      </c>
      <c r="C65" s="14" t="s">
        <v>1271</v>
      </c>
      <c r="D65" s="13">
        <v>3</v>
      </c>
      <c r="E65" s="24">
        <v>45888</v>
      </c>
      <c r="F65" s="34">
        <f>_xlfn.LET(
    _xlpm.baseDate, Table47[[#This Row],[Confirmed Sampling Date]] - 14,
    _xlpm.weekdayNum, WEEKDAY(_xlpm.baseDate, 2),
    IF(_xlpm.weekdayNum = 6, _xlpm.baseDate + 2, IF(_xlpm.weekdayNum = 7, _xlpm.baseDate + 1, _xlpm.baseDate))
)</f>
        <v>45874</v>
      </c>
      <c r="G65" s="20">
        <f>IFERROR(WEEKNUM(Table47[[#This Row],[Shipping Date (SD-14)]]),"TBD")</f>
        <v>32</v>
      </c>
      <c r="H65" s="20" t="str">
        <f>IFERROR(TEXT(Table47[[#This Row],[Shipping Date (SD-14)]],"yyyy-mm"),"TBD")</f>
        <v>2025-08</v>
      </c>
      <c r="I65" s="13" t="s">
        <v>975</v>
      </c>
      <c r="J65" s="20" t="str">
        <f>IFERROR(VLOOKUP(Table47[[#This Row],[ToSite-UPSName]],Table1[[#All],[Company or Name]:[Delivery Address]],15,FALSE),"")</f>
        <v>Vilnius WWTP</v>
      </c>
      <c r="K65" s="20" t="str">
        <f>IFERROR(VLOOKUP(Table47[[#This Row],[ToSite-UPSName]],Table1[[#All],[Company or Name]:[Delivery Address]],16,FALSE),"")</f>
        <v>Vilnius Bus Terminal</v>
      </c>
      <c r="L65" s="20"/>
      <c r="M65" s="20">
        <f>IFERROR(VLOOKUP(Table47[[#This Row],[ToSite-UPSName]],Table1[[#All],[Company or Name]:[Delivery Address]],18,FALSE),"")</f>
        <v>0</v>
      </c>
      <c r="N65" s="20">
        <f>IFERROR(VLOOKUP(Table47[[#This Row],[ToSite-UPSName]],Table1[[#All],[Company or Name]:[Delivery Address]],19,FALSE),"")</f>
        <v>0</v>
      </c>
      <c r="O65" s="13"/>
      <c r="P65" s="13" t="s">
        <v>1266</v>
      </c>
      <c r="Q65" s="13" t="s">
        <v>1267</v>
      </c>
      <c r="R65" s="20"/>
      <c r="S65" s="20" t="s">
        <v>892</v>
      </c>
      <c r="T65" s="13" t="s">
        <v>1147</v>
      </c>
      <c r="U65" s="13" t="s">
        <v>125</v>
      </c>
      <c r="V65" s="13" t="s">
        <v>856</v>
      </c>
      <c r="X65" s="13"/>
      <c r="Y65" s="20" t="str">
        <f>TEXT(Table47[[#This Row],[Confirmed Sampling Date]], "yyyy") &amp; "_" &amp; TEXT(Table47[[#This Row],[Confirmed Sampling Date]], "mm") &amp; "_" &amp; TEXT(Table47[[#This Row],[Confirmed Sampling Date]], "dd")</f>
        <v>2025_08_19</v>
      </c>
      <c r="Z65" s="20" t="str">
        <f>IFERROR(LEFT(J65, FIND(" ", J65) - 1), J65)</f>
        <v>Vilnius</v>
      </c>
      <c r="AA65" s="20" t="str">
        <f>VLOOKUP(Table47[[#This Row],[ToSite-UPSName]],Table1[[Company or Name]:[NOTES]],2,FALSE)</f>
        <v>Lithuania</v>
      </c>
      <c r="AB65" s="20" t="str">
        <f>IFERROR(VLOOKUP(Table47[[#This Row],[ToSite-UPSName]], Table1[[#All],[Company or Name]:[Delivery Address]],20,FALSE),"")</f>
        <v>Zolyno 36 gatve, Vilnius, 10210, Lithuania</v>
      </c>
      <c r="AC65" s="20" t="str">
        <f>TEXT(Table47[[#This Row],[Shipping Date (SD-14)]]+3,"YYYY-MM-DD")</f>
        <v>2025-08-08</v>
      </c>
      <c r="AD65" s="20" t="str">
        <f>_xlfn.XLOOKUP(Table47[[#This Row],[Type]],kits!C:C,kits!D:D,"",0)</f>
        <v>boxcontentlabel_template_outbound1.docx</v>
      </c>
    </row>
    <row r="66" spans="2:30" ht="14.1" customHeight="1" x14ac:dyDescent="0.25">
      <c r="B66" s="13">
        <v>167</v>
      </c>
      <c r="C66" s="14" t="s">
        <v>1271</v>
      </c>
      <c r="D66" s="13">
        <v>1</v>
      </c>
      <c r="E66" s="22">
        <v>45888</v>
      </c>
      <c r="F66" s="34">
        <f>_xlfn.LET(
    _xlpm.baseDate, Table47[[#This Row],[Confirmed Sampling Date]] - 14,
    _xlpm.weekdayNum, WEEKDAY(_xlpm.baseDate, 2),
    IF(_xlpm.weekdayNum = 6, _xlpm.baseDate + 2, IF(_xlpm.weekdayNum = 7, _xlpm.baseDate + 1, _xlpm.baseDate))
)</f>
        <v>45874</v>
      </c>
      <c r="G66" s="20">
        <f>IFERROR(WEEKNUM(Table47[[#This Row],[Shipping Date (SD-14)]]),"TBD")</f>
        <v>32</v>
      </c>
      <c r="H66" s="20" t="str">
        <f>IFERROR(TEXT(Table47[[#This Row],[Shipping Date (SD-14)]],"yyyy-mm"),"TBD")</f>
        <v>2025-08</v>
      </c>
      <c r="I66" s="78" t="s">
        <v>1125</v>
      </c>
      <c r="J66" s="20" t="str">
        <f>IFERROR(VLOOKUP(Table47[[#This Row],[ToSite-UPSName]],Table1[[#All],[Company or Name]:[Delivery Address]],15,FALSE),"")</f>
        <v>Cluj-SCBI</v>
      </c>
      <c r="K66" s="20" t="str">
        <f>IFERROR(VLOOKUP(Table47[[#This Row],[ToSite-UPSName]],Table1[[#All],[Company or Name]:[Delivery Address]],16,FALSE),"")</f>
        <v>-</v>
      </c>
      <c r="L66" s="20"/>
      <c r="M66" s="20" t="str">
        <f>IFERROR(VLOOKUP(Table47[[#This Row],[ToSite-UPSName]],Table1[[#All],[Company or Name]:[Delivery Address]],18,FALSE),"")</f>
        <v>-</v>
      </c>
      <c r="N66" s="20" t="str">
        <f>IFERROR(VLOOKUP(Table47[[#This Row],[ToSite-UPSName]],Table1[[#All],[Company or Name]:[Delivery Address]],19,FALSE),"")</f>
        <v>-</v>
      </c>
      <c r="O66" s="13"/>
      <c r="P66" s="13" t="s">
        <v>1266</v>
      </c>
      <c r="Q66" s="13" t="s">
        <v>1267</v>
      </c>
      <c r="R66" s="20"/>
      <c r="S66" s="65" t="s">
        <v>892</v>
      </c>
      <c r="T66" s="13" t="s">
        <v>1149</v>
      </c>
      <c r="U66" s="13" t="s">
        <v>125</v>
      </c>
      <c r="V66" s="13" t="s">
        <v>856</v>
      </c>
      <c r="X66" s="13"/>
      <c r="Y66" s="20" t="str">
        <f>TEXT(Table47[[#This Row],[Confirmed Sampling Date]], "yyyy") &amp; "_" &amp; TEXT(Table47[[#This Row],[Confirmed Sampling Date]], "mm") &amp; "_" &amp; TEXT(Table47[[#This Row],[Confirmed Sampling Date]], "dd")</f>
        <v>2025_08_19</v>
      </c>
      <c r="Z66" s="20" t="str">
        <f>IFERROR(LEFT(J66, FIND(" ", J66) - 1), J66)</f>
        <v>Cluj-SCBI</v>
      </c>
      <c r="AA66" s="20" t="str">
        <f>VLOOKUP(Table47[[#This Row],[ToSite-UPSName]],Table1[[Company or Name]:[NOTES]],2,FALSE)</f>
        <v>Romania</v>
      </c>
      <c r="AB66" s="20" t="str">
        <f>IFERROR(VLOOKUP(Table47[[#This Row],[ToSite-UPSName]], Table1[[#All],[Company or Name]:[Delivery Address]],20,FALSE),"")</f>
        <v>Strada Iuliu Moldovan 23, Cluj-Napoca, 400003, Romania</v>
      </c>
      <c r="AC66" s="20" t="str">
        <f>TEXT(Table47[[#This Row],[Shipping Date (SD-14)]]+3,"YYYY-MM-DD")</f>
        <v>2025-08-08</v>
      </c>
      <c r="AD66" s="20" t="str">
        <f>_xlfn.XLOOKUP(Table47[[#This Row],[Type]],kits!C:C,kits!D:D,"",0)</f>
        <v>boxcontentlabel_template_outbound1.docx</v>
      </c>
    </row>
    <row r="67" spans="2:30" ht="14.1" customHeight="1" x14ac:dyDescent="0.25">
      <c r="B67" s="13">
        <v>176</v>
      </c>
      <c r="C67" s="14" t="s">
        <v>1271</v>
      </c>
      <c r="D67" s="13">
        <v>1</v>
      </c>
      <c r="E67" s="22">
        <v>45888</v>
      </c>
      <c r="F67" s="34">
        <f>_xlfn.LET(
    _xlpm.baseDate, Table47[[#This Row],[Confirmed Sampling Date]] - 14,
    _xlpm.weekdayNum, WEEKDAY(_xlpm.baseDate, 2),
    IF(_xlpm.weekdayNum = 6, _xlpm.baseDate + 2, IF(_xlpm.weekdayNum = 7, _xlpm.baseDate + 1, _xlpm.baseDate))
)</f>
        <v>45874</v>
      </c>
      <c r="G67" s="20">
        <f>IFERROR(WEEKNUM(Table47[[#This Row],[Shipping Date (SD-14)]]),"TBD")</f>
        <v>32</v>
      </c>
      <c r="H67" s="20" t="str">
        <f>IFERROR(TEXT(Table47[[#This Row],[Shipping Date (SD-14)]],"yyyy-mm"),"TBD")</f>
        <v>2025-08</v>
      </c>
      <c r="I67" s="78" t="s">
        <v>1132</v>
      </c>
      <c r="J67" s="20" t="str">
        <f>IFERROR(VLOOKUP(Table47[[#This Row],[ToSite-UPSName]],Table1[[#All],[Company or Name]:[Delivery Address]],15,FALSE),"")</f>
        <v>Cluj-MNC</v>
      </c>
      <c r="K67" s="20" t="str">
        <f>IFERROR(VLOOKUP(Table47[[#This Row],[ToSite-UPSName]],Table1[[#All],[Company or Name]:[Delivery Address]],16,FALSE),"")</f>
        <v>-</v>
      </c>
      <c r="L67" s="20"/>
      <c r="M67" s="20" t="str">
        <f>IFERROR(VLOOKUP(Table47[[#This Row],[ToSite-UPSName]],Table1[[#All],[Company or Name]:[Delivery Address]],18,FALSE),"")</f>
        <v>-</v>
      </c>
      <c r="N67" s="20" t="str">
        <f>IFERROR(VLOOKUP(Table47[[#This Row],[ToSite-UPSName]],Table1[[#All],[Company or Name]:[Delivery Address]],19,FALSE),"")</f>
        <v>-</v>
      </c>
      <c r="O67" s="13"/>
      <c r="P67" s="13" t="s">
        <v>1266</v>
      </c>
      <c r="Q67" s="13" t="s">
        <v>1267</v>
      </c>
      <c r="R67" s="20"/>
      <c r="S67" s="20" t="s">
        <v>892</v>
      </c>
      <c r="T67" s="13" t="s">
        <v>1150</v>
      </c>
      <c r="U67" s="13" t="s">
        <v>125</v>
      </c>
      <c r="V67" s="13" t="s">
        <v>856</v>
      </c>
      <c r="X67" s="13"/>
      <c r="Y67" s="20" t="str">
        <f>TEXT(Table47[[#This Row],[Confirmed Sampling Date]], "yyyy") &amp; "_" &amp; TEXT(Table47[[#This Row],[Confirmed Sampling Date]], "mm") &amp; "_" &amp; TEXT(Table47[[#This Row],[Confirmed Sampling Date]], "dd")</f>
        <v>2025_08_19</v>
      </c>
      <c r="Z67" s="20" t="str">
        <f>IFERROR(LEFT(J67, FIND(" ", J67) - 1), J67)</f>
        <v>Cluj-MNC</v>
      </c>
      <c r="AA67" s="20" t="str">
        <f>VLOOKUP(Table47[[#This Row],[ToSite-UPSName]],Table1[[Company or Name]:[NOTES]],2,FALSE)</f>
        <v>Romania</v>
      </c>
      <c r="AB67" s="20" t="str">
        <f>IFERROR(VLOOKUP(Table47[[#This Row],[ToSite-UPSName]], Table1[[#All],[Company or Name]:[Delivery Address]],20,FALSE),"")</f>
        <v>Strada Tăbăcarilor 11, Cluj-Napoca, 400139, Romania</v>
      </c>
      <c r="AC67" s="20" t="str">
        <f>TEXT(Table47[[#This Row],[Shipping Date (SD-14)]]+3,"YYYY-MM-DD")</f>
        <v>2025-08-08</v>
      </c>
      <c r="AD67" s="20" t="str">
        <f>_xlfn.XLOOKUP(Table47[[#This Row],[Type]],kits!C:C,kits!D:D,"",0)</f>
        <v>boxcontentlabel_template_outbound1.docx</v>
      </c>
    </row>
    <row r="68" spans="2:30" ht="14.1" customHeight="1" x14ac:dyDescent="0.25">
      <c r="B68" s="13">
        <v>75</v>
      </c>
      <c r="C68" s="14" t="s">
        <v>1271</v>
      </c>
      <c r="D68" s="13">
        <v>1</v>
      </c>
      <c r="E68" s="22">
        <v>45889</v>
      </c>
      <c r="F68" s="34">
        <f>_xlfn.LET(
    _xlpm.baseDate, Table47[[#This Row],[Confirmed Sampling Date]] - 14,
    _xlpm.weekdayNum, WEEKDAY(_xlpm.baseDate, 2),
    IF(_xlpm.weekdayNum = 6, _xlpm.baseDate + 2, IF(_xlpm.weekdayNum = 7, _xlpm.baseDate + 1, _xlpm.baseDate))
)</f>
        <v>45875</v>
      </c>
      <c r="G68" s="20">
        <f>IFERROR(WEEKNUM(Table47[[#This Row],[Shipping Date (SD-14)]]),"TBD")</f>
        <v>32</v>
      </c>
      <c r="H68" s="20" t="str">
        <f>IFERROR(TEXT(Table47[[#This Row],[Shipping Date (SD-14)]],"yyyy-mm"),"TBD")</f>
        <v>2025-08</v>
      </c>
      <c r="I68" s="13" t="s">
        <v>680</v>
      </c>
      <c r="J68" s="13" t="str">
        <f>IFERROR(VLOOKUP(Table47[[#This Row],[ToSite-UPSName]],Table1[[#All],[Company or Name]:[Delivery Address]],15,FALSE),"")</f>
        <v>Rome WWTP</v>
      </c>
      <c r="K68" s="20" t="str">
        <f>IFERROR(VLOOKUP(Table47[[#This Row],[ToSite-UPSName]],Table1[[#All],[Company or Name]:[Delivery Address]],16,FALSE),"")</f>
        <v>-</v>
      </c>
      <c r="L68" s="13" t="str">
        <f>IFERROR(VLOOKUP(Table47[[#This Row],[ToSite-UPSName]],Table1[[#All],[Company or Name]:[Delivery Address]],17,FALSE),"")</f>
        <v>-</v>
      </c>
      <c r="M68" s="20" t="str">
        <f>IFERROR(VLOOKUP(Table47[[#This Row],[ToSite-UPSName]],Table1[[#All],[Company or Name]:[Delivery Address]],18,FALSE),"")</f>
        <v>-</v>
      </c>
      <c r="N68" s="20" t="str">
        <f>IFERROR(VLOOKUP(Table47[[#This Row],[ToSite-UPSName]],Table1[[#All],[Company or Name]:[Delivery Address]],19,FALSE),"")</f>
        <v>-</v>
      </c>
      <c r="O68" s="13"/>
      <c r="P68" s="13" t="s">
        <v>1266</v>
      </c>
      <c r="Q68" s="13" t="s">
        <v>1267</v>
      </c>
      <c r="R68" s="20"/>
      <c r="S68" s="65" t="s">
        <v>892</v>
      </c>
      <c r="T68" s="64" t="s">
        <v>1142</v>
      </c>
      <c r="U68" s="13" t="s">
        <v>125</v>
      </c>
      <c r="V68" s="13" t="s">
        <v>856</v>
      </c>
      <c r="X68" s="13"/>
      <c r="Y68" s="20" t="str">
        <f>TEXT(Table47[[#This Row],[Confirmed Sampling Date]], "yyyy") &amp; "_" &amp; TEXT(Table47[[#This Row],[Confirmed Sampling Date]], "mm") &amp; "_" &amp; TEXT(Table47[[#This Row],[Confirmed Sampling Date]], "dd")</f>
        <v>2025_08_20</v>
      </c>
      <c r="Z68" s="20" t="str">
        <f>IFERROR(LEFT(J68, FIND(" ", J68) - 1), J68)</f>
        <v>Rome</v>
      </c>
      <c r="AA68" s="20" t="str">
        <f>VLOOKUP(Table47[[#This Row],[ToSite-UPSName]],Table1[[Company or Name]:[NOTES]],2,FALSE)</f>
        <v>Italy</v>
      </c>
      <c r="AB68" s="20" t="str">
        <f>IFERROR(VLOOKUP(Table47[[#This Row],[ToSite-UPSName]], Table1[[#All],[Company or Name]:[Delivery Address]],20,FALSE),"")</f>
        <v>Via dell'Equitazione 10, Rome, 00144, Italy</v>
      </c>
      <c r="AC68" s="20" t="str">
        <f>TEXT(Table47[[#This Row],[Shipping Date (SD-14)]]+3,"YYYY-MM-DD")</f>
        <v>2025-08-09</v>
      </c>
      <c r="AD68" s="20" t="str">
        <f>_xlfn.XLOOKUP(Table47[[#This Row],[Type]],kits!C:C,kits!D:D,"",0)</f>
        <v>boxcontentlabel_template_outbound1.docx</v>
      </c>
    </row>
    <row r="69" spans="2:30" ht="14.1" customHeight="1" x14ac:dyDescent="0.25">
      <c r="B69" s="13">
        <v>89</v>
      </c>
      <c r="C69" s="14" t="s">
        <v>1271</v>
      </c>
      <c r="D69" s="13">
        <v>1</v>
      </c>
      <c r="E69" s="22">
        <v>45889</v>
      </c>
      <c r="F69" s="34">
        <f>_xlfn.LET(
    _xlpm.baseDate, Table47[[#This Row],[Confirmed Sampling Date]] - 14,
    _xlpm.weekdayNum, WEEKDAY(_xlpm.baseDate, 2),
    IF(_xlpm.weekdayNum = 6, _xlpm.baseDate + 2, IF(_xlpm.weekdayNum = 7, _xlpm.baseDate + 1, _xlpm.baseDate))
)</f>
        <v>45875</v>
      </c>
      <c r="G69" s="20">
        <f>IFERROR(WEEKNUM(Table47[[#This Row],[Shipping Date (SD-14)]]),"TBD")</f>
        <v>32</v>
      </c>
      <c r="H69" s="20" t="str">
        <f>IFERROR(TEXT(Table47[[#This Row],[Shipping Date (SD-14)]],"yyyy-mm"),"TBD")</f>
        <v>2025-08</v>
      </c>
      <c r="I69" s="13" t="s">
        <v>771</v>
      </c>
      <c r="J69" s="20" t="str">
        <f>IFERROR(VLOOKUP(Table47[[#This Row],[ToSite-UPSName]],Table1[[#All],[Company or Name]:[Delivery Address]],15,FALSE),"")</f>
        <v>RomeAirport</v>
      </c>
      <c r="K69" s="20" t="str">
        <f>IFERROR(VLOOKUP(Table47[[#This Row],[ToSite-UPSName]],Table1[[#All],[Company or Name]:[Delivery Address]],16,FALSE),"")</f>
        <v>-</v>
      </c>
      <c r="L69" s="13" t="str">
        <f>IFERROR(VLOOKUP(Table47[[#This Row],[ToSite-UPSName]],Table1[[#All],[Company or Name]:[Delivery Address]],17,FALSE),"")</f>
        <v>-</v>
      </c>
      <c r="M69" s="20" t="str">
        <f>IFERROR(VLOOKUP(Table47[[#This Row],[ToSite-UPSName]],Table1[[#All],[Company or Name]:[Delivery Address]],18,FALSE),"")</f>
        <v>-</v>
      </c>
      <c r="N69" s="20" t="str">
        <f>IFERROR(VLOOKUP(Table47[[#This Row],[ToSite-UPSName]],Table1[[#All],[Company or Name]:[Delivery Address]],19,FALSE),"")</f>
        <v>-</v>
      </c>
      <c r="O69" s="13"/>
      <c r="P69" s="13" t="s">
        <v>1266</v>
      </c>
      <c r="Q69" s="13" t="s">
        <v>1267</v>
      </c>
      <c r="R69" s="20"/>
      <c r="S69" s="20" t="s">
        <v>892</v>
      </c>
      <c r="T69" s="13" t="s">
        <v>1143</v>
      </c>
      <c r="U69" s="13" t="s">
        <v>125</v>
      </c>
      <c r="V69" s="13" t="s">
        <v>856</v>
      </c>
      <c r="X69" s="13"/>
      <c r="Y69" s="20" t="str">
        <f>TEXT(Table47[[#This Row],[Confirmed Sampling Date]], "yyyy") &amp; "_" &amp; TEXT(Table47[[#This Row],[Confirmed Sampling Date]], "mm") &amp; "_" &amp; TEXT(Table47[[#This Row],[Confirmed Sampling Date]], "dd")</f>
        <v>2025_08_20</v>
      </c>
      <c r="Z69" s="20" t="str">
        <f>IFERROR(LEFT(J69, FIND(" ", J69) - 1), J69)</f>
        <v>RomeAirport</v>
      </c>
      <c r="AA69" s="20" t="str">
        <f>VLOOKUP(Table47[[#This Row],[ToSite-UPSName]],Table1[[Company or Name]:[NOTES]],2,FALSE)</f>
        <v>Italy</v>
      </c>
      <c r="AB69" s="20" t="str">
        <f>IFERROR(VLOOKUP(Table47[[#This Row],[ToSite-UPSName]], Table1[[#All],[Company or Name]:[Delivery Address]],20,FALSE),"")</f>
        <v>VIA FRATELLI WRIGHT (DEPURATORE BIOLOGICO), FIUMICINO, 00054, Italy</v>
      </c>
      <c r="AC69" s="20" t="str">
        <f>TEXT(Table47[[#This Row],[Shipping Date (SD-14)]]+3,"YYYY-MM-DD")</f>
        <v>2025-08-09</v>
      </c>
      <c r="AD69" s="20" t="str">
        <f>_xlfn.XLOOKUP(Table47[[#This Row],[Type]],kits!C:C,kits!D:D,"",0)</f>
        <v>boxcontentlabel_template_outbound1.docx</v>
      </c>
    </row>
    <row r="70" spans="2:30" ht="14.1" customHeight="1" x14ac:dyDescent="0.25">
      <c r="B70" s="13">
        <v>149</v>
      </c>
      <c r="C70" s="14" t="s">
        <v>1271</v>
      </c>
      <c r="D70" s="13">
        <v>20</v>
      </c>
      <c r="E70" s="80">
        <v>45896</v>
      </c>
      <c r="F70" s="34">
        <f>_xlfn.LET(
    _xlpm.baseDate, Table47[[#This Row],[Confirmed Sampling Date]] - 14,
    _xlpm.weekdayNum, WEEKDAY(_xlpm.baseDate, 2),
    IF(_xlpm.weekdayNum = 6, _xlpm.baseDate + 2, IF(_xlpm.weekdayNum = 7, _xlpm.baseDate + 1, _xlpm.baseDate))
)</f>
        <v>45882</v>
      </c>
      <c r="G70" s="20">
        <f>IFERROR(WEEKNUM(Table47[[#This Row],[Shipping Date (SD-14)]]),"TBD")</f>
        <v>33</v>
      </c>
      <c r="H70" s="20" t="str">
        <f>IFERROR(TEXT(Table47[[#This Row],[Shipping Date (SD-14)]],"yyyy-mm"),"TBD")</f>
        <v>2025-08</v>
      </c>
      <c r="I70" s="78" t="s">
        <v>1628</v>
      </c>
      <c r="J70" s="20" t="str">
        <f>IFERROR(VLOOKUP(Table47[[#This Row],[ToSite-UPSName]],Table1[[#All],[Company or Name]:[Delivery Address]],15,FALSE),"")</f>
        <v>Funchal WWTP</v>
      </c>
      <c r="K70" s="20" t="str">
        <f>IFERROR(VLOOKUP(Table47[[#This Row],[ToSite-UPSName]],Table1[[#All],[Company or Name]:[Delivery Address]],16,FALSE),"")</f>
        <v>Madeira, 10 locations</v>
      </c>
      <c r="L70" s="20"/>
      <c r="M70" s="20">
        <f>IFERROR(VLOOKUP(Table47[[#This Row],[ToSite-UPSName]],Table1[[#All],[Company or Name]:[Delivery Address]],18,FALSE),"")</f>
        <v>0</v>
      </c>
      <c r="N70" s="20">
        <f>IFERROR(VLOOKUP(Table47[[#This Row],[ToSite-UPSName]],Table1[[#All],[Company or Name]:[Delivery Address]],19,FALSE),"")</f>
        <v>0</v>
      </c>
      <c r="O70" s="13"/>
      <c r="P70" s="20"/>
      <c r="Q70" s="20"/>
      <c r="R70" s="20"/>
      <c r="S70" s="20" t="s">
        <v>892</v>
      </c>
      <c r="T70" s="37" t="s">
        <v>1284</v>
      </c>
      <c r="U70" s="13" t="s">
        <v>125</v>
      </c>
      <c r="V70" s="13" t="s">
        <v>110</v>
      </c>
      <c r="X70" s="13"/>
      <c r="Y70" s="20" t="str">
        <f>TEXT(Table47[[#This Row],[Confirmed Sampling Date]], "yyyy") &amp; "_" &amp; TEXT(Table47[[#This Row],[Confirmed Sampling Date]], "mm") &amp; "_" &amp; TEXT(Table47[[#This Row],[Confirmed Sampling Date]], "dd")</f>
        <v>2025_08_27</v>
      </c>
      <c r="Z70" s="20" t="str">
        <f>IFERROR(LEFT(J70, FIND(" ", J70) - 1), J70)</f>
        <v>Funchal</v>
      </c>
      <c r="AA70" s="20" t="str">
        <f>VLOOKUP(Table47[[#This Row],[ToSite-UPSName]],Table1[[Company or Name]:[NOTES]],2,FALSE)</f>
        <v>Portugal</v>
      </c>
      <c r="AB70" s="20" t="str">
        <f>IFERROR(VLOOKUP(Table47[[#This Row],[ToSite-UPSName]], Table1[[#All],[Company or Name]:[Delivery Address]],20,FALSE),"")</f>
        <v>R. do Matadouro 4, Funchal, 9050-100, Portugal</v>
      </c>
      <c r="AC70" s="20" t="str">
        <f>TEXT(Table47[[#This Row],[Shipping Date (SD-14)]]+3,"YYYY-MM-DD")</f>
        <v>2025-08-16</v>
      </c>
      <c r="AD70" s="20" t="str">
        <f>_xlfn.XLOOKUP(Table47[[#This Row],[Type]],kits!C:C,kits!D:D,"",0)</f>
        <v>boxcontentlabel_template_outbound1.docx</v>
      </c>
    </row>
    <row r="71" spans="2:30" ht="14.1" customHeight="1" x14ac:dyDescent="0.25">
      <c r="B71" s="13">
        <v>66</v>
      </c>
      <c r="C71" s="14" t="s">
        <v>1271</v>
      </c>
      <c r="D71" s="13">
        <v>2</v>
      </c>
      <c r="E71" s="22">
        <v>45897</v>
      </c>
      <c r="F71" s="34">
        <f>_xlfn.LET(
    _xlpm.baseDate, Table47[[#This Row],[Confirmed Sampling Date]] - 14,
    _xlpm.weekdayNum, WEEKDAY(_xlpm.baseDate, 2),
    IF(_xlpm.weekdayNum = 6, _xlpm.baseDate + 2, IF(_xlpm.weekdayNum = 7, _xlpm.baseDate + 1, _xlpm.baseDate))
)</f>
        <v>45883</v>
      </c>
      <c r="G71" s="20">
        <f>IFERROR(WEEKNUM(Table47[[#This Row],[Shipping Date (SD-14)]]),"TBD")</f>
        <v>33</v>
      </c>
      <c r="H71" s="20" t="str">
        <f>IFERROR(TEXT(Table47[[#This Row],[Shipping Date (SD-14)]],"yyyy-mm"),"TBD")</f>
        <v>2025-08</v>
      </c>
      <c r="I71" s="13" t="s">
        <v>637</v>
      </c>
      <c r="J71" s="13" t="str">
        <f>IFERROR(VLOOKUP(Table47[[#This Row],[ToSite-UPSName]],Table1[[#All],[Company or Name]:[Delivery Address]],15,FALSE),"")</f>
        <v>Luxembourg (Beggen) WWTP</v>
      </c>
      <c r="K71" s="20" t="str">
        <f>IFERROR(VLOOKUP(Table47[[#This Row],[ToSite-UPSName]],Table1[[#All],[Company or Name]:[Delivery Address]],16,FALSE),"")</f>
        <v>Luxembourg Airport</v>
      </c>
      <c r="L71" s="13" t="str">
        <f>IFERROR(VLOOKUP(Table47[[#This Row],[ToSite-UPSName]],Table1[[#All],[Company or Name]:[Delivery Address]],17,FALSE),"")</f>
        <v>-</v>
      </c>
      <c r="M71" s="13" t="str">
        <f>IFERROR(VLOOKUP(Table47[[#This Row],[ToSite-UPSName]],Table1[[#All],[Company or Name]:[Delivery Address]],18,FALSE),"")</f>
        <v>-</v>
      </c>
      <c r="N71" s="13" t="str">
        <f>IFERROR(VLOOKUP(Table47[[#This Row],[ToSite-UPSName]],Table1[[#All],[Company or Name]:[Delivery Address]],19,FALSE),"")</f>
        <v>-</v>
      </c>
      <c r="O71" s="13"/>
      <c r="P71" s="20" t="s">
        <v>131</v>
      </c>
      <c r="Q71" s="20" t="s">
        <v>1434</v>
      </c>
      <c r="R71" s="20"/>
      <c r="S71" s="65" t="s">
        <v>134</v>
      </c>
      <c r="T71" s="65" t="s">
        <v>1469</v>
      </c>
      <c r="U71" s="13" t="s">
        <v>125</v>
      </c>
      <c r="V71" s="13" t="s">
        <v>110</v>
      </c>
      <c r="X71" s="13"/>
      <c r="Y71" s="20" t="str">
        <f>TEXT(Table47[[#This Row],[Confirmed Sampling Date]], "yyyy") &amp; "_" &amp; TEXT(Table47[[#This Row],[Confirmed Sampling Date]], "mm") &amp; "_" &amp; TEXT(Table47[[#This Row],[Confirmed Sampling Date]], "dd")</f>
        <v>2025_08_28</v>
      </c>
      <c r="Z71" s="20" t="str">
        <f>IFERROR(LEFT(J71, FIND(" ", J71) - 1), J71)</f>
        <v>Luxembourg</v>
      </c>
      <c r="AA71" s="20" t="str">
        <f>VLOOKUP(Table47[[#This Row],[ToSite-UPSName]],Table1[[Company or Name]:[NOTES]],2,FALSE)</f>
        <v>Luxembourg</v>
      </c>
      <c r="AB71" s="20" t="str">
        <f>IFERROR(VLOOKUP(Table47[[#This Row],[ToSite-UPSName]], Table1[[#All],[Company or Name]:[Delivery Address]],20,FALSE),"")</f>
        <v>41 rue du Brill, Luxembourg, L-4422 , Luxembourg</v>
      </c>
      <c r="AC71" s="20" t="str">
        <f>TEXT(Table47[[#This Row],[Shipping Date (SD-14)]]+3,"YYYY-MM-DD")</f>
        <v>2025-08-17</v>
      </c>
      <c r="AD71" s="20" t="str">
        <f>_xlfn.XLOOKUP(Table47[[#This Row],[Type]],kits!C:C,kits!D:D,"",0)</f>
        <v>boxcontentlabel_template_outbound1.docx</v>
      </c>
    </row>
    <row r="72" spans="2:30" ht="14.1" customHeight="1" x14ac:dyDescent="0.25">
      <c r="B72" s="13">
        <v>59</v>
      </c>
      <c r="C72" s="14" t="s">
        <v>1271</v>
      </c>
      <c r="D72" s="13">
        <v>1</v>
      </c>
      <c r="E72" s="26">
        <v>45899</v>
      </c>
      <c r="F72" s="34">
        <f>_xlfn.LET(
    _xlpm.baseDate, Table47[[#This Row],[Confirmed Sampling Date]] - 14,
    _xlpm.weekdayNum, WEEKDAY(_xlpm.baseDate, 2),
    IF(_xlpm.weekdayNum = 6, _xlpm.baseDate + 2, IF(_xlpm.weekdayNum = 7, _xlpm.baseDate + 1, _xlpm.baseDate))
)</f>
        <v>45887</v>
      </c>
      <c r="G72" s="13">
        <f>IFERROR(WEEKNUM(Table47[[#This Row],[Shipping Date (SD-14)]]),"TBD")</f>
        <v>34</v>
      </c>
      <c r="H72" s="13" t="str">
        <f>IFERROR(TEXT(Table47[[#This Row],[Shipping Date (SD-14)]],"yyyy-mm"),"TBD")</f>
        <v>2025-08</v>
      </c>
      <c r="I72" s="13" t="s">
        <v>33</v>
      </c>
      <c r="J72" s="13" t="str">
        <f>IFERROR(VLOOKUP(Table47[[#This Row],[ToSite-UPSName]],Table1[[#All],[Company or Name]:[Delivery Address]],15,FALSE),"")</f>
        <v>Osaka Expo</v>
      </c>
      <c r="K72" s="13" t="str">
        <f>IFERROR(VLOOKUP(Table47[[#This Row],[ToSite-UPSName]],Table1[[#All],[Company or Name]:[Delivery Address]],16,FALSE),"")</f>
        <v>-</v>
      </c>
      <c r="L72" s="13" t="str">
        <f>IFERROR(VLOOKUP(Table47[[#This Row],[ToSite-UPSName]],Table1[[#All],[Company or Name]:[Delivery Address]],17,FALSE),"")</f>
        <v>-</v>
      </c>
      <c r="M72" s="13" t="str">
        <f>IFERROR(VLOOKUP(Table47[[#This Row],[ToSite-UPSName]],Table1[[#All],[Company or Name]:[Delivery Address]],18,FALSE),"")</f>
        <v>-</v>
      </c>
      <c r="N72" s="13" t="str">
        <f>IFERROR(VLOOKUP(Table47[[#This Row],[ToSite-UPSName]],Table1[[#All],[Company or Name]:[Delivery Address]],19,FALSE),"")</f>
        <v>-</v>
      </c>
      <c r="O72" s="13"/>
      <c r="P72" s="13" t="s">
        <v>131</v>
      </c>
      <c r="Q72" s="20" t="s">
        <v>1434</v>
      </c>
      <c r="R72" s="13"/>
      <c r="S72" s="13" t="s">
        <v>134</v>
      </c>
      <c r="T72" s="13" t="s">
        <v>1371</v>
      </c>
      <c r="U72" s="13" t="s">
        <v>125</v>
      </c>
      <c r="V72" s="13" t="s">
        <v>110</v>
      </c>
      <c r="X72" s="13"/>
      <c r="Y72" s="20" t="str">
        <f>TEXT(Table47[[#This Row],[Confirmed Sampling Date]], "yyyy") &amp; "_" &amp; TEXT(Table47[[#This Row],[Confirmed Sampling Date]], "mm") &amp; "_" &amp; TEXT(Table47[[#This Row],[Confirmed Sampling Date]], "dd")</f>
        <v>2025_08_30</v>
      </c>
      <c r="Z72" s="20" t="str">
        <f>IFERROR(LEFT(J72, FIND(" ", J72) - 1), J72)</f>
        <v>Osaka</v>
      </c>
      <c r="AA72" s="20" t="str">
        <f>VLOOKUP(Table47[[#This Row],[ToSite-UPSName]],Table1[[Company or Name]:[NOTES]],2,FALSE)</f>
        <v>Japan</v>
      </c>
      <c r="AB72" s="20" t="str">
        <f>IFERROR(VLOOKUP(Table47[[#This Row],[ToSite-UPSName]], Table1[[#All],[Company or Name]:[Delivery Address]],20,FALSE),"")</f>
        <v>1-3-3 Nakamichi, Higashinari-ku, Osaka, 537-0025, Japan</v>
      </c>
      <c r="AC72" s="20" t="str">
        <f>TEXT(Table47[[#This Row],[Shipping Date (SD-14)]]+3,"YYYY-MM-DD")</f>
        <v>2025-08-21</v>
      </c>
      <c r="AD72" s="20" t="str">
        <f>_xlfn.XLOOKUP(Table47[[#This Row],[Type]],kits!C:C,kits!D:D,"",0)</f>
        <v>boxcontentlabel_template_outbound1.docx</v>
      </c>
    </row>
    <row r="73" spans="2:30" ht="14.1" customHeight="1" x14ac:dyDescent="0.25">
      <c r="B73" s="13">
        <v>7</v>
      </c>
      <c r="C73" s="14" t="s">
        <v>1271</v>
      </c>
      <c r="D73" s="13">
        <v>2</v>
      </c>
      <c r="E73" s="22">
        <v>45900</v>
      </c>
      <c r="F73" s="34">
        <f>_xlfn.LET(
    _xlpm.baseDate, Table47[[#This Row],[Confirmed Sampling Date]] - 14,
    _xlpm.weekdayNum, WEEKDAY(_xlpm.baseDate, 2),
    IF(_xlpm.weekdayNum = 6, _xlpm.baseDate + 2, IF(_xlpm.weekdayNum = 7, _xlpm.baseDate + 1, _xlpm.baseDate))
)</f>
        <v>45887</v>
      </c>
      <c r="G73" s="13">
        <f>IFERROR(WEEKNUM(Table47[[#This Row],[Shipping Date (SD-14)]]),"TBD")</f>
        <v>34</v>
      </c>
      <c r="H73" s="13" t="str">
        <f>IFERROR(TEXT(Table47[[#This Row],[Shipping Date (SD-14)]],"yyyy-mm"),"TBD")</f>
        <v>2025-08</v>
      </c>
      <c r="I73" s="13" t="s">
        <v>13</v>
      </c>
      <c r="J73" s="13" t="str">
        <f>IFERROR(VLOOKUP(Table47[[#This Row],[ToSite-UPSName]],Table1[[#All],[Company or Name]:[Delivery Address]],15,FALSE),"")</f>
        <v>Berlin (Schoenefeld) WWTP</v>
      </c>
      <c r="K73" s="13" t="str">
        <f>IFERROR(VLOOKUP(Table47[[#This Row],[ToSite-UPSName]],Table1[[#All],[Company or Name]:[Delivery Address]],16,FALSE),"")</f>
        <v>Berlin Airport</v>
      </c>
      <c r="L73" s="13" t="str">
        <f>IFERROR(VLOOKUP(Table47[[#This Row],[ToSite-UPSName]],Table1[[#All],[Company or Name]:[Delivery Address]],17,FALSE),"")</f>
        <v>-</v>
      </c>
      <c r="M73" s="13" t="str">
        <f>IFERROR(VLOOKUP(Table47[[#This Row],[ToSite-UPSName]],Table1[[#All],[Company or Name]:[Delivery Address]],18,FALSE),"")</f>
        <v>-</v>
      </c>
      <c r="N73" s="13" t="str">
        <f>IFERROR(VLOOKUP(Table47[[#This Row],[ToSite-UPSName]],Table1[[#All],[Company or Name]:[Delivery Address]],19,FALSE),"")</f>
        <v>-</v>
      </c>
      <c r="O73" s="13"/>
      <c r="P73" s="13" t="s">
        <v>131</v>
      </c>
      <c r="Q73" s="20" t="s">
        <v>1434</v>
      </c>
      <c r="R73" s="13"/>
      <c r="S73" s="13" t="s">
        <v>134</v>
      </c>
      <c r="T73" s="13" t="s">
        <v>1470</v>
      </c>
      <c r="U73" s="13" t="s">
        <v>125</v>
      </c>
      <c r="V73" s="13" t="s">
        <v>110</v>
      </c>
      <c r="X73" s="13"/>
      <c r="Y73" s="20" t="str">
        <f>TEXT(Table47[[#This Row],[Confirmed Sampling Date]], "yyyy") &amp; "_" &amp; TEXT(Table47[[#This Row],[Confirmed Sampling Date]], "mm") &amp; "_" &amp; TEXT(Table47[[#This Row],[Confirmed Sampling Date]], "dd")</f>
        <v>2025_08_31</v>
      </c>
      <c r="Z73" s="20" t="str">
        <f>IFERROR(LEFT(J73, FIND(" ", J73) - 1), J73)</f>
        <v>Berlin</v>
      </c>
      <c r="AA73" s="20" t="str">
        <f>VLOOKUP(Table47[[#This Row],[ToSite-UPSName]],Table1[[Company or Name]:[NOTES]],2,FALSE)</f>
        <v>Germany</v>
      </c>
      <c r="AB73" s="20" t="str">
        <f>IFERROR(VLOOKUP(Table47[[#This Row],[ToSite-UPSName]], Table1[[#All],[Company or Name]:[Delivery Address]],20,FALSE),"")</f>
        <v>Strasse am Klarwerk 4, Klarwerk Wassmannsdorf, Schoenefeld, 12529, Germany</v>
      </c>
      <c r="AC73" s="20" t="str">
        <f>TEXT(Table47[[#This Row],[Shipping Date (SD-14)]]+3,"YYYY-MM-DD")</f>
        <v>2025-08-21</v>
      </c>
      <c r="AD73" s="20" t="str">
        <f>_xlfn.XLOOKUP(Table47[[#This Row],[Type]],kits!C:C,kits!D:D,"",0)</f>
        <v>boxcontentlabel_template_outbound1.docx</v>
      </c>
    </row>
    <row r="74" spans="2:30" ht="13.5" customHeight="1" x14ac:dyDescent="0.25">
      <c r="B74" s="13">
        <v>202</v>
      </c>
      <c r="C74" s="85" t="s">
        <v>1272</v>
      </c>
      <c r="D74" s="13">
        <v>2</v>
      </c>
      <c r="E74" s="34">
        <v>45900</v>
      </c>
      <c r="F74" s="34">
        <f>_xlfn.LET(
    _xlpm.baseDate, Table47[[#This Row],[Confirmed Sampling Date]] - 14,
    _xlpm.weekdayNum, WEEKDAY(_xlpm.baseDate, 2),
    IF(_xlpm.weekdayNum = 6, _xlpm.baseDate + 2, IF(_xlpm.weekdayNum = 7, _xlpm.baseDate + 1, _xlpm.baseDate))
)</f>
        <v>45887</v>
      </c>
      <c r="G74" s="20">
        <f>IFERROR(WEEKNUM(Table47[[#This Row],[Shipping Date (SD-14)]]),"TBD")</f>
        <v>34</v>
      </c>
      <c r="H74" s="20" t="str">
        <f>IFERROR(TEXT(Table47[[#This Row],[Shipping Date (SD-14)]],"yyyy-mm"),"TBD")</f>
        <v>2025-08</v>
      </c>
      <c r="I74" s="13" t="s">
        <v>13</v>
      </c>
      <c r="J74" s="20" t="str">
        <f>IFERROR(VLOOKUP(Table47[[#This Row],[ToSite-UPSName]],Table1[[#All],[Company or Name]:[Delivery Address]],15,FALSE),"")</f>
        <v>Berlin (Schoenefeld) WWTP</v>
      </c>
      <c r="K74" s="20" t="str">
        <f>IFERROR(VLOOKUP(Table47[[#This Row],[ToSite-UPSName]],Table1[[#All],[Company or Name]:[Delivery Address]],16,FALSE),"")</f>
        <v>Berlin Airport</v>
      </c>
      <c r="L74" s="20"/>
      <c r="M74" s="20" t="str">
        <f>IFERROR(VLOOKUP(Table47[[#This Row],[ToSite-UPSName]],Table1[[#All],[Company or Name]:[Delivery Address]],18,FALSE),"")</f>
        <v>-</v>
      </c>
      <c r="N74" s="20" t="str">
        <f>IFERROR(VLOOKUP(Table47[[#This Row],[ToSite-UPSName]],Table1[[#All],[Company or Name]:[Delivery Address]],19,FALSE),"")</f>
        <v>-</v>
      </c>
      <c r="O74" s="13"/>
      <c r="P74" s="20" t="s">
        <v>131</v>
      </c>
      <c r="Q74" s="20" t="s">
        <v>1434</v>
      </c>
      <c r="R74" s="20"/>
      <c r="S74" s="20" t="s">
        <v>134</v>
      </c>
      <c r="T74" s="20" t="s">
        <v>1471</v>
      </c>
      <c r="U74" s="13" t="s">
        <v>125</v>
      </c>
      <c r="V74" s="13" t="s">
        <v>110</v>
      </c>
      <c r="X74" s="13"/>
      <c r="Y74" s="20" t="str">
        <f>TEXT(Table47[[#This Row],[Confirmed Sampling Date]], "yyyy") &amp; "_" &amp; TEXT(Table47[[#This Row],[Confirmed Sampling Date]], "mm") &amp; "_" &amp; TEXT(Table47[[#This Row],[Confirmed Sampling Date]], "dd")</f>
        <v>2025_08_31</v>
      </c>
      <c r="Z74" s="20" t="str">
        <f>IFERROR(LEFT(J74, FIND(" ", J74) - 1), J74)</f>
        <v>Berlin</v>
      </c>
      <c r="AA74" s="20" t="str">
        <f>VLOOKUP(Table47[[#This Row],[ToSite-UPSName]],Table1[[Company or Name]:[NOTES]],2,FALSE)</f>
        <v>Germany</v>
      </c>
      <c r="AB74" s="20" t="str">
        <f>IFERROR(VLOOKUP(Table47[[#This Row],[ToSite-UPSName]], Table1[[#All],[Company or Name]:[Delivery Address]],20,FALSE),"")</f>
        <v>Strasse am Klarwerk 4, Klarwerk Wassmannsdorf, Schoenefeld, 12529, Germany</v>
      </c>
      <c r="AC74" s="20" t="str">
        <f>TEXT(Table47[[#This Row],[Shipping Date (SD-14)]]+3,"YYYY-MM-DD")</f>
        <v>2025-08-21</v>
      </c>
      <c r="AD74" s="20" t="str">
        <f>_xlfn.XLOOKUP(Table47[[#This Row],[Type]],kits!C:C,kits!D:D,"",0)</f>
        <v>boxcontentlabel_template_outbound2.docx</v>
      </c>
    </row>
    <row r="75" spans="2:30" ht="14.1" customHeight="1" x14ac:dyDescent="0.25">
      <c r="B75" s="13">
        <v>48</v>
      </c>
      <c r="C75" s="14" t="s">
        <v>1271</v>
      </c>
      <c r="D75" s="13">
        <v>2</v>
      </c>
      <c r="E75" s="22">
        <v>45901</v>
      </c>
      <c r="F75" s="34">
        <f>_xlfn.LET(
    _xlpm.baseDate, Table47[[#This Row],[Confirmed Sampling Date]] - 14,
    _xlpm.weekdayNum, WEEKDAY(_xlpm.baseDate, 2),
    IF(_xlpm.weekdayNum = 6, _xlpm.baseDate + 2, IF(_xlpm.weekdayNum = 7, _xlpm.baseDate + 1, _xlpm.baseDate))
)</f>
        <v>45887</v>
      </c>
      <c r="G75" s="13">
        <f>IFERROR(WEEKNUM(Table47[[#This Row],[Shipping Date (SD-14)]]),"TBD")</f>
        <v>34</v>
      </c>
      <c r="H75" s="13" t="str">
        <f>IFERROR(TEXT(Table47[[#This Row],[Shipping Date (SD-14)]],"yyyy-mm"),"TBD")</f>
        <v>2025-08</v>
      </c>
      <c r="I75" s="13" t="s">
        <v>364</v>
      </c>
      <c r="J75" s="13" t="str">
        <f>IFERROR(VLOOKUP(Table47[[#This Row],[ToSite-UPSName]],Table1[[#All],[Company or Name]:[Delivery Address]],15,FALSE),"")</f>
        <v>Brussels WWTP</v>
      </c>
      <c r="K75" s="13" t="str">
        <f>IFERROR(VLOOKUP(Table47[[#This Row],[ToSite-UPSName]],Table1[[#All],[Company or Name]:[Delivery Address]],16,FALSE),"")</f>
        <v>Brussels Airport</v>
      </c>
      <c r="L75" s="13" t="str">
        <f>IFERROR(VLOOKUP(Table47[[#This Row],[ToSite-UPSName]],Table1[[#All],[Company or Name]:[Delivery Address]],17,FALSE),"")</f>
        <v>-</v>
      </c>
      <c r="M75" s="13" t="str">
        <f>IFERROR(VLOOKUP(Table47[[#This Row],[ToSite-UPSName]],Table1[[#All],[Company or Name]:[Delivery Address]],18,FALSE),"")</f>
        <v>-</v>
      </c>
      <c r="N75" s="13" t="str">
        <f>IFERROR(VLOOKUP(Table47[[#This Row],[ToSite-UPSName]],Table1[[#All],[Company or Name]:[Delivery Address]],19,FALSE),"")</f>
        <v>-</v>
      </c>
      <c r="O75" s="13"/>
      <c r="P75" s="13" t="s">
        <v>131</v>
      </c>
      <c r="Q75" s="20" t="s">
        <v>1434</v>
      </c>
      <c r="R75" s="13"/>
      <c r="S75" s="13" t="s">
        <v>134</v>
      </c>
      <c r="T75" s="13" t="s">
        <v>1356</v>
      </c>
      <c r="U75" s="13" t="s">
        <v>125</v>
      </c>
      <c r="V75" s="13" t="s">
        <v>110</v>
      </c>
      <c r="X75" s="13"/>
      <c r="Y75" s="20" t="str">
        <f>TEXT(Table47[[#This Row],[Confirmed Sampling Date]], "yyyy") &amp; "_" &amp; TEXT(Table47[[#This Row],[Confirmed Sampling Date]], "mm") &amp; "_" &amp; TEXT(Table47[[#This Row],[Confirmed Sampling Date]], "dd")</f>
        <v>2025_09_01</v>
      </c>
      <c r="Z75" s="20" t="str">
        <f>IFERROR(LEFT(J75, FIND(" ", J75) - 1), J75)</f>
        <v>Brussels</v>
      </c>
      <c r="AA75" s="20" t="str">
        <f>VLOOKUP(Table47[[#This Row],[ToSite-UPSName]],Table1[[Company or Name]:[NOTES]],2,FALSE)</f>
        <v>Belgium</v>
      </c>
      <c r="AB75" s="20" t="str">
        <f>IFERROR(VLOOKUP(Table47[[#This Row],[ToSite-UPSName]], Table1[[#All],[Company or Name]:[Delivery Address]],20,FALSE),"")</f>
        <v>Rue Juliette Wytsmanstraat 14, Brussels, 1050, Belgium</v>
      </c>
      <c r="AC75" s="20" t="str">
        <f>TEXT(Table47[[#This Row],[Shipping Date (SD-14)]]+3,"YYYY-MM-DD")</f>
        <v>2025-08-21</v>
      </c>
      <c r="AD75" s="20" t="str">
        <f>_xlfn.XLOOKUP(Table47[[#This Row],[Type]],kits!C:C,kits!D:D,"",0)</f>
        <v>boxcontentlabel_template_outbound1.docx</v>
      </c>
    </row>
    <row r="76" spans="2:30" ht="14.1" customHeight="1" x14ac:dyDescent="0.25">
      <c r="B76" s="13">
        <v>159</v>
      </c>
      <c r="C76" s="14" t="s">
        <v>1271</v>
      </c>
      <c r="D76" s="13">
        <v>1</v>
      </c>
      <c r="E76" s="83">
        <v>45901</v>
      </c>
      <c r="F76" s="34">
        <f>_xlfn.LET(
    _xlpm.baseDate, Table47[[#This Row],[Confirmed Sampling Date]] - 14,
    _xlpm.weekdayNum, WEEKDAY(_xlpm.baseDate, 2),
    IF(_xlpm.weekdayNum = 6, _xlpm.baseDate + 2, IF(_xlpm.weekdayNum = 7, _xlpm.baseDate + 1, _xlpm.baseDate))
)</f>
        <v>45887</v>
      </c>
      <c r="G76" s="20">
        <f>IFERROR(WEEKNUM(Table47[[#This Row],[Shipping Date (SD-14)]]),"TBD")</f>
        <v>34</v>
      </c>
      <c r="H76" s="20" t="str">
        <f>IFERROR(TEXT(Table47[[#This Row],[Shipping Date (SD-14)]],"yyyy-mm"),"TBD")</f>
        <v>2025-08</v>
      </c>
      <c r="I76" s="78" t="s">
        <v>1114</v>
      </c>
      <c r="J76" s="20" t="str">
        <f>IFERROR(VLOOKUP(Table47[[#This Row],[ToSite-UPSName]],Table1[[#All],[Company or Name]:[Delivery Address]],15,FALSE),"")</f>
        <v>Uppsala WWTP</v>
      </c>
      <c r="K76" s="20" t="str">
        <f>IFERROR(VLOOKUP(Table47[[#This Row],[ToSite-UPSName]],Table1[[#All],[Company or Name]:[Delivery Address]],16,FALSE),"")</f>
        <v>-</v>
      </c>
      <c r="L76" s="20"/>
      <c r="M76" s="20" t="str">
        <f>IFERROR(VLOOKUP(Table47[[#This Row],[ToSite-UPSName]],Table1[[#All],[Company or Name]:[Delivery Address]],18,FALSE),"")</f>
        <v>-</v>
      </c>
      <c r="N76" s="20" t="str">
        <f>IFERROR(VLOOKUP(Table47[[#This Row],[ToSite-UPSName]],Table1[[#All],[Company or Name]:[Delivery Address]],19,FALSE),"")</f>
        <v>-</v>
      </c>
      <c r="O76" s="13"/>
      <c r="P76" s="20" t="s">
        <v>131</v>
      </c>
      <c r="Q76" s="20" t="s">
        <v>1434</v>
      </c>
      <c r="R76" s="20"/>
      <c r="S76" s="20" t="s">
        <v>134</v>
      </c>
      <c r="T76" s="20" t="s">
        <v>1364</v>
      </c>
      <c r="U76" s="13" t="s">
        <v>125</v>
      </c>
      <c r="V76" s="13" t="s">
        <v>110</v>
      </c>
      <c r="X76" s="13"/>
      <c r="Y76" s="20" t="str">
        <f>TEXT(Table47[[#This Row],[Confirmed Sampling Date]], "yyyy") &amp; "_" &amp; TEXT(Table47[[#This Row],[Confirmed Sampling Date]], "mm") &amp; "_" &amp; TEXT(Table47[[#This Row],[Confirmed Sampling Date]], "dd")</f>
        <v>2025_09_01</v>
      </c>
      <c r="Z76" s="20" t="str">
        <f>IFERROR(LEFT(J76, FIND(" ", J76) - 1), J76)</f>
        <v>Uppsala</v>
      </c>
      <c r="AA76" s="20" t="str">
        <f>VLOOKUP(Table47[[#This Row],[ToSite-UPSName]],Table1[[Company or Name]:[NOTES]],2,FALSE)</f>
        <v>Sweden</v>
      </c>
      <c r="AB76" s="20" t="str">
        <f>IFERROR(VLOOKUP(Table47[[#This Row],[ToSite-UPSName]], Table1[[#All],[Company or Name]:[Delivery Address]],20,FALSE),"")</f>
        <v>Gerda Nilssons väg 5, Uppsala, 756 51, Sweden</v>
      </c>
      <c r="AC76" s="20" t="str">
        <f>TEXT(Table47[[#This Row],[Shipping Date (SD-14)]]+3,"YYYY-MM-DD")</f>
        <v>2025-08-21</v>
      </c>
      <c r="AD76" s="20" t="str">
        <f>_xlfn.XLOOKUP(Table47[[#This Row],[Type]],kits!C:C,kits!D:D,"",0)</f>
        <v>boxcontentlabel_template_outbound1.docx</v>
      </c>
    </row>
    <row r="77" spans="2:30" ht="14.1" customHeight="1" x14ac:dyDescent="0.25">
      <c r="B77" s="13">
        <v>186</v>
      </c>
      <c r="C77" s="14" t="s">
        <v>1271</v>
      </c>
      <c r="D77" s="13">
        <v>2</v>
      </c>
      <c r="E77" s="34">
        <v>45901</v>
      </c>
      <c r="F77" s="34">
        <f>_xlfn.LET(
    _xlpm.baseDate, Table47[[#This Row],[Confirmed Sampling Date]] - 14,
    _xlpm.weekdayNum, WEEKDAY(_xlpm.baseDate, 2),
    IF(_xlpm.weekdayNum = 6, _xlpm.baseDate + 2, IF(_xlpm.weekdayNum = 7, _xlpm.baseDate + 1, _xlpm.baseDate))
)</f>
        <v>45887</v>
      </c>
      <c r="G77" s="20">
        <f>IFERROR(WEEKNUM(Table47[[#This Row],[Shipping Date (SD-14)]]),"TBD")</f>
        <v>34</v>
      </c>
      <c r="H77" s="20" t="str">
        <f>IFERROR(TEXT(Table47[[#This Row],[Shipping Date (SD-14)]],"yyyy-mm"),"TBD")</f>
        <v>2025-08</v>
      </c>
      <c r="I77" s="78" t="s">
        <v>1187</v>
      </c>
      <c r="J77" s="20" t="str">
        <f>IFERROR(VLOOKUP(Table47[[#This Row],[ToSite-UPSName]],Table1[[#All],[Company or Name]:[Delivery Address]],15,FALSE),"")</f>
        <v>Aachen WWTP</v>
      </c>
      <c r="K77" s="20" t="str">
        <f>IFERROR(VLOOKUP(Table47[[#This Row],[ToSite-UPSName]],Table1[[#All],[Company or Name]:[Delivery Address]],16,FALSE),"")</f>
        <v>Aachen Hospital</v>
      </c>
      <c r="L77" s="20"/>
      <c r="M77" s="20">
        <f>IFERROR(VLOOKUP(Table47[[#This Row],[ToSite-UPSName]],Table1[[#All],[Company or Name]:[Delivery Address]],18,FALSE),"")</f>
        <v>0</v>
      </c>
      <c r="N77" s="20">
        <f>IFERROR(VLOOKUP(Table47[[#This Row],[ToSite-UPSName]],Table1[[#All],[Company or Name]:[Delivery Address]],19,FALSE),"")</f>
        <v>0</v>
      </c>
      <c r="O77" s="13"/>
      <c r="P77" s="20" t="s">
        <v>131</v>
      </c>
      <c r="Q77" s="20" t="s">
        <v>1434</v>
      </c>
      <c r="R77" s="20"/>
      <c r="S77" s="20" t="s">
        <v>134</v>
      </c>
      <c r="T77" s="20" t="s">
        <v>1357</v>
      </c>
      <c r="U77" s="13" t="s">
        <v>125</v>
      </c>
      <c r="V77" s="13" t="s">
        <v>110</v>
      </c>
      <c r="X77" s="13"/>
      <c r="Y77" s="20" t="str">
        <f>TEXT(Table47[[#This Row],[Confirmed Sampling Date]], "yyyy") &amp; "_" &amp; TEXT(Table47[[#This Row],[Confirmed Sampling Date]], "mm") &amp; "_" &amp; TEXT(Table47[[#This Row],[Confirmed Sampling Date]], "dd")</f>
        <v>2025_09_01</v>
      </c>
      <c r="Z77" s="20" t="str">
        <f>IFERROR(LEFT(J77, FIND(" ", J77) - 1), J77)</f>
        <v>Aachen</v>
      </c>
      <c r="AA77" s="20" t="str">
        <f>VLOOKUP(Table47[[#This Row],[ToSite-UPSName]],Table1[[Company or Name]:[NOTES]],2,FALSE)</f>
        <v>Germany</v>
      </c>
      <c r="AB77" s="20" t="str">
        <f>IFERROR(VLOOKUP(Table47[[#This Row],[ToSite-UPSName]], Table1[[#All],[Company or Name]:[Delivery Address]],20,FALSE),"")</f>
        <v>Krefelder Str. 299, Aachen, 52070, Germany</v>
      </c>
      <c r="AC77" s="20" t="str">
        <f>TEXT(Table47[[#This Row],[Shipping Date (SD-14)]]+3,"YYYY-MM-DD")</f>
        <v>2025-08-21</v>
      </c>
      <c r="AD77" s="20" t="str">
        <f>_xlfn.XLOOKUP(Table47[[#This Row],[Type]],kits!C:C,kits!D:D,"",0)</f>
        <v>boxcontentlabel_template_outbound1.docx</v>
      </c>
    </row>
    <row r="78" spans="2:30" ht="14.1" customHeight="1" x14ac:dyDescent="0.25">
      <c r="B78" s="13">
        <v>210</v>
      </c>
      <c r="C78" s="14" t="s">
        <v>1271</v>
      </c>
      <c r="D78" s="13">
        <v>1</v>
      </c>
      <c r="E78" s="83">
        <v>45901</v>
      </c>
      <c r="F78" s="34">
        <f>_xlfn.LET(
    _xlpm.baseDate, Table47[[#This Row],[Confirmed Sampling Date]] - 14,
    _xlpm.weekdayNum, WEEKDAY(_xlpm.baseDate, 2),
    IF(_xlpm.weekdayNum = 6, _xlpm.baseDate + 2, IF(_xlpm.weekdayNum = 7, _xlpm.baseDate + 1, _xlpm.baseDate))
)</f>
        <v>45887</v>
      </c>
      <c r="G78" s="20">
        <f>IFERROR(WEEKNUM(Table47[[#This Row],[Shipping Date (SD-14)]]),"TBD")</f>
        <v>34</v>
      </c>
      <c r="H78" s="20" t="str">
        <f>IFERROR(TEXT(Table47[[#This Row],[Shipping Date (SD-14)]],"yyyy-mm"),"TBD")</f>
        <v>2025-08</v>
      </c>
      <c r="I78" s="48" t="s">
        <v>1292</v>
      </c>
      <c r="J78" s="20" t="str">
        <f>IFERROR(VLOOKUP(Table47[[#This Row],[ToSite-UPSName]],Table1[[#All],[Company or Name]:[Delivery Address]],15,FALSE),"")</f>
        <v>Bologna WWTP</v>
      </c>
      <c r="K78" s="20">
        <f>IFERROR(VLOOKUP(Table47[[#This Row],[ToSite-UPSName]],Table1[[#All],[Company or Name]:[Delivery Address]],16,FALSE),"")</f>
        <v>0</v>
      </c>
      <c r="L78" s="20"/>
      <c r="M78" s="20">
        <f>IFERROR(VLOOKUP(Table47[[#This Row],[ToSite-UPSName]],Table1[[#All],[Company or Name]:[Delivery Address]],18,FALSE),"")</f>
        <v>0</v>
      </c>
      <c r="N78" s="20">
        <f>IFERROR(VLOOKUP(Table47[[#This Row],[ToSite-UPSName]],Table1[[#All],[Company or Name]:[Delivery Address]],19,FALSE),"")</f>
        <v>0</v>
      </c>
      <c r="O78" s="13"/>
      <c r="P78" s="20" t="s">
        <v>131</v>
      </c>
      <c r="Q78" s="20" t="s">
        <v>1434</v>
      </c>
      <c r="R78" s="20"/>
      <c r="S78" s="20" t="s">
        <v>134</v>
      </c>
      <c r="T78" s="20" t="s">
        <v>1824</v>
      </c>
      <c r="U78" s="13" t="s">
        <v>125</v>
      </c>
      <c r="V78" s="13" t="s">
        <v>110</v>
      </c>
      <c r="X78" s="13"/>
      <c r="Y78" s="20" t="str">
        <f>TEXT(Table47[[#This Row],[Confirmed Sampling Date]], "yyyy") &amp; "_" &amp; TEXT(Table47[[#This Row],[Confirmed Sampling Date]], "mm") &amp; "_" &amp; TEXT(Table47[[#This Row],[Confirmed Sampling Date]], "dd")</f>
        <v>2025_09_01</v>
      </c>
      <c r="Z78" s="20" t="str">
        <f>IFERROR(LEFT(J78, FIND(" ", J78) - 1), J78)</f>
        <v>Bologna</v>
      </c>
      <c r="AA78" s="20" t="str">
        <f>VLOOKUP(Table47[[#This Row],[ToSite-UPSName]],Table1[[Company or Name]:[NOTES]],2,FALSE)</f>
        <v>Italy</v>
      </c>
      <c r="AB78" s="20" t="str">
        <f>IFERROR(VLOOKUP(Table47[[#This Row],[ToSite-UPSName]], Table1[[#All],[Company or Name]:[Delivery Address]],20,FALSE),"")</f>
        <v>VIA SHAKESPEARE 29, Bologna, 40128, Italy</v>
      </c>
      <c r="AC78" s="20" t="str">
        <f>TEXT(Table47[[#This Row],[Shipping Date (SD-14)]]+3,"YYYY-MM-DD")</f>
        <v>2025-08-21</v>
      </c>
      <c r="AD78" s="20" t="str">
        <f>_xlfn.XLOOKUP(Table47[[#This Row],[Type]],kits!C:C,kits!D:D,"",0)</f>
        <v>boxcontentlabel_template_outbound1.docx</v>
      </c>
    </row>
    <row r="79" spans="2:30" ht="14.1" customHeight="1" x14ac:dyDescent="0.25">
      <c r="B79" s="13">
        <v>21</v>
      </c>
      <c r="C79" s="14" t="s">
        <v>1271</v>
      </c>
      <c r="D79" s="13">
        <v>2</v>
      </c>
      <c r="E79" s="22">
        <v>45902</v>
      </c>
      <c r="F79" s="34">
        <f>_xlfn.LET(
    _xlpm.baseDate, Table47[[#This Row],[Confirmed Sampling Date]] - 14,
    _xlpm.weekdayNum, WEEKDAY(_xlpm.baseDate, 2),
    IF(_xlpm.weekdayNum = 6, _xlpm.baseDate + 2, IF(_xlpm.weekdayNum = 7, _xlpm.baseDate + 1, _xlpm.baseDate))
)</f>
        <v>45888</v>
      </c>
      <c r="G79" s="13">
        <f>IFERROR(WEEKNUM(Table47[[#This Row],[Shipping Date (SD-14)]]),"TBD")</f>
        <v>34</v>
      </c>
      <c r="H79" s="13" t="str">
        <f>IFERROR(TEXT(Table47[[#This Row],[Shipping Date (SD-14)]],"yyyy-mm"),"TBD")</f>
        <v>2025-08</v>
      </c>
      <c r="I79" s="13" t="s">
        <v>19</v>
      </c>
      <c r="J79" s="13" t="str">
        <f>IFERROR(VLOOKUP(Table47[[#This Row],[ToSite-UPSName]],Table1[[#All],[Company or Name]:[Delivery Address]],15,FALSE),"")</f>
        <v>Munich WWTP</v>
      </c>
      <c r="K79" s="13" t="str">
        <f>IFERROR(VLOOKUP(Table47[[#This Row],[ToSite-UPSName]],Table1[[#All],[Company or Name]:[Delivery Address]],16,FALSE),"")</f>
        <v>Munich Airport</v>
      </c>
      <c r="L79" s="13" t="str">
        <f>IFERROR(VLOOKUP(Table47[[#This Row],[ToSite-UPSName]],Table1[[#All],[Company or Name]:[Delivery Address]],17,FALSE),"")</f>
        <v>-</v>
      </c>
      <c r="M79" s="13" t="str">
        <f>IFERROR(VLOOKUP(Table47[[#This Row],[ToSite-UPSName]],Table1[[#All],[Company or Name]:[Delivery Address]],18,FALSE),"")</f>
        <v>-</v>
      </c>
      <c r="N79" s="13" t="str">
        <f>IFERROR(VLOOKUP(Table47[[#This Row],[ToSite-UPSName]],Table1[[#All],[Company or Name]:[Delivery Address]],19,FALSE),"")</f>
        <v>-</v>
      </c>
      <c r="O79" s="13"/>
      <c r="P79" s="13" t="s">
        <v>131</v>
      </c>
      <c r="Q79" s="20" t="s">
        <v>1434</v>
      </c>
      <c r="R79" s="13"/>
      <c r="S79" s="64" t="s">
        <v>134</v>
      </c>
      <c r="T79" s="64" t="s">
        <v>1358</v>
      </c>
      <c r="U79" s="13" t="s">
        <v>125</v>
      </c>
      <c r="V79" s="13" t="s">
        <v>110</v>
      </c>
      <c r="X79" s="13"/>
      <c r="Y79" s="20" t="str">
        <f>TEXT(Table47[[#This Row],[Confirmed Sampling Date]], "yyyy") &amp; "_" &amp; TEXT(Table47[[#This Row],[Confirmed Sampling Date]], "mm") &amp; "_" &amp; TEXT(Table47[[#This Row],[Confirmed Sampling Date]], "dd")</f>
        <v>2025_09_02</v>
      </c>
      <c r="Z79" s="20" t="str">
        <f>IFERROR(LEFT(J79, FIND(" ", J79) - 1), J79)</f>
        <v>Munich</v>
      </c>
      <c r="AA79" s="20" t="str">
        <f>VLOOKUP(Table47[[#This Row],[ToSite-UPSName]],Table1[[Company or Name]:[NOTES]],2,FALSE)</f>
        <v>Germany</v>
      </c>
      <c r="AB79" s="20" t="str">
        <f>IFERROR(VLOOKUP(Table47[[#This Row],[ToSite-UPSName]], Table1[[#All],[Company or Name]:[Delivery Address]],20,FALSE),"")</f>
        <v>Leopoldstrasse 5, Institut fuer Infektions- und Tropenmedizin, Munich, 80802, Germany</v>
      </c>
      <c r="AC79" s="20" t="str">
        <f>TEXT(Table47[[#This Row],[Shipping Date (SD-14)]]+3,"YYYY-MM-DD")</f>
        <v>2025-08-22</v>
      </c>
      <c r="AD79" s="20" t="str">
        <f>_xlfn.XLOOKUP(Table47[[#This Row],[Type]],kits!C:C,kits!D:D,"",0)</f>
        <v>boxcontentlabel_template_outbound1.docx</v>
      </c>
    </row>
    <row r="80" spans="2:30" ht="14.1" customHeight="1" x14ac:dyDescent="0.25">
      <c r="B80" s="13">
        <v>35</v>
      </c>
      <c r="C80" s="14" t="s">
        <v>1271</v>
      </c>
      <c r="D80" s="13">
        <v>1</v>
      </c>
      <c r="E80" s="22">
        <v>45902</v>
      </c>
      <c r="F80" s="34">
        <f>_xlfn.LET(
    _xlpm.baseDate, Table47[[#This Row],[Confirmed Sampling Date]] - 14,
    _xlpm.weekdayNum, WEEKDAY(_xlpm.baseDate, 2),
    IF(_xlpm.weekdayNum = 6, _xlpm.baseDate + 2, IF(_xlpm.weekdayNum = 7, _xlpm.baseDate + 1, _xlpm.baseDate))
)</f>
        <v>45888</v>
      </c>
      <c r="G80" s="13">
        <f>IFERROR(WEEKNUM(Table47[[#This Row],[Shipping Date (SD-14)]]),"TBD")</f>
        <v>34</v>
      </c>
      <c r="H80" s="13" t="str">
        <f>IFERROR(TEXT(Table47[[#This Row],[Shipping Date (SD-14)]],"yyyy-mm"),"TBD")</f>
        <v>2025-08</v>
      </c>
      <c r="I80" s="13" t="s">
        <v>677</v>
      </c>
      <c r="J80" s="13" t="str">
        <f>IFERROR(VLOOKUP(Table47[[#This Row],[ToSite-UPSName]],Table1[[#All],[Company or Name]:[Delivery Address]],15,FALSE),"")</f>
        <v>Frankfurt WWTP</v>
      </c>
      <c r="K80" s="13" t="str">
        <f>IFERROR(VLOOKUP(Table47[[#This Row],[ToSite-UPSName]],Table1[[#All],[Company or Name]:[Delivery Address]],16,FALSE),"")</f>
        <v>Frankfurt Airport</v>
      </c>
      <c r="L80" s="13" t="str">
        <f>IFERROR(VLOOKUP(Table47[[#This Row],[ToSite-UPSName]],Table1[[#All],[Company or Name]:[Delivery Address]],17,FALSE),"")</f>
        <v>-</v>
      </c>
      <c r="M80" s="13" t="str">
        <f>IFERROR(VLOOKUP(Table47[[#This Row],[ToSite-UPSName]],Table1[[#All],[Company or Name]:[Delivery Address]],18,FALSE),"")</f>
        <v>-</v>
      </c>
      <c r="N80" s="13" t="str">
        <f>IFERROR(VLOOKUP(Table47[[#This Row],[ToSite-UPSName]],Table1[[#All],[Company or Name]:[Delivery Address]],19,FALSE),"")</f>
        <v>-</v>
      </c>
      <c r="O80" s="13"/>
      <c r="P80" s="13" t="s">
        <v>131</v>
      </c>
      <c r="Q80" s="20" t="s">
        <v>1434</v>
      </c>
      <c r="R80" s="13"/>
      <c r="S80" s="99" t="s">
        <v>134</v>
      </c>
      <c r="T80" s="99" t="s">
        <v>1359</v>
      </c>
      <c r="U80" s="13" t="s">
        <v>125</v>
      </c>
      <c r="V80" s="13" t="s">
        <v>110</v>
      </c>
      <c r="X80" s="13"/>
      <c r="Y80" s="20" t="str">
        <f>TEXT(Table47[[#This Row],[Confirmed Sampling Date]], "yyyy") &amp; "_" &amp; TEXT(Table47[[#This Row],[Confirmed Sampling Date]], "mm") &amp; "_" &amp; TEXT(Table47[[#This Row],[Confirmed Sampling Date]], "dd")</f>
        <v>2025_09_02</v>
      </c>
      <c r="Z80" s="20" t="str">
        <f>IFERROR(LEFT(J80, FIND(" ", J80) - 1), J80)</f>
        <v>Frankfurt</v>
      </c>
      <c r="AA80" s="20" t="str">
        <f>VLOOKUP(Table47[[#This Row],[ToSite-UPSName]],Table1[[Company or Name]:[NOTES]],2,FALSE)</f>
        <v>Germany</v>
      </c>
      <c r="AB80" s="20" t="str">
        <f>IFERROR(VLOOKUP(Table47[[#This Row],[ToSite-UPSName]], Table1[[#All],[Company or Name]:[Delivery Address]],20,FALSE),"")</f>
        <v>Goldsteinstraße 160, Gebäude 71 , Frankfurt am Main , 60528, Germany</v>
      </c>
      <c r="AC80" s="20" t="str">
        <f>TEXT(Table47[[#This Row],[Shipping Date (SD-14)]]+3,"YYYY-MM-DD")</f>
        <v>2025-08-22</v>
      </c>
      <c r="AD80" s="20" t="str">
        <f>_xlfn.XLOOKUP(Table47[[#This Row],[Type]],kits!C:C,kits!D:D,"",0)</f>
        <v>boxcontentlabel_template_outbound1.docx</v>
      </c>
    </row>
    <row r="81" spans="2:30" ht="14.1" customHeight="1" x14ac:dyDescent="0.25">
      <c r="B81" s="13">
        <v>103</v>
      </c>
      <c r="C81" s="14" t="s">
        <v>1271</v>
      </c>
      <c r="D81" s="13">
        <v>4</v>
      </c>
      <c r="E81" s="22">
        <v>45902</v>
      </c>
      <c r="F81" s="34">
        <f>_xlfn.LET(
    _xlpm.baseDate, Table47[[#This Row],[Confirmed Sampling Date]] - 14,
    _xlpm.weekdayNum, WEEKDAY(_xlpm.baseDate, 2),
    IF(_xlpm.weekdayNum = 6, _xlpm.baseDate + 2, IF(_xlpm.weekdayNum = 7, _xlpm.baseDate + 1, _xlpm.baseDate))
)</f>
        <v>45888</v>
      </c>
      <c r="G81" s="20">
        <f>IFERROR(WEEKNUM(Table47[[#This Row],[Shipping Date (SD-14)]]),"TBD")</f>
        <v>34</v>
      </c>
      <c r="H81" s="20" t="str">
        <f>IFERROR(TEXT(Table47[[#This Row],[Shipping Date (SD-14)]],"yyyy-mm"),"TBD")</f>
        <v>2025-08</v>
      </c>
      <c r="I81" s="13" t="s">
        <v>877</v>
      </c>
      <c r="J81" s="20" t="str">
        <f>IFERROR(VLOOKUP(Table47[[#This Row],[ToSite-UPSName]],Table1[[#All],[Company or Name]:[Delivery Address]],15,FALSE),"")</f>
        <v>Prague National Institute</v>
      </c>
      <c r="K81" s="20" t="str">
        <f>IFERROR(VLOOKUP(Table47[[#This Row],[ToSite-UPSName]],Table1[[#All],[Company or Name]:[Delivery Address]],16,FALSE),"")</f>
        <v>Prague WWTP FLOW 1</v>
      </c>
      <c r="L81" s="13" t="str">
        <f>IFERROR(VLOOKUP(Table47[[#This Row],[ToSite-UPSName]],Table1[[#All],[Company or Name]:[Delivery Address]],17,FALSE),"")</f>
        <v>Prague WWTP FLOW 2</v>
      </c>
      <c r="M81" s="20" t="str">
        <f>IFERROR(VLOOKUP(Table47[[#This Row],[ToSite-UPSName]],Table1[[#All],[Company or Name]:[Delivery Address]],18,FALSE),"")</f>
        <v>Prague Airport</v>
      </c>
      <c r="N81" s="20" t="str">
        <f>IFERROR(VLOOKUP(Table47[[#This Row],[ToSite-UPSName]],Table1[[#All],[Company or Name]:[Delivery Address]],19,FALSE),"")</f>
        <v>Prague Hospital</v>
      </c>
      <c r="O81" s="13"/>
      <c r="P81" s="20" t="s">
        <v>131</v>
      </c>
      <c r="Q81" s="20" t="s">
        <v>1434</v>
      </c>
      <c r="R81" s="20"/>
      <c r="S81" s="65" t="s">
        <v>134</v>
      </c>
      <c r="T81" s="65" t="s">
        <v>1360</v>
      </c>
      <c r="U81" s="13" t="s">
        <v>125</v>
      </c>
      <c r="V81" s="13" t="s">
        <v>110</v>
      </c>
      <c r="X81" s="13"/>
      <c r="Y81" s="20" t="str">
        <f>TEXT(Table47[[#This Row],[Confirmed Sampling Date]], "yyyy") &amp; "_" &amp; TEXT(Table47[[#This Row],[Confirmed Sampling Date]], "mm") &amp; "_" &amp; TEXT(Table47[[#This Row],[Confirmed Sampling Date]], "dd")</f>
        <v>2025_09_02</v>
      </c>
      <c r="Z81" s="20" t="str">
        <f>IFERROR(LEFT(J81, FIND(" ", J81) - 1), J81)</f>
        <v>Prague</v>
      </c>
      <c r="AA81" s="20" t="str">
        <f>VLOOKUP(Table47[[#This Row],[ToSite-UPSName]],Table1[[Company or Name]:[NOTES]],2,FALSE)</f>
        <v>Czech Republic</v>
      </c>
      <c r="AB81" s="20" t="str">
        <f>IFERROR(VLOOKUP(Table47[[#This Row],[ToSite-UPSName]], Table1[[#All],[Company or Name]:[Delivery Address]],20,FALSE),"")</f>
        <v>Šrobárova 49/48, Státní zdravotní ústav, Praha, 100 00, Czech Republic</v>
      </c>
      <c r="AC81" s="20" t="str">
        <f>TEXT(Table47[[#This Row],[Shipping Date (SD-14)]]+3,"YYYY-MM-DD")</f>
        <v>2025-08-22</v>
      </c>
      <c r="AD81" s="20" t="str">
        <f>_xlfn.XLOOKUP(Table47[[#This Row],[Type]],kits!C:C,kits!D:D,"",0)</f>
        <v>boxcontentlabel_template_outbound1.docx</v>
      </c>
    </row>
    <row r="82" spans="2:30" ht="14.1" customHeight="1" x14ac:dyDescent="0.25">
      <c r="B82" s="13">
        <v>116</v>
      </c>
      <c r="C82" s="14" t="s">
        <v>1271</v>
      </c>
      <c r="D82" s="13">
        <v>2</v>
      </c>
      <c r="E82" s="22">
        <v>45902</v>
      </c>
      <c r="F82" s="34">
        <f>_xlfn.LET(
    _xlpm.baseDate, Table47[[#This Row],[Confirmed Sampling Date]] - 14,
    _xlpm.weekdayNum, WEEKDAY(_xlpm.baseDate, 2),
    IF(_xlpm.weekdayNum = 6, _xlpm.baseDate + 2, IF(_xlpm.weekdayNum = 7, _xlpm.baseDate + 1, _xlpm.baseDate))
)</f>
        <v>45888</v>
      </c>
      <c r="G82" s="20">
        <f>IFERROR(WEEKNUM(Table47[[#This Row],[Shipping Date (SD-14)]]),"TBD")</f>
        <v>34</v>
      </c>
      <c r="H82" s="20" t="str">
        <f>IFERROR(TEXT(Table47[[#This Row],[Shipping Date (SD-14)]],"yyyy-mm"),"TBD")</f>
        <v>2025-08</v>
      </c>
      <c r="I82" s="13" t="s">
        <v>779</v>
      </c>
      <c r="J82" s="20" t="str">
        <f>IFERROR(VLOOKUP(Table47[[#This Row],[ToSite-UPSName]],Table1[[#All],[Company or Name]:[Delivery Address]],15,FALSE),"")</f>
        <v>Larnaca WWTP</v>
      </c>
      <c r="K82" s="20" t="str">
        <f>IFERROR(VLOOKUP(Table47[[#This Row],[ToSite-UPSName]],Table1[[#All],[Company or Name]:[Delivery Address]],16,FALSE),"")</f>
        <v>Larnaca Airport</v>
      </c>
      <c r="L82" s="20"/>
      <c r="M82" s="20">
        <f>IFERROR(VLOOKUP(Table47[[#This Row],[ToSite-UPSName]],Table1[[#All],[Company or Name]:[Delivery Address]],18,FALSE),"")</f>
        <v>0</v>
      </c>
      <c r="N82" s="20">
        <f>IFERROR(VLOOKUP(Table47[[#This Row],[ToSite-UPSName]],Table1[[#All],[Company or Name]:[Delivery Address]],19,FALSE),"")</f>
        <v>0</v>
      </c>
      <c r="O82" s="13"/>
      <c r="P82" s="20" t="s">
        <v>131</v>
      </c>
      <c r="Q82" s="20" t="s">
        <v>1434</v>
      </c>
      <c r="R82" s="20"/>
      <c r="S82" s="101" t="s">
        <v>134</v>
      </c>
      <c r="T82" s="101" t="s">
        <v>1361</v>
      </c>
      <c r="U82" s="13" t="s">
        <v>125</v>
      </c>
      <c r="V82" s="13" t="s">
        <v>110</v>
      </c>
      <c r="X82" s="13"/>
      <c r="Y82" s="20" t="str">
        <f>TEXT(Table47[[#This Row],[Confirmed Sampling Date]], "yyyy") &amp; "_" &amp; TEXT(Table47[[#This Row],[Confirmed Sampling Date]], "mm") &amp; "_" &amp; TEXT(Table47[[#This Row],[Confirmed Sampling Date]], "dd")</f>
        <v>2025_09_02</v>
      </c>
      <c r="Z82" s="20" t="str">
        <f>IFERROR(LEFT(J82, FIND(" ", J82) - 1), J82)</f>
        <v>Larnaca</v>
      </c>
      <c r="AA82" s="20" t="str">
        <f>VLOOKUP(Table47[[#This Row],[ToSite-UPSName]],Table1[[Company or Name]:[NOTES]],2,FALSE)</f>
        <v>Cyprus</v>
      </c>
      <c r="AB82" s="20" t="str">
        <f>IFERROR(VLOOKUP(Table47[[#This Row],[ToSite-UPSName]], Table1[[#All],[Company or Name]:[Delivery Address]],20,FALSE),"")</f>
        <v>Adamantiou Korai street 12, Larnaca District Local Government Organization offices, Larnaca, 6010, Cyprus</v>
      </c>
      <c r="AC82" s="20" t="str">
        <f>TEXT(Table47[[#This Row],[Shipping Date (SD-14)]]+3,"YYYY-MM-DD")</f>
        <v>2025-08-22</v>
      </c>
      <c r="AD82" s="20" t="str">
        <f>_xlfn.XLOOKUP(Table47[[#This Row],[Type]],kits!C:C,kits!D:D,"",0)</f>
        <v>boxcontentlabel_template_outbound1.docx</v>
      </c>
    </row>
    <row r="83" spans="2:30" ht="14.1" customHeight="1" x14ac:dyDescent="0.25">
      <c r="B83" s="13">
        <v>128</v>
      </c>
      <c r="C83" s="14" t="s">
        <v>1271</v>
      </c>
      <c r="D83" s="13">
        <v>2</v>
      </c>
      <c r="E83" s="34">
        <v>45902</v>
      </c>
      <c r="F83" s="34">
        <f>_xlfn.LET(
    _xlpm.baseDate, Table47[[#This Row],[Confirmed Sampling Date]] - 14,
    _xlpm.weekdayNum, WEEKDAY(_xlpm.baseDate, 2),
    IF(_xlpm.weekdayNum = 6, _xlpm.baseDate + 2, IF(_xlpm.weekdayNum = 7, _xlpm.baseDate + 1, _xlpm.baseDate))
)</f>
        <v>45888</v>
      </c>
      <c r="G83" s="20">
        <f>IFERROR(WEEKNUM(Table47[[#This Row],[Shipping Date (SD-14)]]),"TBD")</f>
        <v>34</v>
      </c>
      <c r="H83" s="20" t="str">
        <f>IFERROR(TEXT(Table47[[#This Row],[Shipping Date (SD-14)]],"yyyy-mm"),"TBD")</f>
        <v>2025-08</v>
      </c>
      <c r="I83" s="13" t="s">
        <v>863</v>
      </c>
      <c r="J83" s="20" t="str">
        <f>IFERROR(VLOOKUP(Table47[[#This Row],[ToSite-UPSName]],Table1[[#All],[Company or Name]:[Delivery Address]],15,FALSE),"")</f>
        <v>Dusseldorf WWTP 2101</v>
      </c>
      <c r="K83" s="20" t="str">
        <f>IFERROR(VLOOKUP(Table47[[#This Row],[ToSite-UPSName]],Table1[[#All],[Company or Name]:[Delivery Address]],16,FALSE),"")</f>
        <v>Dusseldorf WWTP 601</v>
      </c>
      <c r="L83" s="20"/>
      <c r="M83" s="20">
        <f>IFERROR(VLOOKUP(Table47[[#This Row],[ToSite-UPSName]],Table1[[#All],[Company or Name]:[Delivery Address]],18,FALSE),"")</f>
        <v>0</v>
      </c>
      <c r="N83" s="20">
        <f>IFERROR(VLOOKUP(Table47[[#This Row],[ToSite-UPSName]],Table1[[#All],[Company or Name]:[Delivery Address]],19,FALSE),"")</f>
        <v>0</v>
      </c>
      <c r="O83" s="13"/>
      <c r="P83" s="20" t="s">
        <v>131</v>
      </c>
      <c r="Q83" s="20" t="s">
        <v>1434</v>
      </c>
      <c r="R83" s="20"/>
      <c r="S83" s="65" t="s">
        <v>134</v>
      </c>
      <c r="T83" s="65" t="s">
        <v>1362</v>
      </c>
      <c r="U83" s="13" t="s">
        <v>125</v>
      </c>
      <c r="V83" s="13" t="s">
        <v>110</v>
      </c>
      <c r="X83" s="13"/>
      <c r="Y83" s="20" t="str">
        <f>TEXT(Table47[[#This Row],[Confirmed Sampling Date]], "yyyy") &amp; "_" &amp; TEXT(Table47[[#This Row],[Confirmed Sampling Date]], "mm") &amp; "_" &amp; TEXT(Table47[[#This Row],[Confirmed Sampling Date]], "dd")</f>
        <v>2025_09_02</v>
      </c>
      <c r="Z83" s="20" t="str">
        <f>IFERROR(LEFT(J83, FIND(" ", J83) - 1), J83)</f>
        <v>Dusseldorf</v>
      </c>
      <c r="AA83" s="20" t="str">
        <f>VLOOKUP(Table47[[#This Row],[ToSite-UPSName]],Table1[[Company or Name]:[NOTES]],2,FALSE)</f>
        <v>Germany</v>
      </c>
      <c r="AB83" s="20" t="str">
        <f>IFERROR(VLOOKUP(Table47[[#This Row],[ToSite-UPSName]], Table1[[#All],[Company or Name]:[Delivery Address]],20,FALSE),"")</f>
        <v>Auf dem Draap 15, Chemisch-Biologische Laboratorien, Dusseldorf, 40221, Germany</v>
      </c>
      <c r="AC83" s="20" t="str">
        <f>TEXT(Table47[[#This Row],[Shipping Date (SD-14)]]+3,"YYYY-MM-DD")</f>
        <v>2025-08-22</v>
      </c>
      <c r="AD83" s="20" t="str">
        <f>_xlfn.XLOOKUP(Table47[[#This Row],[Type]],kits!C:C,kits!D:D,"",0)</f>
        <v>boxcontentlabel_template_outbound1.docx</v>
      </c>
    </row>
    <row r="84" spans="2:30" ht="14.1" customHeight="1" x14ac:dyDescent="0.25">
      <c r="B84" s="13">
        <v>140</v>
      </c>
      <c r="C84" s="14" t="s">
        <v>1271</v>
      </c>
      <c r="D84" s="13">
        <v>3</v>
      </c>
      <c r="E84" s="34">
        <v>45902</v>
      </c>
      <c r="F84" s="34">
        <f>_xlfn.LET(
    _xlpm.baseDate, Table47[[#This Row],[Confirmed Sampling Date]] - 14,
    _xlpm.weekdayNum, WEEKDAY(_xlpm.baseDate, 2),
    IF(_xlpm.weekdayNum = 6, _xlpm.baseDate + 2, IF(_xlpm.weekdayNum = 7, _xlpm.baseDate + 1, _xlpm.baseDate))
)</f>
        <v>45888</v>
      </c>
      <c r="G84" s="20">
        <f>IFERROR(WEEKNUM(Table47[[#This Row],[Shipping Date (SD-14)]]),"TBD")</f>
        <v>34</v>
      </c>
      <c r="H84" s="20" t="str">
        <f>IFERROR(TEXT(Table47[[#This Row],[Shipping Date (SD-14)]],"yyyy-mm"),"TBD")</f>
        <v>2025-08</v>
      </c>
      <c r="I84" s="13" t="s">
        <v>975</v>
      </c>
      <c r="J84" s="20" t="str">
        <f>IFERROR(VLOOKUP(Table47[[#This Row],[ToSite-UPSName]],Table1[[#All],[Company or Name]:[Delivery Address]],15,FALSE),"")</f>
        <v>Vilnius WWTP</v>
      </c>
      <c r="K84" s="20" t="str">
        <f>IFERROR(VLOOKUP(Table47[[#This Row],[ToSite-UPSName]],Table1[[#All],[Company or Name]:[Delivery Address]],16,FALSE),"")</f>
        <v>Vilnius Bus Terminal</v>
      </c>
      <c r="L84" s="20"/>
      <c r="M84" s="20">
        <f>IFERROR(VLOOKUP(Table47[[#This Row],[ToSite-UPSName]],Table1[[#All],[Company or Name]:[Delivery Address]],18,FALSE),"")</f>
        <v>0</v>
      </c>
      <c r="N84" s="20">
        <f>IFERROR(VLOOKUP(Table47[[#This Row],[ToSite-UPSName]],Table1[[#All],[Company or Name]:[Delivery Address]],19,FALSE),"")</f>
        <v>0</v>
      </c>
      <c r="O84" s="13"/>
      <c r="P84" s="20" t="s">
        <v>131</v>
      </c>
      <c r="Q84" s="20" t="s">
        <v>1434</v>
      </c>
      <c r="R84" s="20"/>
      <c r="S84" s="20" t="s">
        <v>134</v>
      </c>
      <c r="T84" s="121" t="s">
        <v>1363</v>
      </c>
      <c r="U84" s="13" t="s">
        <v>125</v>
      </c>
      <c r="V84" s="13" t="s">
        <v>110</v>
      </c>
      <c r="X84" s="13"/>
      <c r="Y84" s="20" t="str">
        <f>TEXT(Table47[[#This Row],[Confirmed Sampling Date]], "yyyy") &amp; "_" &amp; TEXT(Table47[[#This Row],[Confirmed Sampling Date]], "mm") &amp; "_" &amp; TEXT(Table47[[#This Row],[Confirmed Sampling Date]], "dd")</f>
        <v>2025_09_02</v>
      </c>
      <c r="Z84" s="20" t="str">
        <f>IFERROR(LEFT(J84, FIND(" ", J84) - 1), J84)</f>
        <v>Vilnius</v>
      </c>
      <c r="AA84" s="20" t="str">
        <f>VLOOKUP(Table47[[#This Row],[ToSite-UPSName]],Table1[[Company or Name]:[NOTES]],2,FALSE)</f>
        <v>Lithuania</v>
      </c>
      <c r="AB84" s="20" t="str">
        <f>IFERROR(VLOOKUP(Table47[[#This Row],[ToSite-UPSName]], Table1[[#All],[Company or Name]:[Delivery Address]],20,FALSE),"")</f>
        <v>Zolyno 36 gatve, Vilnius, 10210, Lithuania</v>
      </c>
      <c r="AC84" s="20" t="str">
        <f>TEXT(Table47[[#This Row],[Shipping Date (SD-14)]]+3,"YYYY-MM-DD")</f>
        <v>2025-08-22</v>
      </c>
      <c r="AD84" s="20" t="str">
        <f>_xlfn.XLOOKUP(Table47[[#This Row],[Type]],kits!C:C,kits!D:D,"",0)</f>
        <v>boxcontentlabel_template_outbound1.docx</v>
      </c>
    </row>
    <row r="85" spans="2:30" ht="14.1" customHeight="1" x14ac:dyDescent="0.25">
      <c r="B85" s="13">
        <v>168</v>
      </c>
      <c r="C85" s="14" t="s">
        <v>1271</v>
      </c>
      <c r="D85" s="13">
        <v>1</v>
      </c>
      <c r="E85" s="34">
        <v>45902</v>
      </c>
      <c r="F85" s="34">
        <f>_xlfn.LET(
    _xlpm.baseDate, Table47[[#This Row],[Confirmed Sampling Date]] - 14,
    _xlpm.weekdayNum, WEEKDAY(_xlpm.baseDate, 2),
    IF(_xlpm.weekdayNum = 6, _xlpm.baseDate + 2, IF(_xlpm.weekdayNum = 7, _xlpm.baseDate + 1, _xlpm.baseDate))
)</f>
        <v>45888</v>
      </c>
      <c r="G85" s="20">
        <f>IFERROR(WEEKNUM(Table47[[#This Row],[Shipping Date (SD-14)]]),"TBD")</f>
        <v>34</v>
      </c>
      <c r="H85" s="20" t="str">
        <f>IFERROR(TEXT(Table47[[#This Row],[Shipping Date (SD-14)]],"yyyy-mm"),"TBD")</f>
        <v>2025-08</v>
      </c>
      <c r="I85" s="78" t="s">
        <v>1125</v>
      </c>
      <c r="J85" s="20" t="str">
        <f>IFERROR(VLOOKUP(Table47[[#This Row],[ToSite-UPSName]],Table1[[#All],[Company or Name]:[Delivery Address]],15,FALSE),"")</f>
        <v>Cluj-SCBI</v>
      </c>
      <c r="K85" s="20" t="str">
        <f>IFERROR(VLOOKUP(Table47[[#This Row],[ToSite-UPSName]],Table1[[#All],[Company or Name]:[Delivery Address]],16,FALSE),"")</f>
        <v>-</v>
      </c>
      <c r="L85" s="20"/>
      <c r="M85" s="20" t="str">
        <f>IFERROR(VLOOKUP(Table47[[#This Row],[ToSite-UPSName]],Table1[[#All],[Company or Name]:[Delivery Address]],18,FALSE),"")</f>
        <v>-</v>
      </c>
      <c r="N85" s="20" t="str">
        <f>IFERROR(VLOOKUP(Table47[[#This Row],[ToSite-UPSName]],Table1[[#All],[Company or Name]:[Delivery Address]],19,FALSE),"")</f>
        <v>-</v>
      </c>
      <c r="O85" s="13"/>
      <c r="P85" s="20" t="s">
        <v>131</v>
      </c>
      <c r="Q85" s="20" t="s">
        <v>1434</v>
      </c>
      <c r="R85" s="20"/>
      <c r="S85" s="65" t="s">
        <v>134</v>
      </c>
      <c r="T85" s="65" t="s">
        <v>1365</v>
      </c>
      <c r="U85" s="13" t="s">
        <v>125</v>
      </c>
      <c r="V85" s="13" t="s">
        <v>110</v>
      </c>
      <c r="X85" s="13"/>
      <c r="Y85" s="20" t="str">
        <f>TEXT(Table47[[#This Row],[Confirmed Sampling Date]], "yyyy") &amp; "_" &amp; TEXT(Table47[[#This Row],[Confirmed Sampling Date]], "mm") &amp; "_" &amp; TEXT(Table47[[#This Row],[Confirmed Sampling Date]], "dd")</f>
        <v>2025_09_02</v>
      </c>
      <c r="Z85" s="20" t="str">
        <f>IFERROR(LEFT(J85, FIND(" ", J85) - 1), J85)</f>
        <v>Cluj-SCBI</v>
      </c>
      <c r="AA85" s="20" t="str">
        <f>VLOOKUP(Table47[[#This Row],[ToSite-UPSName]],Table1[[Company or Name]:[NOTES]],2,FALSE)</f>
        <v>Romania</v>
      </c>
      <c r="AB85" s="20" t="str">
        <f>IFERROR(VLOOKUP(Table47[[#This Row],[ToSite-UPSName]], Table1[[#All],[Company or Name]:[Delivery Address]],20,FALSE),"")</f>
        <v>Strada Iuliu Moldovan 23, Cluj-Napoca, 400003, Romania</v>
      </c>
      <c r="AC85" s="20" t="str">
        <f>TEXT(Table47[[#This Row],[Shipping Date (SD-14)]]+3,"YYYY-MM-DD")</f>
        <v>2025-08-22</v>
      </c>
      <c r="AD85" s="20" t="str">
        <f>_xlfn.XLOOKUP(Table47[[#This Row],[Type]],kits!C:C,kits!D:D,"",0)</f>
        <v>boxcontentlabel_template_outbound1.docx</v>
      </c>
    </row>
    <row r="86" spans="2:30" ht="14.1" customHeight="1" x14ac:dyDescent="0.25">
      <c r="B86" s="13">
        <v>177</v>
      </c>
      <c r="C86" s="14" t="s">
        <v>1271</v>
      </c>
      <c r="D86" s="13">
        <v>1</v>
      </c>
      <c r="E86" s="34">
        <v>45902</v>
      </c>
      <c r="F86" s="34">
        <f>_xlfn.LET(
    _xlpm.baseDate, Table47[[#This Row],[Confirmed Sampling Date]] - 14,
    _xlpm.weekdayNum, WEEKDAY(_xlpm.baseDate, 2),
    IF(_xlpm.weekdayNum = 6, _xlpm.baseDate + 2, IF(_xlpm.weekdayNum = 7, _xlpm.baseDate + 1, _xlpm.baseDate))
)</f>
        <v>45888</v>
      </c>
      <c r="G86" s="20">
        <f>IFERROR(WEEKNUM(Table47[[#This Row],[Shipping Date (SD-14)]]),"TBD")</f>
        <v>34</v>
      </c>
      <c r="H86" s="20" t="str">
        <f>IFERROR(TEXT(Table47[[#This Row],[Shipping Date (SD-14)]],"yyyy-mm"),"TBD")</f>
        <v>2025-08</v>
      </c>
      <c r="I86" s="78" t="s">
        <v>1132</v>
      </c>
      <c r="J86" s="20" t="str">
        <f>IFERROR(VLOOKUP(Table47[[#This Row],[ToSite-UPSName]],Table1[[#All],[Company or Name]:[Delivery Address]],15,FALSE),"")</f>
        <v>Cluj-MNC</v>
      </c>
      <c r="K86" s="20" t="str">
        <f>IFERROR(VLOOKUP(Table47[[#This Row],[ToSite-UPSName]],Table1[[#All],[Company or Name]:[Delivery Address]],16,FALSE),"")</f>
        <v>-</v>
      </c>
      <c r="L86" s="20"/>
      <c r="M86" s="20" t="str">
        <f>IFERROR(VLOOKUP(Table47[[#This Row],[ToSite-UPSName]],Table1[[#All],[Company or Name]:[Delivery Address]],18,FALSE),"")</f>
        <v>-</v>
      </c>
      <c r="N86" s="20" t="str">
        <f>IFERROR(VLOOKUP(Table47[[#This Row],[ToSite-UPSName]],Table1[[#All],[Company or Name]:[Delivery Address]],19,FALSE),"")</f>
        <v>-</v>
      </c>
      <c r="O86" s="13"/>
      <c r="P86" s="20" t="s">
        <v>131</v>
      </c>
      <c r="Q86" s="20" t="s">
        <v>1434</v>
      </c>
      <c r="R86" s="20"/>
      <c r="S86" s="20" t="s">
        <v>134</v>
      </c>
      <c r="T86" s="20" t="s">
        <v>1366</v>
      </c>
      <c r="U86" s="13" t="s">
        <v>125</v>
      </c>
      <c r="V86" s="13" t="s">
        <v>110</v>
      </c>
      <c r="X86" s="13"/>
      <c r="Y86" s="20" t="str">
        <f>TEXT(Table47[[#This Row],[Confirmed Sampling Date]], "yyyy") &amp; "_" &amp; TEXT(Table47[[#This Row],[Confirmed Sampling Date]], "mm") &amp; "_" &amp; TEXT(Table47[[#This Row],[Confirmed Sampling Date]], "dd")</f>
        <v>2025_09_02</v>
      </c>
      <c r="Z86" s="20" t="str">
        <f>IFERROR(LEFT(J86, FIND(" ", J86) - 1), J86)</f>
        <v>Cluj-MNC</v>
      </c>
      <c r="AA86" s="20" t="str">
        <f>VLOOKUP(Table47[[#This Row],[ToSite-UPSName]],Table1[[Company or Name]:[NOTES]],2,FALSE)</f>
        <v>Romania</v>
      </c>
      <c r="AB86" s="20" t="str">
        <f>IFERROR(VLOOKUP(Table47[[#This Row],[ToSite-UPSName]], Table1[[#All],[Company or Name]:[Delivery Address]],20,FALSE),"")</f>
        <v>Strada Tăbăcarilor 11, Cluj-Napoca, 400139, Romania</v>
      </c>
      <c r="AC86" s="20" t="str">
        <f>TEXT(Table47[[#This Row],[Shipping Date (SD-14)]]+3,"YYYY-MM-DD")</f>
        <v>2025-08-22</v>
      </c>
      <c r="AD86" s="20" t="str">
        <f>_xlfn.XLOOKUP(Table47[[#This Row],[Type]],kits!C:C,kits!D:D,"",0)</f>
        <v>boxcontentlabel_template_outbound1.docx</v>
      </c>
    </row>
    <row r="87" spans="2:30" ht="14.1" customHeight="1" x14ac:dyDescent="0.25">
      <c r="B87" s="13">
        <v>218</v>
      </c>
      <c r="C87" s="14" t="s">
        <v>1550</v>
      </c>
      <c r="D87" s="13">
        <v>1</v>
      </c>
      <c r="E87" s="83">
        <v>45902</v>
      </c>
      <c r="F87" s="34">
        <f>_xlfn.LET(
    _xlpm.baseDate, Table47[[#This Row],[Confirmed Sampling Date]] - 14,
    _xlpm.weekdayNum, WEEKDAY(_xlpm.baseDate, 2),
    IF(_xlpm.weekdayNum = 6, _xlpm.baseDate + 2, IF(_xlpm.weekdayNum = 7, _xlpm.baseDate + 1, _xlpm.baseDate))
)</f>
        <v>45888</v>
      </c>
      <c r="G87" s="20">
        <f>IFERROR(WEEKNUM(Table47[[#This Row],[Shipping Date (SD-14)]]),"TBD")</f>
        <v>34</v>
      </c>
      <c r="H87" s="20" t="str">
        <f>IFERROR(TEXT(Table47[[#This Row],[Shipping Date (SD-14)]],"yyyy-mm"),"TBD")</f>
        <v>2025-08</v>
      </c>
      <c r="I87" s="78" t="s">
        <v>1125</v>
      </c>
      <c r="J87" s="20" t="str">
        <f>IFERROR(VLOOKUP(Table47[[#This Row],[ToSite-UPSName]],Table1[[#All],[Company or Name]:[Delivery Address]],15,FALSE),"")</f>
        <v>Cluj-SCBI</v>
      </c>
      <c r="K87" s="20" t="str">
        <f>IFERROR(VLOOKUP(Table47[[#This Row],[ToSite-UPSName]],Table1[[#All],[Company or Name]:[Delivery Address]],16,FALSE),"")</f>
        <v>-</v>
      </c>
      <c r="L87" s="20"/>
      <c r="M87" s="20" t="str">
        <f>IFERROR(VLOOKUP(Table47[[#This Row],[ToSite-UPSName]],Table1[[#All],[Company or Name]:[Delivery Address]],18,FALSE),"")</f>
        <v>-</v>
      </c>
      <c r="N87" s="20" t="str">
        <f>IFERROR(VLOOKUP(Table47[[#This Row],[ToSite-UPSName]],Table1[[#All],[Company or Name]:[Delivery Address]],19,FALSE),"")</f>
        <v>-</v>
      </c>
      <c r="O87" s="13"/>
      <c r="P87" s="20" t="s">
        <v>131</v>
      </c>
      <c r="Q87" s="20" t="s">
        <v>639</v>
      </c>
      <c r="R87" s="20"/>
      <c r="S87" s="20" t="s">
        <v>134</v>
      </c>
      <c r="T87" s="20" t="s">
        <v>1543</v>
      </c>
      <c r="U87" s="20" t="s">
        <v>125</v>
      </c>
      <c r="V87" s="13" t="s">
        <v>110</v>
      </c>
      <c r="X87" s="13"/>
      <c r="Y87" s="20" t="str">
        <f>TEXT(Table47[[#This Row],[Confirmed Sampling Date]], "yyyy") &amp; "_" &amp; TEXT(Table47[[#This Row],[Confirmed Sampling Date]], "mm") &amp; "_" &amp; TEXT(Table47[[#This Row],[Confirmed Sampling Date]], "dd")</f>
        <v>2025_09_02</v>
      </c>
      <c r="Z87" s="20" t="str">
        <f>IFERROR(LEFT(J87, FIND(" ", J87) - 1), J87)</f>
        <v>Cluj-SCBI</v>
      </c>
      <c r="AA87" s="20" t="str">
        <f>VLOOKUP(Table47[[#This Row],[ToSite-UPSName]],Table1[[Company or Name]:[NOTES]],2,FALSE)</f>
        <v>Romania</v>
      </c>
      <c r="AB87" s="20" t="str">
        <f>IFERROR(VLOOKUP(Table47[[#This Row],[ToSite-UPSName]], Table1[[#All],[Company or Name]:[Delivery Address]],20,FALSE),"")</f>
        <v>Strada Iuliu Moldovan 23, Cluj-Napoca, 400003, Romania</v>
      </c>
      <c r="AC87" s="20" t="str">
        <f>TEXT(Table47[[#This Row],[Shipping Date (SD-14)]]+3,"YYYY-MM-DD")</f>
        <v>2025-08-22</v>
      </c>
      <c r="AD87" s="20" t="str">
        <f>_xlfn.XLOOKUP(Table47[[#This Row],[Type]],kits!C:C,kits!D:D,"",0)</f>
        <v>boxcontentlabel_template_outbound1.docx</v>
      </c>
    </row>
    <row r="88" spans="2:30" ht="14.1" customHeight="1" x14ac:dyDescent="0.25">
      <c r="B88" s="13">
        <v>219</v>
      </c>
      <c r="C88" s="14" t="s">
        <v>1550</v>
      </c>
      <c r="D88" s="13">
        <v>1</v>
      </c>
      <c r="E88" s="34">
        <v>45902</v>
      </c>
      <c r="F88" s="34">
        <f>_xlfn.LET(
    _xlpm.baseDate, Table47[[#This Row],[Confirmed Sampling Date]] - 14,
    _xlpm.weekdayNum, WEEKDAY(_xlpm.baseDate, 2),
    IF(_xlpm.weekdayNum = 6, _xlpm.baseDate + 2, IF(_xlpm.weekdayNum = 7, _xlpm.baseDate + 1, _xlpm.baseDate))
)</f>
        <v>45888</v>
      </c>
      <c r="G88" s="20">
        <f>IFERROR(WEEKNUM(Table47[[#This Row],[Shipping Date (SD-14)]]),"TBD")</f>
        <v>34</v>
      </c>
      <c r="H88" s="20" t="str">
        <f>IFERROR(TEXT(Table47[[#This Row],[Shipping Date (SD-14)]],"yyyy-mm"),"TBD")</f>
        <v>2025-08</v>
      </c>
      <c r="I88" s="78" t="s">
        <v>1132</v>
      </c>
      <c r="J88" s="20" t="str">
        <f>IFERROR(VLOOKUP(Table47[[#This Row],[ToSite-UPSName]],Table1[[#All],[Company or Name]:[Delivery Address]],15,FALSE),"")</f>
        <v>Cluj-MNC</v>
      </c>
      <c r="K88" s="20" t="str">
        <f>IFERROR(VLOOKUP(Table47[[#This Row],[ToSite-UPSName]],Table1[[#All],[Company or Name]:[Delivery Address]],16,FALSE),"")</f>
        <v>-</v>
      </c>
      <c r="L88" s="20"/>
      <c r="M88" s="20" t="str">
        <f>IFERROR(VLOOKUP(Table47[[#This Row],[ToSite-UPSName]],Table1[[#All],[Company or Name]:[Delivery Address]],18,FALSE),"")</f>
        <v>-</v>
      </c>
      <c r="N88" s="20" t="str">
        <f>IFERROR(VLOOKUP(Table47[[#This Row],[ToSite-UPSName]],Table1[[#All],[Company or Name]:[Delivery Address]],19,FALSE),"")</f>
        <v>-</v>
      </c>
      <c r="O88" s="13"/>
      <c r="P88" s="20" t="s">
        <v>131</v>
      </c>
      <c r="Q88" s="20" t="s">
        <v>639</v>
      </c>
      <c r="R88" s="20"/>
      <c r="S88" s="20" t="s">
        <v>134</v>
      </c>
      <c r="T88" s="20" t="s">
        <v>1544</v>
      </c>
      <c r="U88" s="20" t="s">
        <v>125</v>
      </c>
      <c r="V88" s="13" t="s">
        <v>110</v>
      </c>
      <c r="X88" s="13"/>
      <c r="Y88" s="20" t="str">
        <f>TEXT(Table47[[#This Row],[Confirmed Sampling Date]], "yyyy") &amp; "_" &amp; TEXT(Table47[[#This Row],[Confirmed Sampling Date]], "mm") &amp; "_" &amp; TEXT(Table47[[#This Row],[Confirmed Sampling Date]], "dd")</f>
        <v>2025_09_02</v>
      </c>
      <c r="Z88" s="20" t="str">
        <f>IFERROR(LEFT(J88, FIND(" ", J88) - 1), J88)</f>
        <v>Cluj-MNC</v>
      </c>
      <c r="AA88" s="20" t="str">
        <f>VLOOKUP(Table47[[#This Row],[ToSite-UPSName]],Table1[[Company or Name]:[NOTES]],2,FALSE)</f>
        <v>Romania</v>
      </c>
      <c r="AB88" s="20" t="str">
        <f>IFERROR(VLOOKUP(Table47[[#This Row],[ToSite-UPSName]], Table1[[#All],[Company or Name]:[Delivery Address]],20,FALSE),"")</f>
        <v>Strada Tăbăcarilor 11, Cluj-Napoca, 400139, Romania</v>
      </c>
      <c r="AC88" s="20" t="str">
        <f>TEXT(Table47[[#This Row],[Shipping Date (SD-14)]]+3,"YYYY-MM-DD")</f>
        <v>2025-08-22</v>
      </c>
      <c r="AD88" s="20" t="str">
        <f>_xlfn.XLOOKUP(Table47[[#This Row],[Type]],kits!C:C,kits!D:D,"",0)</f>
        <v>boxcontentlabel_template_outbound1.docx</v>
      </c>
    </row>
    <row r="89" spans="2:30" ht="13.5" customHeight="1" x14ac:dyDescent="0.25">
      <c r="B89" s="13">
        <v>76</v>
      </c>
      <c r="C89" s="14" t="s">
        <v>1271</v>
      </c>
      <c r="D89" s="13">
        <v>1</v>
      </c>
      <c r="E89" s="22">
        <v>45903</v>
      </c>
      <c r="F89" s="34">
        <f>_xlfn.LET(
    _xlpm.baseDate, Table47[[#This Row],[Confirmed Sampling Date]] - 14,
    _xlpm.weekdayNum, WEEKDAY(_xlpm.baseDate, 2),
    IF(_xlpm.weekdayNum = 6, _xlpm.baseDate + 2, IF(_xlpm.weekdayNum = 7, _xlpm.baseDate + 1, _xlpm.baseDate))
)</f>
        <v>45889</v>
      </c>
      <c r="G89" s="20">
        <f>IFERROR(WEEKNUM(Table47[[#This Row],[Shipping Date (SD-14)]]),"TBD")</f>
        <v>34</v>
      </c>
      <c r="H89" s="20" t="str">
        <f>IFERROR(TEXT(Table47[[#This Row],[Shipping Date (SD-14)]],"yyyy-mm"),"TBD")</f>
        <v>2025-08</v>
      </c>
      <c r="I89" s="13" t="s">
        <v>680</v>
      </c>
      <c r="J89" s="13" t="str">
        <f>IFERROR(VLOOKUP(Table47[[#This Row],[ToSite-UPSName]],Table1[[#All],[Company or Name]:[Delivery Address]],15,FALSE),"")</f>
        <v>Rome WWTP</v>
      </c>
      <c r="K89" s="20" t="str">
        <f>IFERROR(VLOOKUP(Table47[[#This Row],[ToSite-UPSName]],Table1[[#All],[Company or Name]:[Delivery Address]],16,FALSE),"")</f>
        <v>-</v>
      </c>
      <c r="L89" s="13" t="str">
        <f>IFERROR(VLOOKUP(Table47[[#This Row],[ToSite-UPSName]],Table1[[#All],[Company or Name]:[Delivery Address]],17,FALSE),"")</f>
        <v>-</v>
      </c>
      <c r="M89" s="20" t="str">
        <f>IFERROR(VLOOKUP(Table47[[#This Row],[ToSite-UPSName]],Table1[[#All],[Company or Name]:[Delivery Address]],18,FALSE),"")</f>
        <v>-</v>
      </c>
      <c r="N89" s="20" t="str">
        <f>IFERROR(VLOOKUP(Table47[[#This Row],[ToSite-UPSName]],Table1[[#All],[Company or Name]:[Delivery Address]],19,FALSE),"")</f>
        <v>-</v>
      </c>
      <c r="O89" s="13"/>
      <c r="P89" s="20" t="s">
        <v>131</v>
      </c>
      <c r="Q89" s="20" t="s">
        <v>1434</v>
      </c>
      <c r="R89" s="20"/>
      <c r="S89" s="20" t="s">
        <v>134</v>
      </c>
      <c r="T89" s="20" t="s">
        <v>1367</v>
      </c>
      <c r="U89" s="13" t="s">
        <v>125</v>
      </c>
      <c r="V89" s="13" t="s">
        <v>110</v>
      </c>
      <c r="X89" s="13"/>
      <c r="Y89" s="20" t="str">
        <f>TEXT(Table47[[#This Row],[Confirmed Sampling Date]], "yyyy") &amp; "_" &amp; TEXT(Table47[[#This Row],[Confirmed Sampling Date]], "mm") &amp; "_" &amp; TEXT(Table47[[#This Row],[Confirmed Sampling Date]], "dd")</f>
        <v>2025_09_03</v>
      </c>
      <c r="Z89" s="20" t="str">
        <f>IFERROR(LEFT(J89, FIND(" ", J89) - 1), J89)</f>
        <v>Rome</v>
      </c>
      <c r="AA89" s="20" t="str">
        <f>VLOOKUP(Table47[[#This Row],[ToSite-UPSName]],Table1[[Company or Name]:[NOTES]],2,FALSE)</f>
        <v>Italy</v>
      </c>
      <c r="AB89" s="20" t="str">
        <f>IFERROR(VLOOKUP(Table47[[#This Row],[ToSite-UPSName]], Table1[[#All],[Company or Name]:[Delivery Address]],20,FALSE),"")</f>
        <v>Via dell'Equitazione 10, Rome, 00144, Italy</v>
      </c>
      <c r="AC89" s="20" t="str">
        <f>TEXT(Table47[[#This Row],[Shipping Date (SD-14)]]+3,"YYYY-MM-DD")</f>
        <v>2025-08-23</v>
      </c>
      <c r="AD89" s="20" t="str">
        <f>_xlfn.XLOOKUP(Table47[[#This Row],[Type]],kits!C:C,kits!D:D,"",0)</f>
        <v>boxcontentlabel_template_outbound1.docx</v>
      </c>
    </row>
    <row r="90" spans="2:30" ht="14.1" customHeight="1" x14ac:dyDescent="0.25">
      <c r="B90" s="13">
        <v>90</v>
      </c>
      <c r="C90" s="14" t="s">
        <v>1271</v>
      </c>
      <c r="D90" s="13">
        <v>1</v>
      </c>
      <c r="E90" s="22">
        <v>45903</v>
      </c>
      <c r="F90" s="34">
        <f>_xlfn.LET(
    _xlpm.baseDate, Table47[[#This Row],[Confirmed Sampling Date]] - 14,
    _xlpm.weekdayNum, WEEKDAY(_xlpm.baseDate, 2),
    IF(_xlpm.weekdayNum = 6, _xlpm.baseDate + 2, IF(_xlpm.weekdayNum = 7, _xlpm.baseDate + 1, _xlpm.baseDate))
)</f>
        <v>45889</v>
      </c>
      <c r="G90" s="20">
        <f>IFERROR(WEEKNUM(Table47[[#This Row],[Shipping Date (SD-14)]]),"TBD")</f>
        <v>34</v>
      </c>
      <c r="H90" s="20" t="str">
        <f>IFERROR(TEXT(Table47[[#This Row],[Shipping Date (SD-14)]],"yyyy-mm"),"TBD")</f>
        <v>2025-08</v>
      </c>
      <c r="I90" s="13" t="s">
        <v>771</v>
      </c>
      <c r="J90" s="20" t="str">
        <f>IFERROR(VLOOKUP(Table47[[#This Row],[ToSite-UPSName]],Table1[[#All],[Company or Name]:[Delivery Address]],15,FALSE),"")</f>
        <v>RomeAirport</v>
      </c>
      <c r="K90" s="20" t="str">
        <f>IFERROR(VLOOKUP(Table47[[#This Row],[ToSite-UPSName]],Table1[[#All],[Company or Name]:[Delivery Address]],16,FALSE),"")</f>
        <v>-</v>
      </c>
      <c r="L90" s="13" t="str">
        <f>IFERROR(VLOOKUP(Table47[[#This Row],[ToSite-UPSName]],Table1[[#All],[Company or Name]:[Delivery Address]],17,FALSE),"")</f>
        <v>-</v>
      </c>
      <c r="M90" s="20" t="str">
        <f>IFERROR(VLOOKUP(Table47[[#This Row],[ToSite-UPSName]],Table1[[#All],[Company or Name]:[Delivery Address]],18,FALSE),"")</f>
        <v>-</v>
      </c>
      <c r="N90" s="20" t="str">
        <f>IFERROR(VLOOKUP(Table47[[#This Row],[ToSite-UPSName]],Table1[[#All],[Company or Name]:[Delivery Address]],19,FALSE),"")</f>
        <v>-</v>
      </c>
      <c r="O90" s="13"/>
      <c r="P90" s="20" t="s">
        <v>131</v>
      </c>
      <c r="Q90" s="20" t="s">
        <v>1434</v>
      </c>
      <c r="R90" s="20"/>
      <c r="S90" s="20" t="s">
        <v>134</v>
      </c>
      <c r="T90" s="20" t="s">
        <v>1368</v>
      </c>
      <c r="U90" s="13" t="s">
        <v>125</v>
      </c>
      <c r="V90" s="13" t="s">
        <v>110</v>
      </c>
      <c r="X90" s="13"/>
      <c r="Y90" s="20" t="str">
        <f>TEXT(Table47[[#This Row],[Confirmed Sampling Date]], "yyyy") &amp; "_" &amp; TEXT(Table47[[#This Row],[Confirmed Sampling Date]], "mm") &amp; "_" &amp; TEXT(Table47[[#This Row],[Confirmed Sampling Date]], "dd")</f>
        <v>2025_09_03</v>
      </c>
      <c r="Z90" s="20" t="str">
        <f>IFERROR(LEFT(J90, FIND(" ", J90) - 1), J90)</f>
        <v>RomeAirport</v>
      </c>
      <c r="AA90" s="20" t="str">
        <f>VLOOKUP(Table47[[#This Row],[ToSite-UPSName]],Table1[[Company or Name]:[NOTES]],2,FALSE)</f>
        <v>Italy</v>
      </c>
      <c r="AB90" s="20" t="str">
        <f>IFERROR(VLOOKUP(Table47[[#This Row],[ToSite-UPSName]], Table1[[#All],[Company or Name]:[Delivery Address]],20,FALSE),"")</f>
        <v>VIA FRATELLI WRIGHT (DEPURATORE BIOLOGICO), FIUMICINO, 00054, Italy</v>
      </c>
      <c r="AC90" s="20" t="str">
        <f>TEXT(Table47[[#This Row],[Shipping Date (SD-14)]]+3,"YYYY-MM-DD")</f>
        <v>2025-08-23</v>
      </c>
      <c r="AD90" s="20" t="str">
        <f>_xlfn.XLOOKUP(Table47[[#This Row],[Type]],kits!C:C,kits!D:D,"",0)</f>
        <v>boxcontentlabel_template_outbound1.docx</v>
      </c>
    </row>
    <row r="91" spans="2:30" ht="14.1" customHeight="1" x14ac:dyDescent="0.25">
      <c r="B91" s="13">
        <v>150</v>
      </c>
      <c r="C91" s="14" t="s">
        <v>1271</v>
      </c>
      <c r="D91" s="13">
        <v>20</v>
      </c>
      <c r="E91" s="80">
        <v>45903</v>
      </c>
      <c r="F91" s="34">
        <f>_xlfn.LET(
    _xlpm.baseDate, Table47[[#This Row],[Confirmed Sampling Date]] - 14,
    _xlpm.weekdayNum, WEEKDAY(_xlpm.baseDate, 2),
    IF(_xlpm.weekdayNum = 6, _xlpm.baseDate + 2, IF(_xlpm.weekdayNum = 7, _xlpm.baseDate + 1, _xlpm.baseDate))
)</f>
        <v>45889</v>
      </c>
      <c r="G91" s="20">
        <f>IFERROR(WEEKNUM(Table47[[#This Row],[Shipping Date (SD-14)]]),"TBD")</f>
        <v>34</v>
      </c>
      <c r="H91" s="20" t="str">
        <f>IFERROR(TEXT(Table47[[#This Row],[Shipping Date (SD-14)]],"yyyy-mm"),"TBD")</f>
        <v>2025-08</v>
      </c>
      <c r="I91" s="78" t="s">
        <v>1628</v>
      </c>
      <c r="J91" s="20" t="str">
        <f>IFERROR(VLOOKUP(Table47[[#This Row],[ToSite-UPSName]],Table1[[#All],[Company or Name]:[Delivery Address]],15,FALSE),"")</f>
        <v>Funchal WWTP</v>
      </c>
      <c r="K91" s="20" t="str">
        <f>IFERROR(VLOOKUP(Table47[[#This Row],[ToSite-UPSName]],Table1[[#All],[Company or Name]:[Delivery Address]],16,FALSE),"")</f>
        <v>Madeira, 10 locations</v>
      </c>
      <c r="L91" s="20"/>
      <c r="M91" s="20">
        <f>IFERROR(VLOOKUP(Table47[[#This Row],[ToSite-UPSName]],Table1[[#All],[Company or Name]:[Delivery Address]],18,FALSE),"")</f>
        <v>0</v>
      </c>
      <c r="N91" s="20">
        <f>IFERROR(VLOOKUP(Table47[[#This Row],[ToSite-UPSName]],Table1[[#All],[Company or Name]:[Delivery Address]],19,FALSE),"")</f>
        <v>0</v>
      </c>
      <c r="O91" s="13"/>
      <c r="P91" s="20" t="s">
        <v>131</v>
      </c>
      <c r="Q91" s="20" t="s">
        <v>1434</v>
      </c>
      <c r="R91" s="20"/>
      <c r="S91" s="20" t="s">
        <v>134</v>
      </c>
      <c r="T91" s="20" t="s">
        <v>1369</v>
      </c>
      <c r="U91" s="13" t="s">
        <v>125</v>
      </c>
      <c r="V91" s="13" t="s">
        <v>110</v>
      </c>
      <c r="X91" s="13"/>
      <c r="Y91" s="20" t="str">
        <f>TEXT(Table47[[#This Row],[Confirmed Sampling Date]], "yyyy") &amp; "_" &amp; TEXT(Table47[[#This Row],[Confirmed Sampling Date]], "mm") &amp; "_" &amp; TEXT(Table47[[#This Row],[Confirmed Sampling Date]], "dd")</f>
        <v>2025_09_03</v>
      </c>
      <c r="Z91" s="20" t="str">
        <f>IFERROR(LEFT(J91, FIND(" ", J91) - 1), J91)</f>
        <v>Funchal</v>
      </c>
      <c r="AA91" s="20" t="str">
        <f>VLOOKUP(Table47[[#This Row],[ToSite-UPSName]],Table1[[Company or Name]:[NOTES]],2,FALSE)</f>
        <v>Portugal</v>
      </c>
      <c r="AB91" s="20" t="str">
        <f>IFERROR(VLOOKUP(Table47[[#This Row],[ToSite-UPSName]], Table1[[#All],[Company or Name]:[Delivery Address]],20,FALSE),"")</f>
        <v>R. do Matadouro 4, Funchal, 9050-100, Portugal</v>
      </c>
      <c r="AC91" s="20" t="str">
        <f>TEXT(Table47[[#This Row],[Shipping Date (SD-14)]]+3,"YYYY-MM-DD")</f>
        <v>2025-08-23</v>
      </c>
      <c r="AD91" s="20" t="str">
        <f>_xlfn.XLOOKUP(Table47[[#This Row],[Type]],kits!C:C,kits!D:D,"",0)</f>
        <v>boxcontentlabel_template_outbound1.docx</v>
      </c>
    </row>
    <row r="92" spans="2:30" ht="13.5" customHeight="1" x14ac:dyDescent="0.25">
      <c r="B92" s="13">
        <v>194</v>
      </c>
      <c r="C92" s="85" t="s">
        <v>1272</v>
      </c>
      <c r="D92" s="13">
        <v>4</v>
      </c>
      <c r="E92" s="83">
        <v>45903</v>
      </c>
      <c r="F92" s="34">
        <f>_xlfn.LET(
    _xlpm.baseDate, Table47[[#This Row],[Confirmed Sampling Date]] - 14,
    _xlpm.weekdayNum, WEEKDAY(_xlpm.baseDate, 2),
    IF(_xlpm.weekdayNum = 6, _xlpm.baseDate + 2, IF(_xlpm.weekdayNum = 7, _xlpm.baseDate + 1, _xlpm.baseDate))
)</f>
        <v>45889</v>
      </c>
      <c r="G92" s="20">
        <f>IFERROR(WEEKNUM(Table47[[#This Row],[Shipping Date (SD-14)]]),"TBD")</f>
        <v>34</v>
      </c>
      <c r="H92" s="20" t="str">
        <f>IFERROR(TEXT(Table47[[#This Row],[Shipping Date (SD-14)]],"yyyy-mm"),"TBD")</f>
        <v>2025-08</v>
      </c>
      <c r="I92" s="13" t="s">
        <v>1628</v>
      </c>
      <c r="J92" s="20" t="str">
        <f>IFERROR(VLOOKUP(Table47[[#This Row],[ToSite-UPSName]],Table1[[#All],[Company or Name]:[Delivery Address]],15,FALSE),"")</f>
        <v>Funchal WWTP</v>
      </c>
      <c r="K92" s="20" t="str">
        <f>IFERROR(VLOOKUP(Table47[[#This Row],[ToSite-UPSName]],Table1[[#All],[Company or Name]:[Delivery Address]],16,FALSE),"")</f>
        <v>Madeira, 10 locations</v>
      </c>
      <c r="L92" s="20"/>
      <c r="M92" s="20">
        <f>IFERROR(VLOOKUP(Table47[[#This Row],[ToSite-UPSName]],Table1[[#All],[Company or Name]:[Delivery Address]],18,FALSE),"")</f>
        <v>0</v>
      </c>
      <c r="N92" s="20">
        <f>IFERROR(VLOOKUP(Table47[[#This Row],[ToSite-UPSName]],Table1[[#All],[Company or Name]:[Delivery Address]],19,FALSE),"")</f>
        <v>0</v>
      </c>
      <c r="O92" s="13"/>
      <c r="P92" s="20" t="s">
        <v>131</v>
      </c>
      <c r="Q92" s="20" t="s">
        <v>1434</v>
      </c>
      <c r="R92" s="20"/>
      <c r="S92" s="20" t="s">
        <v>134</v>
      </c>
      <c r="T92" s="20" t="s">
        <v>1370</v>
      </c>
      <c r="U92" s="13" t="s">
        <v>125</v>
      </c>
      <c r="V92" s="13" t="s">
        <v>110</v>
      </c>
      <c r="X92" s="13"/>
      <c r="Y92" s="20" t="str">
        <f>TEXT(Table47[[#This Row],[Confirmed Sampling Date]], "yyyy") &amp; "_" &amp; TEXT(Table47[[#This Row],[Confirmed Sampling Date]], "mm") &amp; "_" &amp; TEXT(Table47[[#This Row],[Confirmed Sampling Date]], "dd")</f>
        <v>2025_09_03</v>
      </c>
      <c r="Z92" s="20" t="str">
        <f>IFERROR(LEFT(J92, FIND(" ", J92) - 1), J92)</f>
        <v>Funchal</v>
      </c>
      <c r="AA92" s="20" t="str">
        <f>VLOOKUP(Table47[[#This Row],[ToSite-UPSName]],Table1[[Company or Name]:[NOTES]],2,FALSE)</f>
        <v>Portugal</v>
      </c>
      <c r="AB92" s="20" t="str">
        <f>IFERROR(VLOOKUP(Table47[[#This Row],[ToSite-UPSName]], Table1[[#All],[Company or Name]:[Delivery Address]],20,FALSE),"")</f>
        <v>R. do Matadouro 4, Funchal, 9050-100, Portugal</v>
      </c>
      <c r="AC92" s="20" t="str">
        <f>TEXT(Table47[[#This Row],[Shipping Date (SD-14)]]+3,"YYYY-MM-DD")</f>
        <v>2025-08-23</v>
      </c>
      <c r="AD92" s="20" t="str">
        <f>_xlfn.XLOOKUP(Table47[[#This Row],[Type]],kits!C:C,kits!D:D,"",0)</f>
        <v>boxcontentlabel_template_outbound2.docx</v>
      </c>
    </row>
    <row r="93" spans="2:30" ht="14.1" customHeight="1" x14ac:dyDescent="0.25">
      <c r="B93" s="13">
        <v>67</v>
      </c>
      <c r="C93" s="14" t="s">
        <v>1271</v>
      </c>
      <c r="D93" s="13">
        <v>2</v>
      </c>
      <c r="E93" s="22">
        <v>45904</v>
      </c>
      <c r="F93" s="34">
        <f>_xlfn.LET(
    _xlpm.baseDate, Table47[[#This Row],[Confirmed Sampling Date]] - 14,
    _xlpm.weekdayNum, WEEKDAY(_xlpm.baseDate, 2),
    IF(_xlpm.weekdayNum = 6, _xlpm.baseDate + 2, IF(_xlpm.weekdayNum = 7, _xlpm.baseDate + 1, _xlpm.baseDate))
)</f>
        <v>45890</v>
      </c>
      <c r="G93" s="20">
        <f>IFERROR(WEEKNUM(Table47[[#This Row],[Shipping Date (SD-14)]]),"TBD")</f>
        <v>34</v>
      </c>
      <c r="H93" s="20" t="str">
        <f>IFERROR(TEXT(Table47[[#This Row],[Shipping Date (SD-14)]],"yyyy-mm"),"TBD")</f>
        <v>2025-08</v>
      </c>
      <c r="I93" s="13" t="s">
        <v>637</v>
      </c>
      <c r="J93" s="13" t="str">
        <f>IFERROR(VLOOKUP(Table47[[#This Row],[ToSite-UPSName]],Table1[[#All],[Company or Name]:[Delivery Address]],15,FALSE),"")</f>
        <v>Luxembourg (Beggen) WWTP</v>
      </c>
      <c r="K93" s="20" t="str">
        <f>IFERROR(VLOOKUP(Table47[[#This Row],[ToSite-UPSName]],Table1[[#All],[Company or Name]:[Delivery Address]],16,FALSE),"")</f>
        <v>Luxembourg Airport</v>
      </c>
      <c r="L93" s="13" t="str">
        <f>IFERROR(VLOOKUP(Table47[[#This Row],[ToSite-UPSName]],Table1[[#All],[Company or Name]:[Delivery Address]],17,FALSE),"")</f>
        <v>-</v>
      </c>
      <c r="M93" s="13" t="str">
        <f>IFERROR(VLOOKUP(Table47[[#This Row],[ToSite-UPSName]],Table1[[#All],[Company or Name]:[Delivery Address]],18,FALSE),"")</f>
        <v>-</v>
      </c>
      <c r="N93" s="13" t="str">
        <f>IFERROR(VLOOKUP(Table47[[#This Row],[ToSite-UPSName]],Table1[[#All],[Company or Name]:[Delivery Address]],19,FALSE),"")</f>
        <v>-</v>
      </c>
      <c r="O93" s="13"/>
      <c r="P93" s="20" t="s">
        <v>131</v>
      </c>
      <c r="Q93" s="20" t="s">
        <v>1551</v>
      </c>
      <c r="R93" s="20"/>
      <c r="S93" s="65" t="s">
        <v>134</v>
      </c>
      <c r="T93" s="65" t="s">
        <v>1439</v>
      </c>
      <c r="U93" s="13" t="s">
        <v>125</v>
      </c>
      <c r="V93" s="13" t="s">
        <v>110</v>
      </c>
      <c r="X93" s="13"/>
      <c r="Y93" s="20" t="str">
        <f>TEXT(Table47[[#This Row],[Confirmed Sampling Date]], "yyyy") &amp; "_" &amp; TEXT(Table47[[#This Row],[Confirmed Sampling Date]], "mm") &amp; "_" &amp; TEXT(Table47[[#This Row],[Confirmed Sampling Date]], "dd")</f>
        <v>2025_09_04</v>
      </c>
      <c r="Z93" s="20" t="str">
        <f>IFERROR(LEFT(J93, FIND(" ", J93) - 1), J93)</f>
        <v>Luxembourg</v>
      </c>
      <c r="AA93" s="20" t="str">
        <f>VLOOKUP(Table47[[#This Row],[ToSite-UPSName]],Table1[[Company or Name]:[NOTES]],2,FALSE)</f>
        <v>Luxembourg</v>
      </c>
      <c r="AB93" s="20" t="str">
        <f>IFERROR(VLOOKUP(Table47[[#This Row],[ToSite-UPSName]], Table1[[#All],[Company or Name]:[Delivery Address]],20,FALSE),"")</f>
        <v>41 rue du Brill, Luxembourg, L-4422 , Luxembourg</v>
      </c>
      <c r="AC93" s="20" t="str">
        <f>TEXT(Table47[[#This Row],[Shipping Date (SD-14)]]+3,"YYYY-MM-DD")</f>
        <v>2025-08-24</v>
      </c>
      <c r="AD93" s="20" t="str">
        <f>_xlfn.XLOOKUP(Table47[[#This Row],[Type]],kits!C:C,kits!D:D,"",0)</f>
        <v>boxcontentlabel_template_outbound1.docx</v>
      </c>
    </row>
    <row r="94" spans="2:30" ht="14.1" customHeight="1" x14ac:dyDescent="0.25">
      <c r="B94" s="13">
        <v>8</v>
      </c>
      <c r="C94" s="14" t="s">
        <v>1271</v>
      </c>
      <c r="D94" s="13">
        <v>2</v>
      </c>
      <c r="E94" s="22">
        <v>45914</v>
      </c>
      <c r="F94" s="34">
        <f>_xlfn.LET(
    _xlpm.baseDate, Table47[[#This Row],[Confirmed Sampling Date]] - 14,
    _xlpm.weekdayNum, WEEKDAY(_xlpm.baseDate, 2),
    IF(_xlpm.weekdayNum = 6, _xlpm.baseDate + 2, IF(_xlpm.weekdayNum = 7, _xlpm.baseDate + 1, _xlpm.baseDate))
)</f>
        <v>45901</v>
      </c>
      <c r="G94" s="13">
        <f>IFERROR(WEEKNUM(Table47[[#This Row],[Shipping Date (SD-14)]]),"TBD")</f>
        <v>36</v>
      </c>
      <c r="H94" s="13" t="str">
        <f>IFERROR(TEXT(Table47[[#This Row],[Shipping Date (SD-14)]],"yyyy-mm"),"TBD")</f>
        <v>2025-09</v>
      </c>
      <c r="I94" s="13" t="s">
        <v>13</v>
      </c>
      <c r="J94" s="13" t="str">
        <f>IFERROR(VLOOKUP(Table47[[#This Row],[ToSite-UPSName]],Table1[[#All],[Company or Name]:[Delivery Address]],15,FALSE),"")</f>
        <v>Berlin (Schoenefeld) WWTP</v>
      </c>
      <c r="K94" s="13" t="str">
        <f>IFERROR(VLOOKUP(Table47[[#This Row],[ToSite-UPSName]],Table1[[#All],[Company or Name]:[Delivery Address]],16,FALSE),"")</f>
        <v>Berlin Airport</v>
      </c>
      <c r="L94" s="13" t="str">
        <f>IFERROR(VLOOKUP(Table47[[#This Row],[ToSite-UPSName]],Table1[[#All],[Company or Name]:[Delivery Address]],17,FALSE),"")</f>
        <v>-</v>
      </c>
      <c r="M94" s="13" t="str">
        <f>IFERROR(VLOOKUP(Table47[[#This Row],[ToSite-UPSName]],Table1[[#All],[Company or Name]:[Delivery Address]],18,FALSE),"")</f>
        <v>-</v>
      </c>
      <c r="N94" s="13" t="str">
        <f>IFERROR(VLOOKUP(Table47[[#This Row],[ToSite-UPSName]],Table1[[#All],[Company or Name]:[Delivery Address]],19,FALSE),"")</f>
        <v>-</v>
      </c>
      <c r="O94" s="13"/>
      <c r="P94" s="13" t="s">
        <v>131</v>
      </c>
      <c r="Q94" s="13" t="s">
        <v>639</v>
      </c>
      <c r="R94" s="13"/>
      <c r="S94" s="98" t="s">
        <v>813</v>
      </c>
      <c r="T94" s="98" t="s">
        <v>1497</v>
      </c>
      <c r="U94" s="13" t="s">
        <v>125</v>
      </c>
      <c r="V94" s="13" t="s">
        <v>110</v>
      </c>
      <c r="X94" s="13"/>
      <c r="Y94" s="20" t="str">
        <f>TEXT(Table47[[#This Row],[Confirmed Sampling Date]], "yyyy") &amp; "_" &amp; TEXT(Table47[[#This Row],[Confirmed Sampling Date]], "mm") &amp; "_" &amp; TEXT(Table47[[#This Row],[Confirmed Sampling Date]], "dd")</f>
        <v>2025_09_14</v>
      </c>
      <c r="Z94" s="20" t="str">
        <f>IFERROR(LEFT(J94, FIND(" ", J94) - 1), J94)</f>
        <v>Berlin</v>
      </c>
      <c r="AA94" s="20" t="str">
        <f>VLOOKUP(Table47[[#This Row],[ToSite-UPSName]],Table1[[Company or Name]:[NOTES]],2,FALSE)</f>
        <v>Germany</v>
      </c>
      <c r="AB94" s="20" t="str">
        <f>IFERROR(VLOOKUP(Table47[[#This Row],[ToSite-UPSName]], Table1[[#All],[Company or Name]:[Delivery Address]],20,FALSE),"")</f>
        <v>Strasse am Klarwerk 4, Klarwerk Wassmannsdorf, Schoenefeld, 12529, Germany</v>
      </c>
      <c r="AC94" s="20" t="str">
        <f>TEXT(Table47[[#This Row],[Shipping Date (SD-14)]]+3,"YYYY-MM-DD")</f>
        <v>2025-09-04</v>
      </c>
      <c r="AD94" s="20" t="str">
        <f>_xlfn.XLOOKUP(Table47[[#This Row],[Type]],kits!C:C,kits!D:D,"",0)</f>
        <v>boxcontentlabel_template_outbound1.docx</v>
      </c>
    </row>
    <row r="95" spans="2:30" ht="14.1" customHeight="1" x14ac:dyDescent="0.25">
      <c r="B95" s="13">
        <v>203</v>
      </c>
      <c r="C95" s="85" t="s">
        <v>1272</v>
      </c>
      <c r="D95" s="13">
        <v>2</v>
      </c>
      <c r="E95" s="83">
        <v>45914</v>
      </c>
      <c r="F95" s="34">
        <f>_xlfn.LET(
    _xlpm.baseDate, Table47[[#This Row],[Confirmed Sampling Date]] - 14,
    _xlpm.weekdayNum, WEEKDAY(_xlpm.baseDate, 2),
    IF(_xlpm.weekdayNum = 6, _xlpm.baseDate + 2, IF(_xlpm.weekdayNum = 7, _xlpm.baseDate + 1, _xlpm.baseDate))
)</f>
        <v>45901</v>
      </c>
      <c r="G95" s="20">
        <f>IFERROR(WEEKNUM(Table47[[#This Row],[Shipping Date (SD-14)]]),"TBD")</f>
        <v>36</v>
      </c>
      <c r="H95" s="20" t="str">
        <f>IFERROR(TEXT(Table47[[#This Row],[Shipping Date (SD-14)]],"yyyy-mm"),"TBD")</f>
        <v>2025-09</v>
      </c>
      <c r="I95" s="13" t="s">
        <v>13</v>
      </c>
      <c r="J95" s="20" t="str">
        <f>IFERROR(VLOOKUP(Table47[[#This Row],[ToSite-UPSName]],Table1[[#All],[Company or Name]:[Delivery Address]],15,FALSE),"")</f>
        <v>Berlin (Schoenefeld) WWTP</v>
      </c>
      <c r="K95" s="20" t="str">
        <f>IFERROR(VLOOKUP(Table47[[#This Row],[ToSite-UPSName]],Table1[[#All],[Company or Name]:[Delivery Address]],16,FALSE),"")</f>
        <v>Berlin Airport</v>
      </c>
      <c r="L95" s="20"/>
      <c r="M95" s="20" t="str">
        <f>IFERROR(VLOOKUP(Table47[[#This Row],[ToSite-UPSName]],Table1[[#All],[Company or Name]:[Delivery Address]],18,FALSE),"")</f>
        <v>-</v>
      </c>
      <c r="N95" s="20" t="str">
        <f>IFERROR(VLOOKUP(Table47[[#This Row],[ToSite-UPSName]],Table1[[#All],[Company or Name]:[Delivery Address]],19,FALSE),"")</f>
        <v>-</v>
      </c>
      <c r="O95" s="13"/>
      <c r="P95" s="13" t="s">
        <v>131</v>
      </c>
      <c r="Q95" s="20" t="s">
        <v>639</v>
      </c>
      <c r="R95" s="20"/>
      <c r="S95" s="64" t="s">
        <v>813</v>
      </c>
      <c r="T95" s="64" t="s">
        <v>1498</v>
      </c>
      <c r="U95" s="13" t="s">
        <v>125</v>
      </c>
      <c r="V95" s="13" t="s">
        <v>110</v>
      </c>
      <c r="X95" s="13"/>
      <c r="Y95" s="20" t="str">
        <f>TEXT(Table47[[#This Row],[Confirmed Sampling Date]], "yyyy") &amp; "_" &amp; TEXT(Table47[[#This Row],[Confirmed Sampling Date]], "mm") &amp; "_" &amp; TEXT(Table47[[#This Row],[Confirmed Sampling Date]], "dd")</f>
        <v>2025_09_14</v>
      </c>
      <c r="Z95" s="20" t="str">
        <f>IFERROR(LEFT(J95, FIND(" ", J95) - 1), J95)</f>
        <v>Berlin</v>
      </c>
      <c r="AA95" s="20" t="str">
        <f>VLOOKUP(Table47[[#This Row],[ToSite-UPSName]],Table1[[Company or Name]:[NOTES]],2,FALSE)</f>
        <v>Germany</v>
      </c>
      <c r="AB95" s="20" t="str">
        <f>IFERROR(VLOOKUP(Table47[[#This Row],[ToSite-UPSName]], Table1[[#All],[Company or Name]:[Delivery Address]],20,FALSE),"")</f>
        <v>Strasse am Klarwerk 4, Klarwerk Wassmannsdorf, Schoenefeld, 12529, Germany</v>
      </c>
      <c r="AC95" s="20" t="str">
        <f>TEXT(Table47[[#This Row],[Shipping Date (SD-14)]]+3,"YYYY-MM-DD")</f>
        <v>2025-09-04</v>
      </c>
      <c r="AD95" s="20" t="str">
        <f>_xlfn.XLOOKUP(Table47[[#This Row],[Type]],kits!C:C,kits!D:D,"",0)</f>
        <v>boxcontentlabel_template_outbound2.docx</v>
      </c>
    </row>
    <row r="96" spans="2:30" ht="14.1" customHeight="1" x14ac:dyDescent="0.25">
      <c r="B96" s="13">
        <v>49</v>
      </c>
      <c r="C96" s="14" t="s">
        <v>1271</v>
      </c>
      <c r="D96" s="13">
        <v>2</v>
      </c>
      <c r="E96" s="22">
        <v>45915</v>
      </c>
      <c r="F96" s="34">
        <f>_xlfn.LET(
    _xlpm.baseDate, Table47[[#This Row],[Confirmed Sampling Date]] - 14,
    _xlpm.weekdayNum, WEEKDAY(_xlpm.baseDate, 2),
    IF(_xlpm.weekdayNum = 6, _xlpm.baseDate + 2, IF(_xlpm.weekdayNum = 7, _xlpm.baseDate + 1, _xlpm.baseDate))
)</f>
        <v>45901</v>
      </c>
      <c r="G96" s="13">
        <f>IFERROR(WEEKNUM(Table47[[#This Row],[Shipping Date (SD-14)]]),"TBD")</f>
        <v>36</v>
      </c>
      <c r="H96" s="13" t="str">
        <f>IFERROR(TEXT(Table47[[#This Row],[Shipping Date (SD-14)]],"yyyy-mm"),"TBD")</f>
        <v>2025-09</v>
      </c>
      <c r="I96" s="13" t="s">
        <v>364</v>
      </c>
      <c r="J96" s="13" t="str">
        <f>IFERROR(VLOOKUP(Table47[[#This Row],[ToSite-UPSName]],Table1[[#All],[Company or Name]:[Delivery Address]],15,FALSE),"")</f>
        <v>Brussels WWTP</v>
      </c>
      <c r="K96" s="13" t="str">
        <f>IFERROR(VLOOKUP(Table47[[#This Row],[ToSite-UPSName]],Table1[[#All],[Company or Name]:[Delivery Address]],16,FALSE),"")</f>
        <v>Brussels Airport</v>
      </c>
      <c r="L96" s="13" t="str">
        <f>IFERROR(VLOOKUP(Table47[[#This Row],[ToSite-UPSName]],Table1[[#All],[Company or Name]:[Delivery Address]],17,FALSE),"")</f>
        <v>-</v>
      </c>
      <c r="M96" s="13" t="str">
        <f>IFERROR(VLOOKUP(Table47[[#This Row],[ToSite-UPSName]],Table1[[#All],[Company or Name]:[Delivery Address]],18,FALSE),"")</f>
        <v>-</v>
      </c>
      <c r="N96" s="13" t="str">
        <f>IFERROR(VLOOKUP(Table47[[#This Row],[ToSite-UPSName]],Table1[[#All],[Company or Name]:[Delivery Address]],19,FALSE),"")</f>
        <v>-</v>
      </c>
      <c r="O96" s="13"/>
      <c r="P96" s="13" t="s">
        <v>131</v>
      </c>
      <c r="Q96" s="13" t="s">
        <v>639</v>
      </c>
      <c r="R96" s="13"/>
      <c r="S96" s="98" t="s">
        <v>813</v>
      </c>
      <c r="T96" s="98" t="s">
        <v>1499</v>
      </c>
      <c r="U96" s="13" t="s">
        <v>125</v>
      </c>
      <c r="V96" s="13" t="s">
        <v>110</v>
      </c>
      <c r="X96" s="13"/>
      <c r="Y96" s="20" t="str">
        <f>TEXT(Table47[[#This Row],[Confirmed Sampling Date]], "yyyy") &amp; "_" &amp; TEXT(Table47[[#This Row],[Confirmed Sampling Date]], "mm") &amp; "_" &amp; TEXT(Table47[[#This Row],[Confirmed Sampling Date]], "dd")</f>
        <v>2025_09_15</v>
      </c>
      <c r="Z96" s="20" t="str">
        <f>IFERROR(LEFT(J96, FIND(" ", J96) - 1), J96)</f>
        <v>Brussels</v>
      </c>
      <c r="AA96" s="20" t="str">
        <f>VLOOKUP(Table47[[#This Row],[ToSite-UPSName]],Table1[[Company or Name]:[NOTES]],2,FALSE)</f>
        <v>Belgium</v>
      </c>
      <c r="AB96" s="20" t="str">
        <f>IFERROR(VLOOKUP(Table47[[#This Row],[ToSite-UPSName]], Table1[[#All],[Company or Name]:[Delivery Address]],20,FALSE),"")</f>
        <v>Rue Juliette Wytsmanstraat 14, Brussels, 1050, Belgium</v>
      </c>
      <c r="AC96" s="20" t="str">
        <f>TEXT(Table47[[#This Row],[Shipping Date (SD-14)]]+3,"YYYY-MM-DD")</f>
        <v>2025-09-04</v>
      </c>
      <c r="AD96" s="20" t="str">
        <f>_xlfn.XLOOKUP(Table47[[#This Row],[Type]],kits!C:C,kits!D:D,"",0)</f>
        <v>boxcontentlabel_template_outbound1.docx</v>
      </c>
    </row>
    <row r="97" spans="2:30" ht="14.1" customHeight="1" x14ac:dyDescent="0.25">
      <c r="B97" s="13">
        <v>160</v>
      </c>
      <c r="C97" s="14" t="s">
        <v>1271</v>
      </c>
      <c r="D97" s="13">
        <v>1</v>
      </c>
      <c r="E97" s="83">
        <v>45915</v>
      </c>
      <c r="F97" s="34">
        <f>_xlfn.LET(
    _xlpm.baseDate, Table47[[#This Row],[Confirmed Sampling Date]] - 14,
    _xlpm.weekdayNum, WEEKDAY(_xlpm.baseDate, 2),
    IF(_xlpm.weekdayNum = 6, _xlpm.baseDate + 2, IF(_xlpm.weekdayNum = 7, _xlpm.baseDate + 1, _xlpm.baseDate))
)</f>
        <v>45901</v>
      </c>
      <c r="G97" s="20">
        <f>IFERROR(WEEKNUM(Table47[[#This Row],[Shipping Date (SD-14)]]),"TBD")</f>
        <v>36</v>
      </c>
      <c r="H97" s="20" t="str">
        <f>IFERROR(TEXT(Table47[[#This Row],[Shipping Date (SD-14)]],"yyyy-mm"),"TBD")</f>
        <v>2025-09</v>
      </c>
      <c r="I97" s="78" t="s">
        <v>1114</v>
      </c>
      <c r="J97" s="20" t="str">
        <f>IFERROR(VLOOKUP(Table47[[#This Row],[ToSite-UPSName]],Table1[[#All],[Company or Name]:[Delivery Address]],15,FALSE),"")</f>
        <v>Uppsala WWTP</v>
      </c>
      <c r="K97" s="20" t="str">
        <f>IFERROR(VLOOKUP(Table47[[#This Row],[ToSite-UPSName]],Table1[[#All],[Company or Name]:[Delivery Address]],16,FALSE),"")</f>
        <v>-</v>
      </c>
      <c r="L97" s="20"/>
      <c r="M97" s="20" t="str">
        <f>IFERROR(VLOOKUP(Table47[[#This Row],[ToSite-UPSName]],Table1[[#All],[Company or Name]:[Delivery Address]],18,FALSE),"")</f>
        <v>-</v>
      </c>
      <c r="N97" s="20" t="str">
        <f>IFERROR(VLOOKUP(Table47[[#This Row],[ToSite-UPSName]],Table1[[#All],[Company or Name]:[Delivery Address]],19,FALSE),"")</f>
        <v>-</v>
      </c>
      <c r="O97" s="13"/>
      <c r="P97" s="13" t="s">
        <v>131</v>
      </c>
      <c r="Q97" s="13" t="s">
        <v>813</v>
      </c>
      <c r="R97" s="20"/>
      <c r="S97" s="64" t="s">
        <v>813</v>
      </c>
      <c r="T97" s="64" t="s">
        <v>1515</v>
      </c>
      <c r="U97" s="13" t="s">
        <v>125</v>
      </c>
      <c r="V97" s="13" t="s">
        <v>110</v>
      </c>
      <c r="X97" s="13"/>
      <c r="Y97" s="20" t="str">
        <f>TEXT(Table47[[#This Row],[Confirmed Sampling Date]], "yyyy") &amp; "_" &amp; TEXT(Table47[[#This Row],[Confirmed Sampling Date]], "mm") &amp; "_" &amp; TEXT(Table47[[#This Row],[Confirmed Sampling Date]], "dd")</f>
        <v>2025_09_15</v>
      </c>
      <c r="Z97" s="20" t="str">
        <f>IFERROR(LEFT(J97, FIND(" ", J97) - 1), J97)</f>
        <v>Uppsala</v>
      </c>
      <c r="AA97" s="20" t="str">
        <f>VLOOKUP(Table47[[#This Row],[ToSite-UPSName]],Table1[[Company or Name]:[NOTES]],2,FALSE)</f>
        <v>Sweden</v>
      </c>
      <c r="AB97" s="20" t="str">
        <f>IFERROR(VLOOKUP(Table47[[#This Row],[ToSite-UPSName]], Table1[[#All],[Company or Name]:[Delivery Address]],20,FALSE),"")</f>
        <v>Gerda Nilssons väg 5, Uppsala, 756 51, Sweden</v>
      </c>
      <c r="AC97" s="20" t="str">
        <f>TEXT(Table47[[#This Row],[Shipping Date (SD-14)]]+3,"YYYY-MM-DD")</f>
        <v>2025-09-04</v>
      </c>
      <c r="AD97" s="20" t="str">
        <f>_xlfn.XLOOKUP(Table47[[#This Row],[Type]],kits!C:C,kits!D:D,"",0)</f>
        <v>boxcontentlabel_template_outbound1.docx</v>
      </c>
    </row>
    <row r="98" spans="2:30" ht="14.1" customHeight="1" x14ac:dyDescent="0.25">
      <c r="B98" s="13">
        <v>187</v>
      </c>
      <c r="C98" s="14" t="s">
        <v>1271</v>
      </c>
      <c r="D98" s="13">
        <v>2</v>
      </c>
      <c r="E98" s="34">
        <v>45915</v>
      </c>
      <c r="F98" s="34">
        <f>_xlfn.LET(
    _xlpm.baseDate, Table47[[#This Row],[Confirmed Sampling Date]] - 14,
    _xlpm.weekdayNum, WEEKDAY(_xlpm.baseDate, 2),
    IF(_xlpm.weekdayNum = 6, _xlpm.baseDate + 2, IF(_xlpm.weekdayNum = 7, _xlpm.baseDate + 1, _xlpm.baseDate))
)</f>
        <v>45901</v>
      </c>
      <c r="G98" s="20">
        <f>IFERROR(WEEKNUM(Table47[[#This Row],[Shipping Date (SD-14)]]),"TBD")</f>
        <v>36</v>
      </c>
      <c r="H98" s="20" t="str">
        <f>IFERROR(TEXT(Table47[[#This Row],[Shipping Date (SD-14)]],"yyyy-mm"),"TBD")</f>
        <v>2025-09</v>
      </c>
      <c r="I98" s="78" t="s">
        <v>1187</v>
      </c>
      <c r="J98" s="20" t="str">
        <f>IFERROR(VLOOKUP(Table47[[#This Row],[ToSite-UPSName]],Table1[[#All],[Company or Name]:[Delivery Address]],15,FALSE),"")</f>
        <v>Aachen WWTP</v>
      </c>
      <c r="K98" s="20" t="str">
        <f>IFERROR(VLOOKUP(Table47[[#This Row],[ToSite-UPSName]],Table1[[#All],[Company or Name]:[Delivery Address]],16,FALSE),"")</f>
        <v>Aachen Hospital</v>
      </c>
      <c r="L98" s="20"/>
      <c r="M98" s="20">
        <f>IFERROR(VLOOKUP(Table47[[#This Row],[ToSite-UPSName]],Table1[[#All],[Company or Name]:[Delivery Address]],18,FALSE),"")</f>
        <v>0</v>
      </c>
      <c r="N98" s="20">
        <f>IFERROR(VLOOKUP(Table47[[#This Row],[ToSite-UPSName]],Table1[[#All],[Company or Name]:[Delivery Address]],19,FALSE),"")</f>
        <v>0</v>
      </c>
      <c r="O98" s="13"/>
      <c r="P98" s="13" t="s">
        <v>131</v>
      </c>
      <c r="Q98" s="20" t="s">
        <v>639</v>
      </c>
      <c r="R98" s="20"/>
      <c r="S98" s="64" t="s">
        <v>813</v>
      </c>
      <c r="T98" s="64" t="s">
        <v>1500</v>
      </c>
      <c r="U98" s="13" t="s">
        <v>125</v>
      </c>
      <c r="V98" s="13" t="s">
        <v>110</v>
      </c>
      <c r="X98" s="13"/>
      <c r="Y98" s="20" t="str">
        <f>TEXT(Table47[[#This Row],[Confirmed Sampling Date]], "yyyy") &amp; "_" &amp; TEXT(Table47[[#This Row],[Confirmed Sampling Date]], "mm") &amp; "_" &amp; TEXT(Table47[[#This Row],[Confirmed Sampling Date]], "dd")</f>
        <v>2025_09_15</v>
      </c>
      <c r="Z98" s="20" t="str">
        <f>IFERROR(LEFT(J98, FIND(" ", J98) - 1), J98)</f>
        <v>Aachen</v>
      </c>
      <c r="AA98" s="20" t="str">
        <f>VLOOKUP(Table47[[#This Row],[ToSite-UPSName]],Table1[[Company or Name]:[NOTES]],2,FALSE)</f>
        <v>Germany</v>
      </c>
      <c r="AB98" s="20" t="str">
        <f>IFERROR(VLOOKUP(Table47[[#This Row],[ToSite-UPSName]], Table1[[#All],[Company or Name]:[Delivery Address]],20,FALSE),"")</f>
        <v>Krefelder Str. 299, Aachen, 52070, Germany</v>
      </c>
      <c r="AC98" s="20" t="str">
        <f>TEXT(Table47[[#This Row],[Shipping Date (SD-14)]]+3,"YYYY-MM-DD")</f>
        <v>2025-09-04</v>
      </c>
      <c r="AD98" s="20" t="str">
        <f>_xlfn.XLOOKUP(Table47[[#This Row],[Type]],kits!C:C,kits!D:D,"",0)</f>
        <v>boxcontentlabel_template_outbound1.docx</v>
      </c>
    </row>
    <row r="99" spans="2:30" ht="14.1" customHeight="1" x14ac:dyDescent="0.25">
      <c r="B99" s="13">
        <v>211</v>
      </c>
      <c r="C99" s="14" t="s">
        <v>1271</v>
      </c>
      <c r="D99" s="13">
        <v>1</v>
      </c>
      <c r="E99" s="34">
        <v>45915</v>
      </c>
      <c r="F99" s="34">
        <f>_xlfn.LET(
    _xlpm.baseDate, Table47[[#This Row],[Confirmed Sampling Date]] - 14,
    _xlpm.weekdayNum, WEEKDAY(_xlpm.baseDate, 2),
    IF(_xlpm.weekdayNum = 6, _xlpm.baseDate + 2, IF(_xlpm.weekdayNum = 7, _xlpm.baseDate + 1, _xlpm.baseDate))
)</f>
        <v>45901</v>
      </c>
      <c r="G99" s="20">
        <f>IFERROR(WEEKNUM(Table47[[#This Row],[Shipping Date (SD-14)]]),"TBD")</f>
        <v>36</v>
      </c>
      <c r="H99" s="20" t="str">
        <f>IFERROR(TEXT(Table47[[#This Row],[Shipping Date (SD-14)]],"yyyy-mm"),"TBD")</f>
        <v>2025-09</v>
      </c>
      <c r="I99" s="48" t="s">
        <v>1292</v>
      </c>
      <c r="J99" s="20" t="str">
        <f>IFERROR(VLOOKUP(Table47[[#This Row],[ToSite-UPSName]],Table1[[#All],[Company or Name]:[Delivery Address]],15,FALSE),"")</f>
        <v>Bologna WWTP</v>
      </c>
      <c r="K99" s="20">
        <f>IFERROR(VLOOKUP(Table47[[#This Row],[ToSite-UPSName]],Table1[[#All],[Company or Name]:[Delivery Address]],16,FALSE),"")</f>
        <v>0</v>
      </c>
      <c r="L99" s="20"/>
      <c r="M99" s="20">
        <f>IFERROR(VLOOKUP(Table47[[#This Row],[ToSite-UPSName]],Table1[[#All],[Company or Name]:[Delivery Address]],18,FALSE),"")</f>
        <v>0</v>
      </c>
      <c r="N99" s="20">
        <f>IFERROR(VLOOKUP(Table47[[#This Row],[ToSite-UPSName]],Table1[[#All],[Company or Name]:[Delivery Address]],19,FALSE),"")</f>
        <v>0</v>
      </c>
      <c r="O99" s="13"/>
      <c r="P99" s="13" t="s">
        <v>131</v>
      </c>
      <c r="Q99" s="20" t="s">
        <v>639</v>
      </c>
      <c r="R99" s="20"/>
      <c r="S99" s="100" t="s">
        <v>813</v>
      </c>
      <c r="T99" s="100" t="s">
        <v>1501</v>
      </c>
      <c r="U99" s="13" t="s">
        <v>125</v>
      </c>
      <c r="V99" s="13" t="s">
        <v>110</v>
      </c>
      <c r="X99" s="13"/>
      <c r="Y99" s="20" t="str">
        <f>TEXT(Table47[[#This Row],[Confirmed Sampling Date]], "yyyy") &amp; "_" &amp; TEXT(Table47[[#This Row],[Confirmed Sampling Date]], "mm") &amp; "_" &amp; TEXT(Table47[[#This Row],[Confirmed Sampling Date]], "dd")</f>
        <v>2025_09_15</v>
      </c>
      <c r="Z99" s="20" t="str">
        <f>IFERROR(LEFT(J99, FIND(" ", J99) - 1), J99)</f>
        <v>Bologna</v>
      </c>
      <c r="AA99" s="20" t="str">
        <f>VLOOKUP(Table47[[#This Row],[ToSite-UPSName]],Table1[[Company or Name]:[NOTES]],2,FALSE)</f>
        <v>Italy</v>
      </c>
      <c r="AB99" s="20" t="str">
        <f>IFERROR(VLOOKUP(Table47[[#This Row],[ToSite-UPSName]], Table1[[#All],[Company or Name]:[Delivery Address]],20,FALSE),"")</f>
        <v>VIA SHAKESPEARE 29, Bologna, 40128, Italy</v>
      </c>
      <c r="AC99" s="20" t="str">
        <f>TEXT(Table47[[#This Row],[Shipping Date (SD-14)]]+3,"YYYY-MM-DD")</f>
        <v>2025-09-04</v>
      </c>
      <c r="AD99" s="20" t="str">
        <f>_xlfn.XLOOKUP(Table47[[#This Row],[Type]],kits!C:C,kits!D:D,"",0)</f>
        <v>boxcontentlabel_template_outbound1.docx</v>
      </c>
    </row>
    <row r="100" spans="2:30" ht="14.1" customHeight="1" x14ac:dyDescent="0.25">
      <c r="B100" s="13">
        <v>22</v>
      </c>
      <c r="C100" s="14" t="s">
        <v>1271</v>
      </c>
      <c r="D100" s="13">
        <v>2</v>
      </c>
      <c r="E100" s="22">
        <v>45916</v>
      </c>
      <c r="F100" s="34">
        <f>_xlfn.LET(
    _xlpm.baseDate, Table47[[#This Row],[Confirmed Sampling Date]] - 14,
    _xlpm.weekdayNum, WEEKDAY(_xlpm.baseDate, 2),
    IF(_xlpm.weekdayNum = 6, _xlpm.baseDate + 2, IF(_xlpm.weekdayNum = 7, _xlpm.baseDate + 1, _xlpm.baseDate))
)</f>
        <v>45902</v>
      </c>
      <c r="G100" s="13">
        <f>IFERROR(WEEKNUM(Table47[[#This Row],[Shipping Date (SD-14)]]),"TBD")</f>
        <v>36</v>
      </c>
      <c r="H100" s="13" t="str">
        <f>IFERROR(TEXT(Table47[[#This Row],[Shipping Date (SD-14)]],"yyyy-mm"),"TBD")</f>
        <v>2025-09</v>
      </c>
      <c r="I100" s="13" t="s">
        <v>19</v>
      </c>
      <c r="J100" s="13" t="str">
        <f>IFERROR(VLOOKUP(Table47[[#This Row],[ToSite-UPSName]],Table1[[#All],[Company or Name]:[Delivery Address]],15,FALSE),"")</f>
        <v>Munich WWTP</v>
      </c>
      <c r="K100" s="13" t="str">
        <f>IFERROR(VLOOKUP(Table47[[#This Row],[ToSite-UPSName]],Table1[[#All],[Company or Name]:[Delivery Address]],16,FALSE),"")</f>
        <v>Munich Airport</v>
      </c>
      <c r="L100" s="13" t="str">
        <f>IFERROR(VLOOKUP(Table47[[#This Row],[ToSite-UPSName]],Table1[[#All],[Company or Name]:[Delivery Address]],17,FALSE),"")</f>
        <v>-</v>
      </c>
      <c r="M100" s="13" t="str">
        <f>IFERROR(VLOOKUP(Table47[[#This Row],[ToSite-UPSName]],Table1[[#All],[Company or Name]:[Delivery Address]],18,FALSE),"")</f>
        <v>-</v>
      </c>
      <c r="N100" s="13" t="str">
        <f>IFERROR(VLOOKUP(Table47[[#This Row],[ToSite-UPSName]],Table1[[#All],[Company or Name]:[Delivery Address]],19,FALSE),"")</f>
        <v>-</v>
      </c>
      <c r="O100" s="13"/>
      <c r="P100" s="13" t="s">
        <v>131</v>
      </c>
      <c r="Q100" s="13" t="s">
        <v>813</v>
      </c>
      <c r="R100" s="13"/>
      <c r="S100" s="64" t="s">
        <v>813</v>
      </c>
      <c r="T100" s="64" t="s">
        <v>1502</v>
      </c>
      <c r="U100" s="13" t="s">
        <v>125</v>
      </c>
      <c r="V100" s="13" t="s">
        <v>110</v>
      </c>
      <c r="X100" s="13"/>
      <c r="Y100" s="20" t="str">
        <f>TEXT(Table47[[#This Row],[Confirmed Sampling Date]], "yyyy") &amp; "_" &amp; TEXT(Table47[[#This Row],[Confirmed Sampling Date]], "mm") &amp; "_" &amp; TEXT(Table47[[#This Row],[Confirmed Sampling Date]], "dd")</f>
        <v>2025_09_16</v>
      </c>
      <c r="Z100" s="20" t="str">
        <f>IFERROR(LEFT(J100, FIND(" ", J100) - 1), J100)</f>
        <v>Munich</v>
      </c>
      <c r="AA100" s="20" t="str">
        <f>VLOOKUP(Table47[[#This Row],[ToSite-UPSName]],Table1[[Company or Name]:[NOTES]],2,FALSE)</f>
        <v>Germany</v>
      </c>
      <c r="AB100" s="20" t="str">
        <f>IFERROR(VLOOKUP(Table47[[#This Row],[ToSite-UPSName]], Table1[[#All],[Company or Name]:[Delivery Address]],20,FALSE),"")</f>
        <v>Leopoldstrasse 5, Institut fuer Infektions- und Tropenmedizin, Munich, 80802, Germany</v>
      </c>
      <c r="AC100" s="20" t="str">
        <f>TEXT(Table47[[#This Row],[Shipping Date (SD-14)]]+3,"YYYY-MM-DD")</f>
        <v>2025-09-05</v>
      </c>
      <c r="AD100" s="20" t="str">
        <f>_xlfn.XLOOKUP(Table47[[#This Row],[Type]],kits!C:C,kits!D:D,"",0)</f>
        <v>boxcontentlabel_template_outbound1.docx</v>
      </c>
    </row>
    <row r="101" spans="2:30" ht="14.1" customHeight="1" x14ac:dyDescent="0.25">
      <c r="B101" s="13">
        <v>36</v>
      </c>
      <c r="C101" s="14" t="s">
        <v>1271</v>
      </c>
      <c r="D101" s="13">
        <v>1</v>
      </c>
      <c r="E101" s="22">
        <v>45916</v>
      </c>
      <c r="F101" s="34">
        <f>_xlfn.LET(
    _xlpm.baseDate, Table47[[#This Row],[Confirmed Sampling Date]] - 14,
    _xlpm.weekdayNum, WEEKDAY(_xlpm.baseDate, 2),
    IF(_xlpm.weekdayNum = 6, _xlpm.baseDate + 2, IF(_xlpm.weekdayNum = 7, _xlpm.baseDate + 1, _xlpm.baseDate))
)</f>
        <v>45902</v>
      </c>
      <c r="G101" s="13">
        <f>IFERROR(WEEKNUM(Table47[[#This Row],[Shipping Date (SD-14)]]),"TBD")</f>
        <v>36</v>
      </c>
      <c r="H101" s="13" t="str">
        <f>IFERROR(TEXT(Table47[[#This Row],[Shipping Date (SD-14)]],"yyyy-mm"),"TBD")</f>
        <v>2025-09</v>
      </c>
      <c r="I101" s="13" t="s">
        <v>677</v>
      </c>
      <c r="J101" s="13" t="str">
        <f>IFERROR(VLOOKUP(Table47[[#This Row],[ToSite-UPSName]],Table1[[#All],[Company or Name]:[Delivery Address]],15,FALSE),"")</f>
        <v>Frankfurt WWTP</v>
      </c>
      <c r="K101" s="13" t="str">
        <f>IFERROR(VLOOKUP(Table47[[#This Row],[ToSite-UPSName]],Table1[[#All],[Company or Name]:[Delivery Address]],16,FALSE),"")</f>
        <v>Frankfurt Airport</v>
      </c>
      <c r="L101" s="13" t="str">
        <f>IFERROR(VLOOKUP(Table47[[#This Row],[ToSite-UPSName]],Table1[[#All],[Company or Name]:[Delivery Address]],17,FALSE),"")</f>
        <v>-</v>
      </c>
      <c r="M101" s="13" t="str">
        <f>IFERROR(VLOOKUP(Table47[[#This Row],[ToSite-UPSName]],Table1[[#All],[Company or Name]:[Delivery Address]],18,FALSE),"")</f>
        <v>-</v>
      </c>
      <c r="N101" s="13" t="str">
        <f>IFERROR(VLOOKUP(Table47[[#This Row],[ToSite-UPSName]],Table1[[#All],[Company or Name]:[Delivery Address]],19,FALSE),"")</f>
        <v>-</v>
      </c>
      <c r="O101" s="13"/>
      <c r="P101" s="13" t="s">
        <v>131</v>
      </c>
      <c r="Q101" s="13" t="s">
        <v>813</v>
      </c>
      <c r="R101" s="13"/>
      <c r="S101" s="100" t="s">
        <v>813</v>
      </c>
      <c r="T101" s="100" t="s">
        <v>1503</v>
      </c>
      <c r="U101" s="13" t="s">
        <v>125</v>
      </c>
      <c r="V101" s="13" t="s">
        <v>110</v>
      </c>
      <c r="X101" s="13"/>
      <c r="Y101" s="20" t="str">
        <f>TEXT(Table47[[#This Row],[Confirmed Sampling Date]], "yyyy") &amp; "_" &amp; TEXT(Table47[[#This Row],[Confirmed Sampling Date]], "mm") &amp; "_" &amp; TEXT(Table47[[#This Row],[Confirmed Sampling Date]], "dd")</f>
        <v>2025_09_16</v>
      </c>
      <c r="Z101" s="20" t="str">
        <f>IFERROR(LEFT(J101, FIND(" ", J101) - 1), J101)</f>
        <v>Frankfurt</v>
      </c>
      <c r="AA101" s="20" t="str">
        <f>VLOOKUP(Table47[[#This Row],[ToSite-UPSName]],Table1[[Company or Name]:[NOTES]],2,FALSE)</f>
        <v>Germany</v>
      </c>
      <c r="AB101" s="20" t="str">
        <f>IFERROR(VLOOKUP(Table47[[#This Row],[ToSite-UPSName]], Table1[[#All],[Company or Name]:[Delivery Address]],20,FALSE),"")</f>
        <v>Goldsteinstraße 160, Gebäude 71 , Frankfurt am Main , 60528, Germany</v>
      </c>
      <c r="AC101" s="20" t="str">
        <f>TEXT(Table47[[#This Row],[Shipping Date (SD-14)]]+3,"YYYY-MM-DD")</f>
        <v>2025-09-05</v>
      </c>
      <c r="AD101" s="20" t="str">
        <f>_xlfn.XLOOKUP(Table47[[#This Row],[Type]],kits!C:C,kits!D:D,"",0)</f>
        <v>boxcontentlabel_template_outbound1.docx</v>
      </c>
    </row>
    <row r="102" spans="2:30" ht="14.1" customHeight="1" x14ac:dyDescent="0.25">
      <c r="B102" s="13">
        <v>104</v>
      </c>
      <c r="C102" s="14" t="s">
        <v>1271</v>
      </c>
      <c r="D102" s="13">
        <v>4</v>
      </c>
      <c r="E102" s="34">
        <v>45916</v>
      </c>
      <c r="F102" s="34">
        <f>_xlfn.LET(
    _xlpm.baseDate, Table47[[#This Row],[Confirmed Sampling Date]] - 14,
    _xlpm.weekdayNum, WEEKDAY(_xlpm.baseDate, 2),
    IF(_xlpm.weekdayNum = 6, _xlpm.baseDate + 2, IF(_xlpm.weekdayNum = 7, _xlpm.baseDate + 1, _xlpm.baseDate))
)</f>
        <v>45902</v>
      </c>
      <c r="G102" s="20">
        <f>IFERROR(WEEKNUM(Table47[[#This Row],[Shipping Date (SD-14)]]),"TBD")</f>
        <v>36</v>
      </c>
      <c r="H102" s="20" t="str">
        <f>IFERROR(TEXT(Table47[[#This Row],[Shipping Date (SD-14)]],"yyyy-mm"),"TBD")</f>
        <v>2025-09</v>
      </c>
      <c r="I102" s="13" t="s">
        <v>877</v>
      </c>
      <c r="J102" s="20" t="str">
        <f>IFERROR(VLOOKUP(Table47[[#This Row],[ToSite-UPSName]],Table1[[#All],[Company or Name]:[Delivery Address]],15,FALSE),"")</f>
        <v>Prague National Institute</v>
      </c>
      <c r="K102" s="20" t="str">
        <f>IFERROR(VLOOKUP(Table47[[#This Row],[ToSite-UPSName]],Table1[[#All],[Company or Name]:[Delivery Address]],16,FALSE),"")</f>
        <v>Prague WWTP FLOW 1</v>
      </c>
      <c r="L102" s="13" t="str">
        <f>IFERROR(VLOOKUP(Table47[[#This Row],[ToSite-UPSName]],Table1[[#All],[Company or Name]:[Delivery Address]],17,FALSE),"")</f>
        <v>Prague WWTP FLOW 2</v>
      </c>
      <c r="M102" s="20" t="str">
        <f>IFERROR(VLOOKUP(Table47[[#This Row],[ToSite-UPSName]],Table1[[#All],[Company or Name]:[Delivery Address]],18,FALSE),"")</f>
        <v>Prague Airport</v>
      </c>
      <c r="N102" s="20" t="str">
        <f>IFERROR(VLOOKUP(Table47[[#This Row],[ToSite-UPSName]],Table1[[#All],[Company or Name]:[Delivery Address]],19,FALSE),"")</f>
        <v>Prague Hospital</v>
      </c>
      <c r="O102" s="13"/>
      <c r="P102" s="13" t="s">
        <v>131</v>
      </c>
      <c r="Q102" s="13" t="s">
        <v>813</v>
      </c>
      <c r="R102" s="20"/>
      <c r="S102" s="64" t="s">
        <v>813</v>
      </c>
      <c r="T102" s="64" t="s">
        <v>1825</v>
      </c>
      <c r="U102" s="13" t="s">
        <v>125</v>
      </c>
      <c r="V102" s="13" t="s">
        <v>110</v>
      </c>
      <c r="X102" s="13"/>
      <c r="Y102" s="20" t="str">
        <f>TEXT(Table47[[#This Row],[Confirmed Sampling Date]], "yyyy") &amp; "_" &amp; TEXT(Table47[[#This Row],[Confirmed Sampling Date]], "mm") &amp; "_" &amp; TEXT(Table47[[#This Row],[Confirmed Sampling Date]], "dd")</f>
        <v>2025_09_16</v>
      </c>
      <c r="Z102" s="20" t="str">
        <f>IFERROR(LEFT(J102, FIND(" ", J102) - 1), J102)</f>
        <v>Prague</v>
      </c>
      <c r="AA102" s="20" t="str">
        <f>VLOOKUP(Table47[[#This Row],[ToSite-UPSName]],Table1[[Company or Name]:[NOTES]],2,FALSE)</f>
        <v>Czech Republic</v>
      </c>
      <c r="AB102" s="20" t="str">
        <f>IFERROR(VLOOKUP(Table47[[#This Row],[ToSite-UPSName]], Table1[[#All],[Company or Name]:[Delivery Address]],20,FALSE),"")</f>
        <v>Šrobárova 49/48, Státní zdravotní ústav, Praha, 100 00, Czech Republic</v>
      </c>
      <c r="AC102" s="20" t="str">
        <f>TEXT(Table47[[#This Row],[Shipping Date (SD-14)]]+3,"YYYY-MM-DD")</f>
        <v>2025-09-05</v>
      </c>
      <c r="AD102" s="20" t="str">
        <f>_xlfn.XLOOKUP(Table47[[#This Row],[Type]],kits!C:C,kits!D:D,"",0)</f>
        <v>boxcontentlabel_template_outbound1.docx</v>
      </c>
    </row>
    <row r="103" spans="2:30" ht="14.1" customHeight="1" x14ac:dyDescent="0.25">
      <c r="B103" s="13">
        <v>117</v>
      </c>
      <c r="C103" s="14" t="s">
        <v>1271</v>
      </c>
      <c r="D103" s="13">
        <v>2</v>
      </c>
      <c r="E103" s="34">
        <v>45916</v>
      </c>
      <c r="F103" s="34">
        <f>_xlfn.LET(
    _xlpm.baseDate, Table47[[#This Row],[Confirmed Sampling Date]] - 14,
    _xlpm.weekdayNum, WEEKDAY(_xlpm.baseDate, 2),
    IF(_xlpm.weekdayNum = 6, _xlpm.baseDate + 2, IF(_xlpm.weekdayNum = 7, _xlpm.baseDate + 1, _xlpm.baseDate))
)</f>
        <v>45902</v>
      </c>
      <c r="G103" s="20">
        <f>IFERROR(WEEKNUM(Table47[[#This Row],[Shipping Date (SD-14)]]),"TBD")</f>
        <v>36</v>
      </c>
      <c r="H103" s="20" t="str">
        <f>IFERROR(TEXT(Table47[[#This Row],[Shipping Date (SD-14)]],"yyyy-mm"),"TBD")</f>
        <v>2025-09</v>
      </c>
      <c r="I103" s="13" t="s">
        <v>779</v>
      </c>
      <c r="J103" s="20" t="str">
        <f>IFERROR(VLOOKUP(Table47[[#This Row],[ToSite-UPSName]],Table1[[#All],[Company or Name]:[Delivery Address]],15,FALSE),"")</f>
        <v>Larnaca WWTP</v>
      </c>
      <c r="K103" s="20" t="str">
        <f>IFERROR(VLOOKUP(Table47[[#This Row],[ToSite-UPSName]],Table1[[#All],[Company or Name]:[Delivery Address]],16,FALSE),"")</f>
        <v>Larnaca Airport</v>
      </c>
      <c r="L103" s="20"/>
      <c r="M103" s="20">
        <f>IFERROR(VLOOKUP(Table47[[#This Row],[ToSite-UPSName]],Table1[[#All],[Company or Name]:[Delivery Address]],18,FALSE),"")</f>
        <v>0</v>
      </c>
      <c r="N103" s="20">
        <f>IFERROR(VLOOKUP(Table47[[#This Row],[ToSite-UPSName]],Table1[[#All],[Company or Name]:[Delivery Address]],19,FALSE),"")</f>
        <v>0</v>
      </c>
      <c r="O103" s="13"/>
      <c r="P103" s="13" t="s">
        <v>131</v>
      </c>
      <c r="Q103" s="13" t="s">
        <v>813</v>
      </c>
      <c r="R103" s="20"/>
      <c r="S103" s="98" t="s">
        <v>813</v>
      </c>
      <c r="T103" s="98" t="s">
        <v>1504</v>
      </c>
      <c r="U103" s="13" t="s">
        <v>125</v>
      </c>
      <c r="V103" s="13" t="s">
        <v>110</v>
      </c>
      <c r="X103" s="13"/>
      <c r="Y103" s="20" t="str">
        <f>TEXT(Table47[[#This Row],[Confirmed Sampling Date]], "yyyy") &amp; "_" &amp; TEXT(Table47[[#This Row],[Confirmed Sampling Date]], "mm") &amp; "_" &amp; TEXT(Table47[[#This Row],[Confirmed Sampling Date]], "dd")</f>
        <v>2025_09_16</v>
      </c>
      <c r="Z103" s="20" t="str">
        <f>IFERROR(LEFT(J103, FIND(" ", J103) - 1), J103)</f>
        <v>Larnaca</v>
      </c>
      <c r="AA103" s="20" t="str">
        <f>VLOOKUP(Table47[[#This Row],[ToSite-UPSName]],Table1[[Company or Name]:[NOTES]],2,FALSE)</f>
        <v>Cyprus</v>
      </c>
      <c r="AB103" s="20" t="str">
        <f>IFERROR(VLOOKUP(Table47[[#This Row],[ToSite-UPSName]], Table1[[#All],[Company or Name]:[Delivery Address]],20,FALSE),"")</f>
        <v>Adamantiou Korai street 12, Larnaca District Local Government Organization offices, Larnaca, 6010, Cyprus</v>
      </c>
      <c r="AC103" s="20" t="str">
        <f>TEXT(Table47[[#This Row],[Shipping Date (SD-14)]]+3,"YYYY-MM-DD")</f>
        <v>2025-09-05</v>
      </c>
      <c r="AD103" s="20" t="str">
        <f>_xlfn.XLOOKUP(Table47[[#This Row],[Type]],kits!C:C,kits!D:D,"",0)</f>
        <v>boxcontentlabel_template_outbound1.docx</v>
      </c>
    </row>
    <row r="104" spans="2:30" ht="14.1" customHeight="1" x14ac:dyDescent="0.25">
      <c r="B104" s="13">
        <v>129</v>
      </c>
      <c r="C104" s="14" t="s">
        <v>1271</v>
      </c>
      <c r="D104" s="13">
        <v>2</v>
      </c>
      <c r="E104" s="34">
        <v>45916</v>
      </c>
      <c r="F104" s="34">
        <f>_xlfn.LET(
    _xlpm.baseDate, Table47[[#This Row],[Confirmed Sampling Date]] - 14,
    _xlpm.weekdayNum, WEEKDAY(_xlpm.baseDate, 2),
    IF(_xlpm.weekdayNum = 6, _xlpm.baseDate + 2, IF(_xlpm.weekdayNum = 7, _xlpm.baseDate + 1, _xlpm.baseDate))
)</f>
        <v>45902</v>
      </c>
      <c r="G104" s="20">
        <f>IFERROR(WEEKNUM(Table47[[#This Row],[Shipping Date (SD-14)]]),"TBD")</f>
        <v>36</v>
      </c>
      <c r="H104" s="20" t="str">
        <f>IFERROR(TEXT(Table47[[#This Row],[Shipping Date (SD-14)]],"yyyy-mm"),"TBD")</f>
        <v>2025-09</v>
      </c>
      <c r="I104" s="13" t="s">
        <v>863</v>
      </c>
      <c r="J104" s="20" t="str">
        <f>IFERROR(VLOOKUP(Table47[[#This Row],[ToSite-UPSName]],Table1[[#All],[Company or Name]:[Delivery Address]],15,FALSE),"")</f>
        <v>Dusseldorf WWTP 2101</v>
      </c>
      <c r="K104" s="20" t="str">
        <f>IFERROR(VLOOKUP(Table47[[#This Row],[ToSite-UPSName]],Table1[[#All],[Company or Name]:[Delivery Address]],16,FALSE),"")</f>
        <v>Dusseldorf WWTP 601</v>
      </c>
      <c r="L104" s="20"/>
      <c r="M104" s="20">
        <f>IFERROR(VLOOKUP(Table47[[#This Row],[ToSite-UPSName]],Table1[[#All],[Company or Name]:[Delivery Address]],18,FALSE),"")</f>
        <v>0</v>
      </c>
      <c r="N104" s="20">
        <f>IFERROR(VLOOKUP(Table47[[#This Row],[ToSite-UPSName]],Table1[[#All],[Company or Name]:[Delivery Address]],19,FALSE),"")</f>
        <v>0</v>
      </c>
      <c r="O104" s="13"/>
      <c r="P104" s="13" t="s">
        <v>131</v>
      </c>
      <c r="Q104" s="13" t="s">
        <v>813</v>
      </c>
      <c r="R104" s="20"/>
      <c r="S104" s="99" t="s">
        <v>813</v>
      </c>
      <c r="T104" s="99" t="s">
        <v>1505</v>
      </c>
      <c r="U104" s="13" t="s">
        <v>125</v>
      </c>
      <c r="V104" s="13" t="s">
        <v>110</v>
      </c>
      <c r="X104" s="13"/>
      <c r="Y104" s="20" t="str">
        <f>TEXT(Table47[[#This Row],[Confirmed Sampling Date]], "yyyy") &amp; "_" &amp; TEXT(Table47[[#This Row],[Confirmed Sampling Date]], "mm") &amp; "_" &amp; TEXT(Table47[[#This Row],[Confirmed Sampling Date]], "dd")</f>
        <v>2025_09_16</v>
      </c>
      <c r="Z104" s="20" t="str">
        <f>IFERROR(LEFT(J104, FIND(" ", J104) - 1), J104)</f>
        <v>Dusseldorf</v>
      </c>
      <c r="AA104" s="20" t="str">
        <f>VLOOKUP(Table47[[#This Row],[ToSite-UPSName]],Table1[[Company or Name]:[NOTES]],2,FALSE)</f>
        <v>Germany</v>
      </c>
      <c r="AB104" s="20" t="str">
        <f>IFERROR(VLOOKUP(Table47[[#This Row],[ToSite-UPSName]], Table1[[#All],[Company or Name]:[Delivery Address]],20,FALSE),"")</f>
        <v>Auf dem Draap 15, Chemisch-Biologische Laboratorien, Dusseldorf, 40221, Germany</v>
      </c>
      <c r="AC104" s="20" t="str">
        <f>TEXT(Table47[[#This Row],[Shipping Date (SD-14)]]+3,"YYYY-MM-DD")</f>
        <v>2025-09-05</v>
      </c>
      <c r="AD104" s="20" t="str">
        <f>_xlfn.XLOOKUP(Table47[[#This Row],[Type]],kits!C:C,kits!D:D,"",0)</f>
        <v>boxcontentlabel_template_outbound1.docx</v>
      </c>
    </row>
    <row r="105" spans="2:30" ht="14.1" customHeight="1" x14ac:dyDescent="0.25">
      <c r="B105" s="13">
        <v>141</v>
      </c>
      <c r="C105" s="14" t="s">
        <v>1271</v>
      </c>
      <c r="D105" s="13">
        <v>3</v>
      </c>
      <c r="E105" s="83">
        <v>45916</v>
      </c>
      <c r="F105" s="34">
        <f>_xlfn.LET(
    _xlpm.baseDate, Table47[[#This Row],[Confirmed Sampling Date]] - 14,
    _xlpm.weekdayNum, WEEKDAY(_xlpm.baseDate, 2),
    IF(_xlpm.weekdayNum = 6, _xlpm.baseDate + 2, IF(_xlpm.weekdayNum = 7, _xlpm.baseDate + 1, _xlpm.baseDate))
)</f>
        <v>45902</v>
      </c>
      <c r="G105" s="20">
        <f>IFERROR(WEEKNUM(Table47[[#This Row],[Shipping Date (SD-14)]]),"TBD")</f>
        <v>36</v>
      </c>
      <c r="H105" s="20" t="str">
        <f>IFERROR(TEXT(Table47[[#This Row],[Shipping Date (SD-14)]],"yyyy-mm"),"TBD")</f>
        <v>2025-09</v>
      </c>
      <c r="I105" s="13" t="s">
        <v>975</v>
      </c>
      <c r="J105" s="20" t="str">
        <f>IFERROR(VLOOKUP(Table47[[#This Row],[ToSite-UPSName]],Table1[[#All],[Company or Name]:[Delivery Address]],15,FALSE),"")</f>
        <v>Vilnius WWTP</v>
      </c>
      <c r="K105" s="20" t="str">
        <f>IFERROR(VLOOKUP(Table47[[#This Row],[ToSite-UPSName]],Table1[[#All],[Company or Name]:[Delivery Address]],16,FALSE),"")</f>
        <v>Vilnius Bus Terminal</v>
      </c>
      <c r="L105" s="20"/>
      <c r="M105" s="20">
        <f>IFERROR(VLOOKUP(Table47[[#This Row],[ToSite-UPSName]],Table1[[#All],[Company or Name]:[Delivery Address]],18,FALSE),"")</f>
        <v>0</v>
      </c>
      <c r="N105" s="20">
        <f>IFERROR(VLOOKUP(Table47[[#This Row],[ToSite-UPSName]],Table1[[#All],[Company or Name]:[Delivery Address]],19,FALSE),"")</f>
        <v>0</v>
      </c>
      <c r="O105" s="13"/>
      <c r="P105" s="13" t="s">
        <v>131</v>
      </c>
      <c r="Q105" s="13" t="s">
        <v>813</v>
      </c>
      <c r="R105" s="20"/>
      <c r="S105" s="98" t="s">
        <v>813</v>
      </c>
      <c r="T105" s="98" t="s">
        <v>1506</v>
      </c>
      <c r="U105" s="13" t="s">
        <v>125</v>
      </c>
      <c r="V105" s="13" t="s">
        <v>110</v>
      </c>
      <c r="X105" s="13"/>
      <c r="Y105" s="20" t="str">
        <f>TEXT(Table47[[#This Row],[Confirmed Sampling Date]], "yyyy") &amp; "_" &amp; TEXT(Table47[[#This Row],[Confirmed Sampling Date]], "mm") &amp; "_" &amp; TEXT(Table47[[#This Row],[Confirmed Sampling Date]], "dd")</f>
        <v>2025_09_16</v>
      </c>
      <c r="Z105" s="20" t="str">
        <f>IFERROR(LEFT(J105, FIND(" ", J105) - 1), J105)</f>
        <v>Vilnius</v>
      </c>
      <c r="AA105" s="20" t="str">
        <f>VLOOKUP(Table47[[#This Row],[ToSite-UPSName]],Table1[[Company or Name]:[NOTES]],2,FALSE)</f>
        <v>Lithuania</v>
      </c>
      <c r="AB105" s="20" t="str">
        <f>IFERROR(VLOOKUP(Table47[[#This Row],[ToSite-UPSName]], Table1[[#All],[Company or Name]:[Delivery Address]],20,FALSE),"")</f>
        <v>Zolyno 36 gatve, Vilnius, 10210, Lithuania</v>
      </c>
      <c r="AC105" s="20" t="str">
        <f>TEXT(Table47[[#This Row],[Shipping Date (SD-14)]]+3,"YYYY-MM-DD")</f>
        <v>2025-09-05</v>
      </c>
      <c r="AD105" s="20" t="str">
        <f>_xlfn.XLOOKUP(Table47[[#This Row],[Type]],kits!C:C,kits!D:D,"",0)</f>
        <v>boxcontentlabel_template_outbound1.docx</v>
      </c>
    </row>
    <row r="106" spans="2:30" ht="14.1" customHeight="1" x14ac:dyDescent="0.25">
      <c r="B106" s="13">
        <v>169</v>
      </c>
      <c r="C106" s="14" t="s">
        <v>1271</v>
      </c>
      <c r="D106" s="13">
        <v>1</v>
      </c>
      <c r="E106" s="83">
        <v>45916</v>
      </c>
      <c r="F106" s="34">
        <f>_xlfn.LET(
    _xlpm.baseDate, Table47[[#This Row],[Confirmed Sampling Date]] - 14,
    _xlpm.weekdayNum, WEEKDAY(_xlpm.baseDate, 2),
    IF(_xlpm.weekdayNum = 6, _xlpm.baseDate + 2, IF(_xlpm.weekdayNum = 7, _xlpm.baseDate + 1, _xlpm.baseDate))
)</f>
        <v>45902</v>
      </c>
      <c r="G106" s="20">
        <f>IFERROR(WEEKNUM(Table47[[#This Row],[Shipping Date (SD-14)]]),"TBD")</f>
        <v>36</v>
      </c>
      <c r="H106" s="20" t="str">
        <f>IFERROR(TEXT(Table47[[#This Row],[Shipping Date (SD-14)]],"yyyy-mm"),"TBD")</f>
        <v>2025-09</v>
      </c>
      <c r="I106" s="78" t="s">
        <v>1125</v>
      </c>
      <c r="J106" s="20" t="str">
        <f>IFERROR(VLOOKUP(Table47[[#This Row],[ToSite-UPSName]],Table1[[#All],[Company or Name]:[Delivery Address]],15,FALSE),"")</f>
        <v>Cluj-SCBI</v>
      </c>
      <c r="K106" s="20" t="str">
        <f>IFERROR(VLOOKUP(Table47[[#This Row],[ToSite-UPSName]],Table1[[#All],[Company or Name]:[Delivery Address]],16,FALSE),"")</f>
        <v>-</v>
      </c>
      <c r="L106" s="20"/>
      <c r="M106" s="20" t="str">
        <f>IFERROR(VLOOKUP(Table47[[#This Row],[ToSite-UPSName]],Table1[[#All],[Company or Name]:[Delivery Address]],18,FALSE),"")</f>
        <v>-</v>
      </c>
      <c r="N106" s="20" t="str">
        <f>IFERROR(VLOOKUP(Table47[[#This Row],[ToSite-UPSName]],Table1[[#All],[Company or Name]:[Delivery Address]],19,FALSE),"")</f>
        <v>-</v>
      </c>
      <c r="O106" s="13"/>
      <c r="P106" s="13" t="s">
        <v>131</v>
      </c>
      <c r="Q106" s="13" t="s">
        <v>813</v>
      </c>
      <c r="R106" s="20"/>
      <c r="S106" s="98" t="s">
        <v>813</v>
      </c>
      <c r="T106" s="98" t="s">
        <v>1516</v>
      </c>
      <c r="U106" s="13" t="s">
        <v>125</v>
      </c>
      <c r="V106" s="13" t="s">
        <v>110</v>
      </c>
      <c r="X106" s="13"/>
      <c r="Y106" s="20" t="str">
        <f>TEXT(Table47[[#This Row],[Confirmed Sampling Date]], "yyyy") &amp; "_" &amp; TEXT(Table47[[#This Row],[Confirmed Sampling Date]], "mm") &amp; "_" &amp; TEXT(Table47[[#This Row],[Confirmed Sampling Date]], "dd")</f>
        <v>2025_09_16</v>
      </c>
      <c r="Z106" s="20" t="str">
        <f>IFERROR(LEFT(J106, FIND(" ", J106) - 1), J106)</f>
        <v>Cluj-SCBI</v>
      </c>
      <c r="AA106" s="20" t="str">
        <f>VLOOKUP(Table47[[#This Row],[ToSite-UPSName]],Table1[[Company or Name]:[NOTES]],2,FALSE)</f>
        <v>Romania</v>
      </c>
      <c r="AB106" s="20" t="str">
        <f>IFERROR(VLOOKUP(Table47[[#This Row],[ToSite-UPSName]], Table1[[#All],[Company or Name]:[Delivery Address]],20,FALSE),"")</f>
        <v>Strada Iuliu Moldovan 23, Cluj-Napoca, 400003, Romania</v>
      </c>
      <c r="AC106" s="20" t="str">
        <f>TEXT(Table47[[#This Row],[Shipping Date (SD-14)]]+3,"YYYY-MM-DD")</f>
        <v>2025-09-05</v>
      </c>
      <c r="AD106" s="20" t="str">
        <f>_xlfn.XLOOKUP(Table47[[#This Row],[Type]],kits!C:C,kits!D:D,"",0)</f>
        <v>boxcontentlabel_template_outbound1.docx</v>
      </c>
    </row>
    <row r="107" spans="2:30" ht="13.5" customHeight="1" x14ac:dyDescent="0.25">
      <c r="B107" s="13">
        <v>178</v>
      </c>
      <c r="C107" s="14" t="s">
        <v>1271</v>
      </c>
      <c r="D107" s="13">
        <v>1</v>
      </c>
      <c r="E107" s="34">
        <v>45916</v>
      </c>
      <c r="F107" s="34">
        <f>_xlfn.LET(
    _xlpm.baseDate, Table47[[#This Row],[Confirmed Sampling Date]] - 14,
    _xlpm.weekdayNum, WEEKDAY(_xlpm.baseDate, 2),
    IF(_xlpm.weekdayNum = 6, _xlpm.baseDate + 2, IF(_xlpm.weekdayNum = 7, _xlpm.baseDate + 1, _xlpm.baseDate))
)</f>
        <v>45902</v>
      </c>
      <c r="G107" s="20">
        <f>IFERROR(WEEKNUM(Table47[[#This Row],[Shipping Date (SD-14)]]),"TBD")</f>
        <v>36</v>
      </c>
      <c r="H107" s="20" t="str">
        <f>IFERROR(TEXT(Table47[[#This Row],[Shipping Date (SD-14)]],"yyyy-mm"),"TBD")</f>
        <v>2025-09</v>
      </c>
      <c r="I107" s="78" t="s">
        <v>1132</v>
      </c>
      <c r="J107" s="20" t="str">
        <f>IFERROR(VLOOKUP(Table47[[#This Row],[ToSite-UPSName]],Table1[[#All],[Company or Name]:[Delivery Address]],15,FALSE),"")</f>
        <v>Cluj-MNC</v>
      </c>
      <c r="K107" s="20" t="str">
        <f>IFERROR(VLOOKUP(Table47[[#This Row],[ToSite-UPSName]],Table1[[#All],[Company or Name]:[Delivery Address]],16,FALSE),"")</f>
        <v>-</v>
      </c>
      <c r="L107" s="20"/>
      <c r="M107" s="20" t="str">
        <f>IFERROR(VLOOKUP(Table47[[#This Row],[ToSite-UPSName]],Table1[[#All],[Company or Name]:[Delivery Address]],18,FALSE),"")</f>
        <v>-</v>
      </c>
      <c r="N107" s="20" t="str">
        <f>IFERROR(VLOOKUP(Table47[[#This Row],[ToSite-UPSName]],Table1[[#All],[Company or Name]:[Delivery Address]],19,FALSE),"")</f>
        <v>-</v>
      </c>
      <c r="O107" s="13"/>
      <c r="P107" s="13" t="s">
        <v>131</v>
      </c>
      <c r="Q107" s="13" t="s">
        <v>813</v>
      </c>
      <c r="R107" s="20"/>
      <c r="S107" s="99" t="s">
        <v>813</v>
      </c>
      <c r="T107" s="99" t="s">
        <v>1517</v>
      </c>
      <c r="U107" s="13" t="s">
        <v>125</v>
      </c>
      <c r="V107" s="13" t="s">
        <v>110</v>
      </c>
      <c r="X107" s="13"/>
      <c r="Y107" s="20" t="str">
        <f>TEXT(Table47[[#This Row],[Confirmed Sampling Date]], "yyyy") &amp; "_" &amp; TEXT(Table47[[#This Row],[Confirmed Sampling Date]], "mm") &amp; "_" &amp; TEXT(Table47[[#This Row],[Confirmed Sampling Date]], "dd")</f>
        <v>2025_09_16</v>
      </c>
      <c r="Z107" s="20" t="str">
        <f>IFERROR(LEFT(J107, FIND(" ", J107) - 1), J107)</f>
        <v>Cluj-MNC</v>
      </c>
      <c r="AA107" s="20" t="str">
        <f>VLOOKUP(Table47[[#This Row],[ToSite-UPSName]],Table1[[Company or Name]:[NOTES]],2,FALSE)</f>
        <v>Romania</v>
      </c>
      <c r="AB107" s="20" t="str">
        <f>IFERROR(VLOOKUP(Table47[[#This Row],[ToSite-UPSName]], Table1[[#All],[Company or Name]:[Delivery Address]],20,FALSE),"")</f>
        <v>Strada Tăbăcarilor 11, Cluj-Napoca, 400139, Romania</v>
      </c>
      <c r="AC107" s="20" t="str">
        <f>TEXT(Table47[[#This Row],[Shipping Date (SD-14)]]+3,"YYYY-MM-DD")</f>
        <v>2025-09-05</v>
      </c>
      <c r="AD107" s="20" t="str">
        <f>_xlfn.XLOOKUP(Table47[[#This Row],[Type]],kits!C:C,kits!D:D,"",0)</f>
        <v>boxcontentlabel_template_outbound1.docx</v>
      </c>
    </row>
    <row r="108" spans="2:30" ht="14.1" customHeight="1" x14ac:dyDescent="0.25">
      <c r="B108" s="13">
        <v>77</v>
      </c>
      <c r="C108" s="14" t="s">
        <v>1271</v>
      </c>
      <c r="D108" s="13">
        <v>1</v>
      </c>
      <c r="E108" s="22">
        <v>45917</v>
      </c>
      <c r="F108" s="34">
        <f>_xlfn.LET(
    _xlpm.baseDate, Table47[[#This Row],[Confirmed Sampling Date]] - 14,
    _xlpm.weekdayNum, WEEKDAY(_xlpm.baseDate, 2),
    IF(_xlpm.weekdayNum = 6, _xlpm.baseDate + 2, IF(_xlpm.weekdayNum = 7, _xlpm.baseDate + 1, _xlpm.baseDate))
)</f>
        <v>45903</v>
      </c>
      <c r="G108" s="20">
        <f>IFERROR(WEEKNUM(Table47[[#This Row],[Shipping Date (SD-14)]]),"TBD")</f>
        <v>36</v>
      </c>
      <c r="H108" s="20" t="str">
        <f>IFERROR(TEXT(Table47[[#This Row],[Shipping Date (SD-14)]],"yyyy-mm"),"TBD")</f>
        <v>2025-09</v>
      </c>
      <c r="I108" s="13" t="s">
        <v>680</v>
      </c>
      <c r="J108" s="13" t="str">
        <f>IFERROR(VLOOKUP(Table47[[#This Row],[ToSite-UPSName]],Table1[[#All],[Company or Name]:[Delivery Address]],15,FALSE),"")</f>
        <v>Rome WWTP</v>
      </c>
      <c r="K108" s="20" t="str">
        <f>IFERROR(VLOOKUP(Table47[[#This Row],[ToSite-UPSName]],Table1[[#All],[Company or Name]:[Delivery Address]],16,FALSE),"")</f>
        <v>-</v>
      </c>
      <c r="L108" s="13" t="str">
        <f>IFERROR(VLOOKUP(Table47[[#This Row],[ToSite-UPSName]],Table1[[#All],[Company or Name]:[Delivery Address]],17,FALSE),"")</f>
        <v>-</v>
      </c>
      <c r="M108" s="20" t="str">
        <f>IFERROR(VLOOKUP(Table47[[#This Row],[ToSite-UPSName]],Table1[[#All],[Company or Name]:[Delivery Address]],18,FALSE),"")</f>
        <v>-</v>
      </c>
      <c r="N108" s="20" t="str">
        <f>IFERROR(VLOOKUP(Table47[[#This Row],[ToSite-UPSName]],Table1[[#All],[Company or Name]:[Delivery Address]],19,FALSE),"")</f>
        <v>-</v>
      </c>
      <c r="O108" s="13"/>
      <c r="P108" s="13" t="s">
        <v>131</v>
      </c>
      <c r="Q108" s="20"/>
      <c r="R108" s="20"/>
      <c r="S108" s="98" t="s">
        <v>813</v>
      </c>
      <c r="T108" s="98" t="s">
        <v>1518</v>
      </c>
      <c r="U108" s="13" t="s">
        <v>125</v>
      </c>
      <c r="V108" s="13" t="s">
        <v>110</v>
      </c>
      <c r="X108" s="13"/>
      <c r="Y108" s="20" t="str">
        <f>TEXT(Table47[[#This Row],[Confirmed Sampling Date]], "yyyy") &amp; "_" &amp; TEXT(Table47[[#This Row],[Confirmed Sampling Date]], "mm") &amp; "_" &amp; TEXT(Table47[[#This Row],[Confirmed Sampling Date]], "dd")</f>
        <v>2025_09_17</v>
      </c>
      <c r="Z108" s="20" t="str">
        <f>IFERROR(LEFT(J108, FIND(" ", J108) - 1), J108)</f>
        <v>Rome</v>
      </c>
      <c r="AA108" s="20" t="str">
        <f>VLOOKUP(Table47[[#This Row],[ToSite-UPSName]],Table1[[Company or Name]:[NOTES]],2,FALSE)</f>
        <v>Italy</v>
      </c>
      <c r="AB108" s="20" t="str">
        <f>IFERROR(VLOOKUP(Table47[[#This Row],[ToSite-UPSName]], Table1[[#All],[Company or Name]:[Delivery Address]],20,FALSE),"")</f>
        <v>Via dell'Equitazione 10, Rome, 00144, Italy</v>
      </c>
      <c r="AC108" s="20" t="str">
        <f>TEXT(Table47[[#This Row],[Shipping Date (SD-14)]]+3,"YYYY-MM-DD")</f>
        <v>2025-09-06</v>
      </c>
      <c r="AD108" s="20" t="str">
        <f>_xlfn.XLOOKUP(Table47[[#This Row],[Type]],kits!C:C,kits!D:D,"",0)</f>
        <v>boxcontentlabel_template_outbound1.docx</v>
      </c>
    </row>
    <row r="109" spans="2:30" ht="14.1" customHeight="1" x14ac:dyDescent="0.25">
      <c r="B109" s="13">
        <v>91</v>
      </c>
      <c r="C109" s="14" t="s">
        <v>1271</v>
      </c>
      <c r="D109" s="13">
        <v>1</v>
      </c>
      <c r="E109" s="22">
        <v>45917</v>
      </c>
      <c r="F109" s="34">
        <f>_xlfn.LET(
    _xlpm.baseDate, Table47[[#This Row],[Confirmed Sampling Date]] - 14,
    _xlpm.weekdayNum, WEEKDAY(_xlpm.baseDate, 2),
    IF(_xlpm.weekdayNum = 6, _xlpm.baseDate + 2, IF(_xlpm.weekdayNum = 7, _xlpm.baseDate + 1, _xlpm.baseDate))
)</f>
        <v>45903</v>
      </c>
      <c r="G109" s="20">
        <f>IFERROR(WEEKNUM(Table47[[#This Row],[Shipping Date (SD-14)]]),"TBD")</f>
        <v>36</v>
      </c>
      <c r="H109" s="20" t="str">
        <f>IFERROR(TEXT(Table47[[#This Row],[Shipping Date (SD-14)]],"yyyy-mm"),"TBD")</f>
        <v>2025-09</v>
      </c>
      <c r="I109" s="13" t="s">
        <v>771</v>
      </c>
      <c r="J109" s="20" t="str">
        <f>IFERROR(VLOOKUP(Table47[[#This Row],[ToSite-UPSName]],Table1[[#All],[Company or Name]:[Delivery Address]],15,FALSE),"")</f>
        <v>RomeAirport</v>
      </c>
      <c r="K109" s="20" t="str">
        <f>IFERROR(VLOOKUP(Table47[[#This Row],[ToSite-UPSName]],Table1[[#All],[Company or Name]:[Delivery Address]],16,FALSE),"")</f>
        <v>-</v>
      </c>
      <c r="L109" s="13" t="str">
        <f>IFERROR(VLOOKUP(Table47[[#This Row],[ToSite-UPSName]],Table1[[#All],[Company or Name]:[Delivery Address]],17,FALSE),"")</f>
        <v>-</v>
      </c>
      <c r="M109" s="20" t="str">
        <f>IFERROR(VLOOKUP(Table47[[#This Row],[ToSite-UPSName]],Table1[[#All],[Company or Name]:[Delivery Address]],18,FALSE),"")</f>
        <v>-</v>
      </c>
      <c r="N109" s="20" t="str">
        <f>IFERROR(VLOOKUP(Table47[[#This Row],[ToSite-UPSName]],Table1[[#All],[Company or Name]:[Delivery Address]],19,FALSE),"")</f>
        <v>-</v>
      </c>
      <c r="O109" s="13"/>
      <c r="P109" s="13" t="s">
        <v>131</v>
      </c>
      <c r="Q109" s="20"/>
      <c r="R109" s="20"/>
      <c r="S109" s="99" t="s">
        <v>813</v>
      </c>
      <c r="T109" s="99" t="s">
        <v>1519</v>
      </c>
      <c r="U109" s="13" t="s">
        <v>125</v>
      </c>
      <c r="V109" s="13" t="s">
        <v>110</v>
      </c>
      <c r="X109" s="13"/>
      <c r="Y109" s="20" t="str">
        <f>TEXT(Table47[[#This Row],[Confirmed Sampling Date]], "yyyy") &amp; "_" &amp; TEXT(Table47[[#This Row],[Confirmed Sampling Date]], "mm") &amp; "_" &amp; TEXT(Table47[[#This Row],[Confirmed Sampling Date]], "dd")</f>
        <v>2025_09_17</v>
      </c>
      <c r="Z109" s="20" t="str">
        <f>IFERROR(LEFT(J109, FIND(" ", J109) - 1), J109)</f>
        <v>RomeAirport</v>
      </c>
      <c r="AA109" s="20" t="str">
        <f>VLOOKUP(Table47[[#This Row],[ToSite-UPSName]],Table1[[Company or Name]:[NOTES]],2,FALSE)</f>
        <v>Italy</v>
      </c>
      <c r="AB109" s="20" t="str">
        <f>IFERROR(VLOOKUP(Table47[[#This Row],[ToSite-UPSName]], Table1[[#All],[Company or Name]:[Delivery Address]],20,FALSE),"")</f>
        <v>VIA FRATELLI WRIGHT (DEPURATORE BIOLOGICO), FIUMICINO, 00054, Italy</v>
      </c>
      <c r="AC109" s="20" t="str">
        <f>TEXT(Table47[[#This Row],[Shipping Date (SD-14)]]+3,"YYYY-MM-DD")</f>
        <v>2025-09-06</v>
      </c>
      <c r="AD109" s="20" t="str">
        <f>_xlfn.XLOOKUP(Table47[[#This Row],[Type]],kits!C:C,kits!D:D,"",0)</f>
        <v>boxcontentlabel_template_outbound1.docx</v>
      </c>
    </row>
    <row r="110" spans="2:30" ht="14.1" customHeight="1" x14ac:dyDescent="0.25">
      <c r="B110" s="13">
        <v>151</v>
      </c>
      <c r="C110" s="14" t="s">
        <v>1271</v>
      </c>
      <c r="D110" s="13">
        <v>20</v>
      </c>
      <c r="E110" s="80">
        <v>45917</v>
      </c>
      <c r="F110" s="34">
        <f>_xlfn.LET(
    _xlpm.baseDate, Table47[[#This Row],[Confirmed Sampling Date]] - 14,
    _xlpm.weekdayNum, WEEKDAY(_xlpm.baseDate, 2),
    IF(_xlpm.weekdayNum = 6, _xlpm.baseDate + 2, IF(_xlpm.weekdayNum = 7, _xlpm.baseDate + 1, _xlpm.baseDate))
)</f>
        <v>45903</v>
      </c>
      <c r="G110" s="20">
        <f>IFERROR(WEEKNUM(Table47[[#This Row],[Shipping Date (SD-14)]]),"TBD")</f>
        <v>36</v>
      </c>
      <c r="H110" s="20" t="str">
        <f>IFERROR(TEXT(Table47[[#This Row],[Shipping Date (SD-14)]],"yyyy-mm"),"TBD")</f>
        <v>2025-09</v>
      </c>
      <c r="I110" s="78" t="s">
        <v>1628</v>
      </c>
      <c r="J110" s="20" t="str">
        <f>IFERROR(VLOOKUP(Table47[[#This Row],[ToSite-UPSName]],Table1[[#All],[Company or Name]:[Delivery Address]],15,FALSE),"")</f>
        <v>Funchal WWTP</v>
      </c>
      <c r="K110" s="20" t="str">
        <f>IFERROR(VLOOKUP(Table47[[#This Row],[ToSite-UPSName]],Table1[[#All],[Company or Name]:[Delivery Address]],16,FALSE),"")</f>
        <v>Madeira, 10 locations</v>
      </c>
      <c r="L110" s="20"/>
      <c r="M110" s="20">
        <f>IFERROR(VLOOKUP(Table47[[#This Row],[ToSite-UPSName]],Table1[[#All],[Company or Name]:[Delivery Address]],18,FALSE),"")</f>
        <v>0</v>
      </c>
      <c r="N110" s="20">
        <f>IFERROR(VLOOKUP(Table47[[#This Row],[ToSite-UPSName]],Table1[[#All],[Company or Name]:[Delivery Address]],19,FALSE),"")</f>
        <v>0</v>
      </c>
      <c r="O110" s="13"/>
      <c r="P110" s="13" t="s">
        <v>131</v>
      </c>
      <c r="Q110" s="20"/>
      <c r="R110" s="20"/>
      <c r="S110" s="100" t="s">
        <v>813</v>
      </c>
      <c r="T110" s="100" t="s">
        <v>1624</v>
      </c>
      <c r="U110" s="13" t="s">
        <v>125</v>
      </c>
      <c r="V110" s="13" t="s">
        <v>856</v>
      </c>
      <c r="X110" s="13"/>
      <c r="Y110" s="20" t="str">
        <f>TEXT(Table47[[#This Row],[Confirmed Sampling Date]], "yyyy") &amp; "_" &amp; TEXT(Table47[[#This Row],[Confirmed Sampling Date]], "mm") &amp; "_" &amp; TEXT(Table47[[#This Row],[Confirmed Sampling Date]], "dd")</f>
        <v>2025_09_17</v>
      </c>
      <c r="Z110" s="20" t="str">
        <f>IFERROR(LEFT(J110, FIND(" ", J110) - 1), J110)</f>
        <v>Funchal</v>
      </c>
      <c r="AA110" s="20" t="str">
        <f>VLOOKUP(Table47[[#This Row],[ToSite-UPSName]],Table1[[Company or Name]:[NOTES]],2,FALSE)</f>
        <v>Portugal</v>
      </c>
      <c r="AB110" s="20" t="str">
        <f>IFERROR(VLOOKUP(Table47[[#This Row],[ToSite-UPSName]], Table1[[#All],[Company or Name]:[Delivery Address]],20,FALSE),"")</f>
        <v>R. do Matadouro 4, Funchal, 9050-100, Portugal</v>
      </c>
      <c r="AC110" s="20" t="str">
        <f>TEXT(Table47[[#This Row],[Shipping Date (SD-14)]]+3,"YYYY-MM-DD")</f>
        <v>2025-09-06</v>
      </c>
      <c r="AD110" s="20" t="str">
        <f>_xlfn.XLOOKUP(Table47[[#This Row],[Type]],kits!C:C,kits!D:D,"",0)</f>
        <v>boxcontentlabel_template_outbound1.docx</v>
      </c>
    </row>
    <row r="111" spans="2:30" ht="13.5" customHeight="1" x14ac:dyDescent="0.25">
      <c r="B111" s="13">
        <v>195</v>
      </c>
      <c r="C111" s="85" t="s">
        <v>1272</v>
      </c>
      <c r="D111" s="13">
        <v>4</v>
      </c>
      <c r="E111" s="83">
        <v>45917</v>
      </c>
      <c r="F111" s="34">
        <f>_xlfn.LET(
    _xlpm.baseDate, Table47[[#This Row],[Confirmed Sampling Date]] - 14,
    _xlpm.weekdayNum, WEEKDAY(_xlpm.baseDate, 2),
    IF(_xlpm.weekdayNum = 6, _xlpm.baseDate + 2, IF(_xlpm.weekdayNum = 7, _xlpm.baseDate + 1, _xlpm.baseDate))
)</f>
        <v>45903</v>
      </c>
      <c r="G111" s="20">
        <f>IFERROR(WEEKNUM(Table47[[#This Row],[Shipping Date (SD-14)]]),"TBD")</f>
        <v>36</v>
      </c>
      <c r="H111" s="20" t="str">
        <f>IFERROR(TEXT(Table47[[#This Row],[Shipping Date (SD-14)]],"yyyy-mm"),"TBD")</f>
        <v>2025-09</v>
      </c>
      <c r="I111" s="13" t="s">
        <v>1628</v>
      </c>
      <c r="J111" s="20" t="str">
        <f>IFERROR(VLOOKUP(Table47[[#This Row],[ToSite-UPSName]],Table1[[#All],[Company or Name]:[Delivery Address]],15,FALSE),"")</f>
        <v>Funchal WWTP</v>
      </c>
      <c r="K111" s="20" t="str">
        <f>IFERROR(VLOOKUP(Table47[[#This Row],[ToSite-UPSName]],Table1[[#All],[Company or Name]:[Delivery Address]],16,FALSE),"")</f>
        <v>Madeira, 10 locations</v>
      </c>
      <c r="L111" s="20"/>
      <c r="M111" s="20">
        <f>IFERROR(VLOOKUP(Table47[[#This Row],[ToSite-UPSName]],Table1[[#All],[Company or Name]:[Delivery Address]],18,FALSE),"")</f>
        <v>0</v>
      </c>
      <c r="N111" s="20">
        <f>IFERROR(VLOOKUP(Table47[[#This Row],[ToSite-UPSName]],Table1[[#All],[Company or Name]:[Delivery Address]],19,FALSE),"")</f>
        <v>0</v>
      </c>
      <c r="O111" s="13"/>
      <c r="P111" s="13" t="s">
        <v>131</v>
      </c>
      <c r="Q111" s="20"/>
      <c r="R111" s="20"/>
      <c r="S111" s="65" t="s">
        <v>813</v>
      </c>
      <c r="T111" s="65" t="s">
        <v>1625</v>
      </c>
      <c r="U111" s="13" t="s">
        <v>125</v>
      </c>
      <c r="V111" s="13" t="s">
        <v>856</v>
      </c>
      <c r="X111" s="13"/>
      <c r="Y111" s="20" t="str">
        <f>TEXT(Table47[[#This Row],[Confirmed Sampling Date]], "yyyy") &amp; "_" &amp; TEXT(Table47[[#This Row],[Confirmed Sampling Date]], "mm") &amp; "_" &amp; TEXT(Table47[[#This Row],[Confirmed Sampling Date]], "dd")</f>
        <v>2025_09_17</v>
      </c>
      <c r="Z111" s="20" t="str">
        <f>IFERROR(LEFT(J111, FIND(" ", J111) - 1), J111)</f>
        <v>Funchal</v>
      </c>
      <c r="AA111" s="20" t="str">
        <f>VLOOKUP(Table47[[#This Row],[ToSite-UPSName]],Table1[[Company or Name]:[NOTES]],2,FALSE)</f>
        <v>Portugal</v>
      </c>
      <c r="AB111" s="20" t="str">
        <f>IFERROR(VLOOKUP(Table47[[#This Row],[ToSite-UPSName]], Table1[[#All],[Company or Name]:[Delivery Address]],20,FALSE),"")</f>
        <v>R. do Matadouro 4, Funchal, 9050-100, Portugal</v>
      </c>
      <c r="AC111" s="20" t="str">
        <f>TEXT(Table47[[#This Row],[Shipping Date (SD-14)]]+3,"YYYY-MM-DD")</f>
        <v>2025-09-06</v>
      </c>
      <c r="AD111" s="20" t="str">
        <f>_xlfn.XLOOKUP(Table47[[#This Row],[Type]],kits!C:C,kits!D:D,"",0)</f>
        <v>boxcontentlabel_template_outbound2.docx</v>
      </c>
    </row>
    <row r="112" spans="2:30" ht="14.1" customHeight="1" x14ac:dyDescent="0.25">
      <c r="B112" s="13">
        <v>68</v>
      </c>
      <c r="C112" s="14" t="s">
        <v>1271</v>
      </c>
      <c r="D112" s="13">
        <v>2</v>
      </c>
      <c r="E112" s="22">
        <v>45922</v>
      </c>
      <c r="F112" s="34">
        <f>_xlfn.LET(
    _xlpm.baseDate, Table47[[#This Row],[Confirmed Sampling Date]] - 14,
    _xlpm.weekdayNum, WEEKDAY(_xlpm.baseDate, 2),
    IF(_xlpm.weekdayNum = 6, _xlpm.baseDate + 2, IF(_xlpm.weekdayNum = 7, _xlpm.baseDate + 1, _xlpm.baseDate))
)</f>
        <v>45908</v>
      </c>
      <c r="G112" s="20">
        <f>IFERROR(WEEKNUM(Table47[[#This Row],[Shipping Date (SD-14)]]),"TBD")</f>
        <v>37</v>
      </c>
      <c r="H112" s="20" t="str">
        <f>IFERROR(TEXT(Table47[[#This Row],[Shipping Date (SD-14)]],"yyyy-mm"),"TBD")</f>
        <v>2025-09</v>
      </c>
      <c r="I112" s="13" t="s">
        <v>637</v>
      </c>
      <c r="J112" s="13" t="str">
        <f>IFERROR(VLOOKUP(Table47[[#This Row],[ToSite-UPSName]],Table1[[#All],[Company or Name]:[Delivery Address]],15,FALSE),"")</f>
        <v>Luxembourg (Beggen) WWTP</v>
      </c>
      <c r="K112" s="20" t="str">
        <f>IFERROR(VLOOKUP(Table47[[#This Row],[ToSite-UPSName]],Table1[[#All],[Company or Name]:[Delivery Address]],16,FALSE),"")</f>
        <v>Luxembourg Airport</v>
      </c>
      <c r="L112" s="13" t="str">
        <f>IFERROR(VLOOKUP(Table47[[#This Row],[ToSite-UPSName]],Table1[[#All],[Company or Name]:[Delivery Address]],17,FALSE),"")</f>
        <v>-</v>
      </c>
      <c r="M112" s="13" t="str">
        <f>IFERROR(VLOOKUP(Table47[[#This Row],[ToSite-UPSName]],Table1[[#All],[Company or Name]:[Delivery Address]],18,FALSE),"")</f>
        <v>-</v>
      </c>
      <c r="N112" s="13" t="str">
        <f>IFERROR(VLOOKUP(Table47[[#This Row],[ToSite-UPSName]],Table1[[#All],[Company or Name]:[Delivery Address]],19,FALSE),"")</f>
        <v>-</v>
      </c>
      <c r="O112" s="13"/>
      <c r="P112" s="20" t="s">
        <v>692</v>
      </c>
      <c r="Q112" s="20"/>
      <c r="R112" s="20"/>
      <c r="S112" s="65" t="s">
        <v>813</v>
      </c>
      <c r="T112" s="65" t="s">
        <v>1603</v>
      </c>
      <c r="U112" s="13" t="s">
        <v>125</v>
      </c>
      <c r="V112" s="13" t="s">
        <v>856</v>
      </c>
      <c r="X112" s="13"/>
      <c r="Y112" s="20" t="str">
        <f>TEXT(Table47[[#This Row],[Confirmed Sampling Date]], "yyyy") &amp; "_" &amp; TEXT(Table47[[#This Row],[Confirmed Sampling Date]], "mm") &amp; "_" &amp; TEXT(Table47[[#This Row],[Confirmed Sampling Date]], "dd")</f>
        <v>2025_09_22</v>
      </c>
      <c r="Z112" s="20" t="str">
        <f>IFERROR(LEFT(J112, FIND(" ", J112) - 1), J112)</f>
        <v>Luxembourg</v>
      </c>
      <c r="AA112" s="20" t="str">
        <f>VLOOKUP(Table47[[#This Row],[ToSite-UPSName]],Table1[[Company or Name]:[NOTES]],2,FALSE)</f>
        <v>Luxembourg</v>
      </c>
      <c r="AB112" s="20" t="str">
        <f>IFERROR(VLOOKUP(Table47[[#This Row],[ToSite-UPSName]], Table1[[#All],[Company or Name]:[Delivery Address]],20,FALSE),"")</f>
        <v>41 rue du Brill, Luxembourg, L-4422 , Luxembourg</v>
      </c>
      <c r="AC112" s="20" t="str">
        <f>TEXT(Table47[[#This Row],[Shipping Date (SD-14)]]+3,"YYYY-MM-DD")</f>
        <v>2025-09-11</v>
      </c>
      <c r="AD112" s="20" t="str">
        <f>_xlfn.XLOOKUP(Table47[[#This Row],[Type]],kits!C:C,kits!D:D,"",0)</f>
        <v>boxcontentlabel_template_outbound1.docx</v>
      </c>
    </row>
    <row r="113" spans="2:30" ht="14.1" customHeight="1" x14ac:dyDescent="0.25">
      <c r="B113" s="13">
        <v>220</v>
      </c>
      <c r="C113" s="14" t="s">
        <v>1271</v>
      </c>
      <c r="D113" s="13">
        <v>2</v>
      </c>
      <c r="E113" s="34">
        <v>45923</v>
      </c>
      <c r="F113" s="34">
        <f>_xlfn.LET(
    _xlpm.baseDate, Table47[[#This Row],[Confirmed Sampling Date]] - 14,
    _xlpm.weekdayNum, WEEKDAY(_xlpm.baseDate, 2),
    IF(_xlpm.weekdayNum = 6, _xlpm.baseDate + 2, IF(_xlpm.weekdayNum = 7, _xlpm.baseDate + 1, _xlpm.baseDate))
)</f>
        <v>45909</v>
      </c>
      <c r="G113" s="20">
        <f>IFERROR(WEEKNUM(Table47[[#This Row],[Shipping Date (SD-14)]]),"TBD")</f>
        <v>37</v>
      </c>
      <c r="H113" s="20" t="str">
        <f>IFERROR(TEXT(Table47[[#This Row],[Shipping Date (SD-14)]],"yyyy-mm"),"TBD")</f>
        <v>2025-09</v>
      </c>
      <c r="I113" s="13" t="s">
        <v>1590</v>
      </c>
      <c r="J113" s="20" t="str">
        <f>IFERROR(VLOOKUP(Table47[[#This Row],[ToSite-UPSName]],Table1[[#All],[Company or Name]:[Delivery Address]],15,FALSE),"")</f>
        <v>Àthens WWTP</v>
      </c>
      <c r="K113" s="20" t="str">
        <f>IFERROR(VLOOKUP(Table47[[#This Row],[ToSite-UPSName]],Table1[[#All],[Company or Name]:[Delivery Address]],16,FALSE),"")</f>
        <v>Athens Airport</v>
      </c>
      <c r="L113" s="20"/>
      <c r="M113" s="20" t="str">
        <f>IFERROR(VLOOKUP(Table47[[#This Row],[ToSite-UPSName]],Table1[[#All],[Company or Name]:[Delivery Address]],18,FALSE),"")</f>
        <v>-</v>
      </c>
      <c r="N113" s="20" t="str">
        <f>IFERROR(VLOOKUP(Table47[[#This Row],[ToSite-UPSName]],Table1[[#All],[Company or Name]:[Delivery Address]],19,FALSE),"")</f>
        <v>-</v>
      </c>
      <c r="O113" s="13"/>
      <c r="P113" s="20" t="s">
        <v>692</v>
      </c>
      <c r="Q113" s="20"/>
      <c r="R113" s="20"/>
      <c r="S113" s="20" t="s">
        <v>813</v>
      </c>
      <c r="T113" s="20" t="s">
        <v>1604</v>
      </c>
      <c r="U113" s="13" t="s">
        <v>125</v>
      </c>
      <c r="V113" s="13" t="s">
        <v>856</v>
      </c>
      <c r="X113" s="13"/>
      <c r="Y113" s="20" t="str">
        <f>TEXT(Table47[[#This Row],[Confirmed Sampling Date]], "yyyy") &amp; "_" &amp; TEXT(Table47[[#This Row],[Confirmed Sampling Date]], "mm") &amp; "_" &amp; TEXT(Table47[[#This Row],[Confirmed Sampling Date]], "dd")</f>
        <v>2025_09_23</v>
      </c>
      <c r="Z113" s="20" t="str">
        <f>IFERROR(LEFT(J113, FIND(" ", J113) - 1), J113)</f>
        <v>Àthens</v>
      </c>
      <c r="AA113" s="20" t="str">
        <f>VLOOKUP(Table47[[#This Row],[ToSite-UPSName]],Table1[[Company or Name]:[NOTES]],2,FALSE)</f>
        <v>Greece</v>
      </c>
      <c r="AB113" s="20" t="str">
        <f>IFERROR(VLOOKUP(Table47[[#This Row],[ToSite-UPSName]], Table1[[#All],[Company or Name]:[Delivery Address]],20,FALSE),"")</f>
        <v>Zografou, 4ος όροφος, εργαστήριο αριθμός 8, Athens,  157 71, Greece</v>
      </c>
      <c r="AC113" s="20" t="str">
        <f>TEXT(Table47[[#This Row],[Shipping Date (SD-14)]]+3,"YYYY-MM-DD")</f>
        <v>2025-09-12</v>
      </c>
      <c r="AD113" s="20" t="str">
        <f>_xlfn.XLOOKUP(Table47[[#This Row],[Type]],kits!C:C,kits!D:D,"",0)</f>
        <v>boxcontentlabel_template_outbound1.docx</v>
      </c>
    </row>
    <row r="114" spans="2:30" ht="14.1" customHeight="1" x14ac:dyDescent="0.25">
      <c r="B114" s="13">
        <v>227</v>
      </c>
      <c r="C114" s="14" t="s">
        <v>1271</v>
      </c>
      <c r="D114" s="13">
        <v>2</v>
      </c>
      <c r="E114" s="34">
        <v>45924</v>
      </c>
      <c r="F114" s="34">
        <f>_xlfn.LET(
    _xlpm.baseDate, Table47[[#This Row],[Confirmed Sampling Date]] - 14,
    _xlpm.weekdayNum, WEEKDAY(_xlpm.baseDate, 2),
    IF(_xlpm.weekdayNum = 6, _xlpm.baseDate + 2, IF(_xlpm.weekdayNum = 7, _xlpm.baseDate + 1, _xlpm.baseDate))
)</f>
        <v>45910</v>
      </c>
      <c r="G114" s="20">
        <f>IFERROR(WEEKNUM(Table47[[#This Row],[Shipping Date (SD-14)]]),"TBD")</f>
        <v>37</v>
      </c>
      <c r="H114" s="20" t="str">
        <f>IFERROR(TEXT(Table47[[#This Row],[Shipping Date (SD-14)]],"yyyy-mm"),"TBD")</f>
        <v>2025-09</v>
      </c>
      <c r="I114" s="13" t="s">
        <v>1598</v>
      </c>
      <c r="J114" s="20" t="str">
        <f>IFERROR(VLOOKUP(Table47[[#This Row],[ToSite-UPSName]],Table1[[#All],[Company or Name]:[Delivery Address]],15,FALSE),"")</f>
        <v>Heraklion WWTP</v>
      </c>
      <c r="K114" s="20" t="str">
        <f>IFERROR(VLOOKUP(Table47[[#This Row],[ToSite-UPSName]],Table1[[#All],[Company or Name]:[Delivery Address]],16,FALSE),"")</f>
        <v>Heraklion Airport</v>
      </c>
      <c r="L114" s="20"/>
      <c r="M114" s="20" t="str">
        <f>IFERROR(VLOOKUP(Table47[[#This Row],[ToSite-UPSName]],Table1[[#All],[Company or Name]:[Delivery Address]],18,FALSE),"")</f>
        <v>-</v>
      </c>
      <c r="N114" s="20" t="str">
        <f>IFERROR(VLOOKUP(Table47[[#This Row],[ToSite-UPSName]],Table1[[#All],[Company or Name]:[Delivery Address]],19,FALSE),"")</f>
        <v>-</v>
      </c>
      <c r="O114" s="13"/>
      <c r="P114" s="20" t="s">
        <v>692</v>
      </c>
      <c r="Q114" s="20"/>
      <c r="R114" s="20"/>
      <c r="S114" s="65" t="s">
        <v>892</v>
      </c>
      <c r="T114" s="121" t="s">
        <v>1640</v>
      </c>
      <c r="U114" s="13" t="s">
        <v>125</v>
      </c>
      <c r="V114" s="13" t="s">
        <v>856</v>
      </c>
      <c r="X114" s="13"/>
      <c r="Y114" s="20" t="str">
        <f>TEXT(Table47[[#This Row],[Confirmed Sampling Date]], "yyyy") &amp; "_" &amp; TEXT(Table47[[#This Row],[Confirmed Sampling Date]], "mm") &amp; "_" &amp; TEXT(Table47[[#This Row],[Confirmed Sampling Date]], "dd")</f>
        <v>2025_09_24</v>
      </c>
      <c r="Z114" s="20" t="str">
        <f>IFERROR(LEFT(J114, FIND(" ", J114) - 1), J114)</f>
        <v>Heraklion</v>
      </c>
      <c r="AA114" s="20" t="str">
        <f>VLOOKUP(Table47[[#This Row],[ToSite-UPSName]],Table1[[Company or Name]:[NOTES]],2,FALSE)</f>
        <v>Greece</v>
      </c>
      <c r="AB114" s="20" t="str">
        <f>IFERROR(VLOOKUP(Table47[[#This Row],[ToSite-UPSName]], Table1[[#All],[Company or Name]:[Delivery Address]],20,FALSE),"")</f>
        <v>Andrea Kalokerinou 13, Pteryga 3D, Giofirakia, 715 00, Greece</v>
      </c>
      <c r="AC114" s="20" t="str">
        <f>TEXT(Table47[[#This Row],[Shipping Date (SD-14)]]+3,"YYYY-MM-DD")</f>
        <v>2025-09-13</v>
      </c>
      <c r="AD114" s="20" t="str">
        <f>_xlfn.XLOOKUP(Table47[[#This Row],[Type]],kits!C:C,kits!D:D,"",0)</f>
        <v>boxcontentlabel_template_outbound1.docx</v>
      </c>
    </row>
    <row r="115" spans="2:30" ht="14.1" customHeight="1" x14ac:dyDescent="0.25">
      <c r="B115" s="13">
        <v>234</v>
      </c>
      <c r="C115" s="14" t="s">
        <v>1271</v>
      </c>
      <c r="D115" s="13">
        <v>2</v>
      </c>
      <c r="E115" s="34">
        <v>45924</v>
      </c>
      <c r="F115" s="34">
        <f>_xlfn.LET(
    _xlpm.baseDate, Table47[[#This Row],[Confirmed Sampling Date]] - 14,
    _xlpm.weekdayNum, WEEKDAY(_xlpm.baseDate, 2),
    IF(_xlpm.weekdayNum = 6, _xlpm.baseDate + 2, IF(_xlpm.weekdayNum = 7, _xlpm.baseDate + 1, _xlpm.baseDate))
)</f>
        <v>45910</v>
      </c>
      <c r="G115" s="20">
        <f>IFERROR(WEEKNUM(Table47[[#This Row],[Shipping Date (SD-14)]]),"TBD")</f>
        <v>37</v>
      </c>
      <c r="H115" s="20" t="str">
        <f>IFERROR(TEXT(Table47[[#This Row],[Shipping Date (SD-14)]],"yyyy-mm"),"TBD")</f>
        <v>2025-09</v>
      </c>
      <c r="I115" s="13" t="s">
        <v>1813</v>
      </c>
      <c r="J115" s="20" t="str">
        <f>IFERROR(VLOOKUP(Table47[[#This Row],[ToSite-UPSName]],Table1[[#All],[Company or Name]:[Delivery Address]],15,FALSE),"")</f>
        <v>Riga WWTP</v>
      </c>
      <c r="K115" s="20" t="str">
        <f>IFERROR(VLOOKUP(Table47[[#This Row],[ToSite-UPSName]],Table1[[#All],[Company or Name]:[Delivery Address]],16,FALSE),"")</f>
        <v>-</v>
      </c>
      <c r="L115" s="20"/>
      <c r="M115" s="20" t="str">
        <f>IFERROR(VLOOKUP(Table47[[#This Row],[ToSite-UPSName]],Table1[[#All],[Company or Name]:[Delivery Address]],18,FALSE),"")</f>
        <v>-</v>
      </c>
      <c r="N115" s="20" t="str">
        <f>IFERROR(VLOOKUP(Table47[[#This Row],[ToSite-UPSName]],Table1[[#All],[Company or Name]:[Delivery Address]],19,FALSE),"")</f>
        <v>-</v>
      </c>
      <c r="O115" s="13"/>
      <c r="P115" s="20" t="s">
        <v>692</v>
      </c>
      <c r="Q115" s="20"/>
      <c r="R115" s="20"/>
      <c r="S115" s="65" t="s">
        <v>813</v>
      </c>
      <c r="T115" s="65" t="s">
        <v>1795</v>
      </c>
      <c r="U115" s="13" t="s">
        <v>125</v>
      </c>
      <c r="V115" s="13" t="s">
        <v>856</v>
      </c>
      <c r="X115" s="13"/>
      <c r="Y115" s="20" t="str">
        <f>TEXT(Table47[[#This Row],[Confirmed Sampling Date]], "yyyy") &amp; "_" &amp; TEXT(Table47[[#This Row],[Confirmed Sampling Date]], "mm") &amp; "_" &amp; TEXT(Table47[[#This Row],[Confirmed Sampling Date]], "dd")</f>
        <v>2025_09_24</v>
      </c>
      <c r="Z115" s="20" t="str">
        <f>IFERROR(LEFT(J115, FIND(" ", J115) - 1), J115)</f>
        <v>Riga</v>
      </c>
      <c r="AA115" s="20" t="str">
        <f>VLOOKUP(Table47[[#This Row],[ToSite-UPSName]],Table1[[Company or Name]:[NOTES]],2,FALSE)</f>
        <v>Latvia</v>
      </c>
      <c r="AB115" s="20" t="str">
        <f>IFERROR(VLOOKUP(Table47[[#This Row],[ToSite-UPSName]], Table1[[#All],[Company or Name]:[Delivery Address]],20,FALSE),"")</f>
        <v>Pilsonu iela 13, Zemgales priekšpilsēta, Rīga, LV-1002, Latvia</v>
      </c>
      <c r="AC115" s="20" t="str">
        <f>TEXT(Table47[[#This Row],[Shipping Date (SD-14)]]+3,"YYYY-MM-DD")</f>
        <v>2025-09-13</v>
      </c>
      <c r="AD115" s="20" t="str">
        <f>_xlfn.XLOOKUP(Table47[[#This Row],[Type]],kits!C:C,kits!D:D,"",0)</f>
        <v>boxcontentlabel_template_outbound1.docx</v>
      </c>
    </row>
    <row r="116" spans="2:30" ht="14.1" customHeight="1" x14ac:dyDescent="0.25">
      <c r="B116" s="13">
        <v>60</v>
      </c>
      <c r="C116" s="14" t="s">
        <v>1271</v>
      </c>
      <c r="D116" s="13">
        <v>1</v>
      </c>
      <c r="E116" s="26">
        <v>45927</v>
      </c>
      <c r="F116" s="113">
        <f>_xlfn.LET(
    _xlpm.baseDate, Table47[[#This Row],[Confirmed Sampling Date]] - 14,
    _xlpm.weekdayNum, WEEKDAY(_xlpm.baseDate, 2),
    IF(_xlpm.weekdayNum = 6, _xlpm.baseDate + 2, IF(_xlpm.weekdayNum = 7, _xlpm.baseDate + 1, _xlpm.baseDate))
)</f>
        <v>45915</v>
      </c>
      <c r="G116" s="114">
        <f>IFERROR(WEEKNUM(Table47[[#This Row],[Shipping Date (SD-14)]]),"TBD")</f>
        <v>38</v>
      </c>
      <c r="H116" s="114" t="str">
        <f>IFERROR(TEXT(Table47[[#This Row],[Shipping Date (SD-14)]],"yyyy-mm"),"TBD")</f>
        <v>2025-09</v>
      </c>
      <c r="I116" s="114" t="s">
        <v>33</v>
      </c>
      <c r="J116" s="13" t="str">
        <f>IFERROR(VLOOKUP(Table47[[#This Row],[ToSite-UPSName]],Table1[[#All],[Company or Name]:[Delivery Address]],15,FALSE),"")</f>
        <v>Osaka Expo</v>
      </c>
      <c r="K116" s="13" t="str">
        <f>IFERROR(VLOOKUP(Table47[[#This Row],[ToSite-UPSName]],Table1[[#All],[Company or Name]:[Delivery Address]],16,FALSE),"")</f>
        <v>-</v>
      </c>
      <c r="L116" s="13" t="str">
        <f>IFERROR(VLOOKUP(Table47[[#This Row],[ToSite-UPSName]],Table1[[#All],[Company or Name]:[Delivery Address]],17,FALSE),"")</f>
        <v>-</v>
      </c>
      <c r="M116" s="13" t="str">
        <f>IFERROR(VLOOKUP(Table47[[#This Row],[ToSite-UPSName]],Table1[[#All],[Company or Name]:[Delivery Address]],18,FALSE),"")</f>
        <v>-</v>
      </c>
      <c r="N116" s="13" t="str">
        <f>IFERROR(VLOOKUP(Table47[[#This Row],[ToSite-UPSName]],Table1[[#All],[Company or Name]:[Delivery Address]],19,FALSE),"")</f>
        <v>-</v>
      </c>
      <c r="O116" s="13"/>
      <c r="P116" s="13" t="s">
        <v>692</v>
      </c>
      <c r="Q116" s="13" t="s">
        <v>813</v>
      </c>
      <c r="R116" s="13"/>
      <c r="S116" s="65" t="s">
        <v>813</v>
      </c>
      <c r="T116" s="64" t="s">
        <v>1605</v>
      </c>
      <c r="U116" s="13" t="s">
        <v>125</v>
      </c>
      <c r="V116" s="13" t="s">
        <v>856</v>
      </c>
      <c r="X116" s="13"/>
      <c r="Y116" s="20" t="str">
        <f>TEXT(Table47[[#This Row],[Confirmed Sampling Date]], "yyyy") &amp; "_" &amp; TEXT(Table47[[#This Row],[Confirmed Sampling Date]], "mm") &amp; "_" &amp; TEXT(Table47[[#This Row],[Confirmed Sampling Date]], "dd")</f>
        <v>2025_09_27</v>
      </c>
      <c r="Z116" s="20" t="str">
        <f>IFERROR(LEFT(J116, FIND(" ", J116) - 1), J116)</f>
        <v>Osaka</v>
      </c>
      <c r="AA116" s="20" t="str">
        <f>VLOOKUP(Table47[[#This Row],[ToSite-UPSName]],Table1[[Company or Name]:[NOTES]],2,FALSE)</f>
        <v>Japan</v>
      </c>
      <c r="AB116" s="20" t="str">
        <f>IFERROR(VLOOKUP(Table47[[#This Row],[ToSite-UPSName]], Table1[[#All],[Company or Name]:[Delivery Address]],20,FALSE),"")</f>
        <v>1-3-3 Nakamichi, Higashinari-ku, Osaka, 537-0025, Japan</v>
      </c>
      <c r="AC116" s="20" t="str">
        <f>TEXT(Table47[[#This Row],[Shipping Date (SD-14)]]+3,"YYYY-MM-DD")</f>
        <v>2025-09-18</v>
      </c>
      <c r="AD116" s="20" t="str">
        <f>_xlfn.XLOOKUP(Table47[[#This Row],[Type]],kits!C:C,kits!D:D,"",0)</f>
        <v>boxcontentlabel_template_outbound1.docx</v>
      </c>
    </row>
    <row r="117" spans="2:30" ht="14.1" customHeight="1" x14ac:dyDescent="0.25">
      <c r="B117" s="13">
        <v>9</v>
      </c>
      <c r="C117" s="14" t="s">
        <v>1271</v>
      </c>
      <c r="D117" s="13">
        <v>2</v>
      </c>
      <c r="E117" s="26">
        <v>45935</v>
      </c>
      <c r="F117" s="113">
        <f>_xlfn.LET(
    _xlpm.baseDate, Table47[[#This Row],[Confirmed Sampling Date]] - 14,
    _xlpm.weekdayNum, WEEKDAY(_xlpm.baseDate, 2),
    IF(_xlpm.weekdayNum = 6, _xlpm.baseDate + 2, IF(_xlpm.weekdayNum = 7, _xlpm.baseDate + 1, _xlpm.baseDate))
)</f>
        <v>45922</v>
      </c>
      <c r="G117" s="114">
        <f>IFERROR(WEEKNUM(Table47[[#This Row],[Shipping Date (SD-14)]]),"TBD")</f>
        <v>39</v>
      </c>
      <c r="H117" s="114" t="str">
        <f>IFERROR(TEXT(Table47[[#This Row],[Shipping Date (SD-14)]],"yyyy-mm"),"TBD")</f>
        <v>2025-09</v>
      </c>
      <c r="I117" s="114" t="s">
        <v>13</v>
      </c>
      <c r="J117" s="13" t="str">
        <f>IFERROR(VLOOKUP(Table47[[#This Row],[ToSite-UPSName]],Table1[[#All],[Company or Name]:[Delivery Address]],15,FALSE),"")</f>
        <v>Berlin (Schoenefeld) WWTP</v>
      </c>
      <c r="K117" s="13" t="str">
        <f>IFERROR(VLOOKUP(Table47[[#This Row],[ToSite-UPSName]],Table1[[#All],[Company or Name]:[Delivery Address]],16,FALSE),"")</f>
        <v>Berlin Airport</v>
      </c>
      <c r="L117" s="13" t="str">
        <f>IFERROR(VLOOKUP(Table47[[#This Row],[ToSite-UPSName]],Table1[[#All],[Company or Name]:[Delivery Address]],17,FALSE),"")</f>
        <v>-</v>
      </c>
      <c r="M117" s="13" t="str">
        <f>IFERROR(VLOOKUP(Table47[[#This Row],[ToSite-UPSName]],Table1[[#All],[Company or Name]:[Delivery Address]],18,FALSE),"")</f>
        <v>-</v>
      </c>
      <c r="N117" s="13" t="str">
        <f>IFERROR(VLOOKUP(Table47[[#This Row],[ToSite-UPSName]],Table1[[#All],[Company or Name]:[Delivery Address]],19,FALSE),"")</f>
        <v>-</v>
      </c>
      <c r="O117" s="13"/>
      <c r="P117" s="13" t="s">
        <v>692</v>
      </c>
      <c r="Q117" s="13" t="s">
        <v>892</v>
      </c>
      <c r="R117" s="13"/>
      <c r="S117" s="20" t="s">
        <v>813</v>
      </c>
      <c r="T117" s="13" t="s">
        <v>1719</v>
      </c>
      <c r="U117" s="13" t="s">
        <v>125</v>
      </c>
      <c r="V117" s="13" t="s">
        <v>856</v>
      </c>
      <c r="X117" s="13"/>
      <c r="Y117" s="20" t="str">
        <f>TEXT(Table47[[#This Row],[Confirmed Sampling Date]], "yyyy") &amp; "_" &amp; TEXT(Table47[[#This Row],[Confirmed Sampling Date]], "mm") &amp; "_" &amp; TEXT(Table47[[#This Row],[Confirmed Sampling Date]], "dd")</f>
        <v>2025_10_05</v>
      </c>
      <c r="Z117" s="20" t="str">
        <f>IFERROR(LEFT(J117, FIND(" ", J117) - 1), J117)</f>
        <v>Berlin</v>
      </c>
      <c r="AA117" s="20" t="str">
        <f>VLOOKUP(Table47[[#This Row],[ToSite-UPSName]],Table1[[Company or Name]:[NOTES]],2,FALSE)</f>
        <v>Germany</v>
      </c>
      <c r="AB117" s="20" t="str">
        <f>IFERROR(VLOOKUP(Table47[[#This Row],[ToSite-UPSName]], Table1[[#All],[Company or Name]:[Delivery Address]],20,FALSE),"")</f>
        <v>Strasse am Klarwerk 4, Klarwerk Wassmannsdorf, Schoenefeld, 12529, Germany</v>
      </c>
      <c r="AC117" s="20" t="str">
        <f>TEXT(Table47[[#This Row],[Shipping Date (SD-14)]]+3,"YYYY-MM-DD")</f>
        <v>2025-09-25</v>
      </c>
      <c r="AD117" s="20" t="str">
        <f>_xlfn.XLOOKUP(Table47[[#This Row],[Type]],kits!C:C,kits!D:D,"",0)</f>
        <v>boxcontentlabel_template_outbound1.docx</v>
      </c>
    </row>
    <row r="118" spans="2:30" ht="14.1" customHeight="1" x14ac:dyDescent="0.25">
      <c r="B118" s="13">
        <v>204</v>
      </c>
      <c r="C118" s="85" t="s">
        <v>1272</v>
      </c>
      <c r="D118" s="13">
        <v>2</v>
      </c>
      <c r="E118" s="113">
        <v>45935</v>
      </c>
      <c r="F118" s="113">
        <f>_xlfn.LET(
    _xlpm.baseDate, Table47[[#This Row],[Confirmed Sampling Date]] - 14,
    _xlpm.weekdayNum, WEEKDAY(_xlpm.baseDate, 2),
    IF(_xlpm.weekdayNum = 6, _xlpm.baseDate + 2, IF(_xlpm.weekdayNum = 7, _xlpm.baseDate + 1, _xlpm.baseDate))
)</f>
        <v>45922</v>
      </c>
      <c r="G118" s="97">
        <f>IFERROR(WEEKNUM(Table47[[#This Row],[Shipping Date (SD-14)]]),"TBD")</f>
        <v>39</v>
      </c>
      <c r="H118" s="97" t="str">
        <f>IFERROR(TEXT(Table47[[#This Row],[Shipping Date (SD-14)]],"yyyy-mm"),"TBD")</f>
        <v>2025-09</v>
      </c>
      <c r="I118" s="114" t="s">
        <v>13</v>
      </c>
      <c r="J118" s="20" t="str">
        <f>IFERROR(VLOOKUP(Table47[[#This Row],[ToSite-UPSName]],Table1[[#All],[Company or Name]:[Delivery Address]],15,FALSE),"")</f>
        <v>Berlin (Schoenefeld) WWTP</v>
      </c>
      <c r="K118" s="20" t="str">
        <f>IFERROR(VLOOKUP(Table47[[#This Row],[ToSite-UPSName]],Table1[[#All],[Company or Name]:[Delivery Address]],16,FALSE),"")</f>
        <v>Berlin Airport</v>
      </c>
      <c r="L118" s="20"/>
      <c r="M118" s="20" t="str">
        <f>IFERROR(VLOOKUP(Table47[[#This Row],[ToSite-UPSName]],Table1[[#All],[Company or Name]:[Delivery Address]],18,FALSE),"")</f>
        <v>-</v>
      </c>
      <c r="N118" s="20" t="str">
        <f>IFERROR(VLOOKUP(Table47[[#This Row],[ToSite-UPSName]],Table1[[#All],[Company or Name]:[Delivery Address]],19,FALSE),"")</f>
        <v>-</v>
      </c>
      <c r="O118" s="13"/>
      <c r="P118" s="13" t="s">
        <v>692</v>
      </c>
      <c r="Q118" s="20"/>
      <c r="R118" s="20"/>
      <c r="S118" s="20" t="s">
        <v>813</v>
      </c>
      <c r="T118" s="20" t="s">
        <v>1718</v>
      </c>
      <c r="U118" s="13" t="s">
        <v>125</v>
      </c>
      <c r="V118" s="13" t="s">
        <v>856</v>
      </c>
      <c r="X118" s="13"/>
      <c r="Y118" s="20" t="str">
        <f>TEXT(Table47[[#This Row],[Confirmed Sampling Date]], "yyyy") &amp; "_" &amp; TEXT(Table47[[#This Row],[Confirmed Sampling Date]], "mm") &amp; "_" &amp; TEXT(Table47[[#This Row],[Confirmed Sampling Date]], "dd")</f>
        <v>2025_10_05</v>
      </c>
      <c r="Z118" s="20" t="str">
        <f>IFERROR(LEFT(J118, FIND(" ", J118) - 1), J118)</f>
        <v>Berlin</v>
      </c>
      <c r="AA118" s="20" t="str">
        <f>VLOOKUP(Table47[[#This Row],[ToSite-UPSName]],Table1[[Company or Name]:[NOTES]],2,FALSE)</f>
        <v>Germany</v>
      </c>
      <c r="AB118" s="20" t="str">
        <f>IFERROR(VLOOKUP(Table47[[#This Row],[ToSite-UPSName]], Table1[[#All],[Company or Name]:[Delivery Address]],20,FALSE),"")</f>
        <v>Strasse am Klarwerk 4, Klarwerk Wassmannsdorf, Schoenefeld, 12529, Germany</v>
      </c>
      <c r="AC118" s="20" t="str">
        <f>TEXT(Table47[[#This Row],[Shipping Date (SD-14)]]+3,"YYYY-MM-DD")</f>
        <v>2025-09-25</v>
      </c>
      <c r="AD118" s="20" t="str">
        <f>_xlfn.XLOOKUP(Table47[[#This Row],[Type]],kits!C:C,kits!D:D,"",0)</f>
        <v>boxcontentlabel_template_outbound2.docx</v>
      </c>
    </row>
    <row r="119" spans="2:30" ht="14.1" customHeight="1" x14ac:dyDescent="0.25">
      <c r="B119" s="13">
        <v>50</v>
      </c>
      <c r="C119" s="14" t="s">
        <v>1271</v>
      </c>
      <c r="D119" s="13">
        <v>2</v>
      </c>
      <c r="E119" s="26">
        <v>45936</v>
      </c>
      <c r="F119" s="113">
        <f>_xlfn.LET(
    _xlpm.baseDate, Table47[[#This Row],[Confirmed Sampling Date]] - 14,
    _xlpm.weekdayNum, WEEKDAY(_xlpm.baseDate, 2),
    IF(_xlpm.weekdayNum = 6, _xlpm.baseDate + 2, IF(_xlpm.weekdayNum = 7, _xlpm.baseDate + 1, _xlpm.baseDate))
)</f>
        <v>45922</v>
      </c>
      <c r="G119" s="114">
        <f>IFERROR(WEEKNUM(Table47[[#This Row],[Shipping Date (SD-14)]]),"TBD")</f>
        <v>39</v>
      </c>
      <c r="H119" s="114" t="str">
        <f>IFERROR(TEXT(Table47[[#This Row],[Shipping Date (SD-14)]],"yyyy-mm"),"TBD")</f>
        <v>2025-09</v>
      </c>
      <c r="I119" s="114" t="s">
        <v>364</v>
      </c>
      <c r="J119" s="13" t="str">
        <f>IFERROR(VLOOKUP(Table47[[#This Row],[ToSite-UPSName]],Table1[[#All],[Company or Name]:[Delivery Address]],15,FALSE),"")</f>
        <v>Brussels WWTP</v>
      </c>
      <c r="K119" s="13" t="str">
        <f>IFERROR(VLOOKUP(Table47[[#This Row],[ToSite-UPSName]],Table1[[#All],[Company or Name]:[Delivery Address]],16,FALSE),"")</f>
        <v>Brussels Airport</v>
      </c>
      <c r="L119" s="13" t="str">
        <f>IFERROR(VLOOKUP(Table47[[#This Row],[ToSite-UPSName]],Table1[[#All],[Company or Name]:[Delivery Address]],17,FALSE),"")</f>
        <v>-</v>
      </c>
      <c r="M119" s="13" t="str">
        <f>IFERROR(VLOOKUP(Table47[[#This Row],[ToSite-UPSName]],Table1[[#All],[Company or Name]:[Delivery Address]],18,FALSE),"")</f>
        <v>-</v>
      </c>
      <c r="N119" s="13" t="str">
        <f>IFERROR(VLOOKUP(Table47[[#This Row],[ToSite-UPSName]],Table1[[#All],[Company or Name]:[Delivery Address]],19,FALSE),"")</f>
        <v>-</v>
      </c>
      <c r="O119" s="13"/>
      <c r="P119" s="13" t="s">
        <v>692</v>
      </c>
      <c r="Q119" s="13"/>
      <c r="R119" s="13"/>
      <c r="S119" s="64" t="s">
        <v>813</v>
      </c>
      <c r="T119" s="64" t="s">
        <v>1606</v>
      </c>
      <c r="U119" s="13" t="s">
        <v>125</v>
      </c>
      <c r="V119" s="13" t="s">
        <v>856</v>
      </c>
      <c r="X119" s="13"/>
      <c r="Y119" s="20" t="str">
        <f>TEXT(Table47[[#This Row],[Confirmed Sampling Date]], "yyyy") &amp; "_" &amp; TEXT(Table47[[#This Row],[Confirmed Sampling Date]], "mm") &amp; "_" &amp; TEXT(Table47[[#This Row],[Confirmed Sampling Date]], "dd")</f>
        <v>2025_10_06</v>
      </c>
      <c r="Z119" s="20" t="str">
        <f>IFERROR(LEFT(J119, FIND(" ", J119) - 1), J119)</f>
        <v>Brussels</v>
      </c>
      <c r="AA119" s="20" t="str">
        <f>VLOOKUP(Table47[[#This Row],[ToSite-UPSName]],Table1[[Company or Name]:[NOTES]],2,FALSE)</f>
        <v>Belgium</v>
      </c>
      <c r="AB119" s="20" t="str">
        <f>IFERROR(VLOOKUP(Table47[[#This Row],[ToSite-UPSName]], Table1[[#All],[Company or Name]:[Delivery Address]],20,FALSE),"")</f>
        <v>Rue Juliette Wytsmanstraat 14, Brussels, 1050, Belgium</v>
      </c>
      <c r="AC119" s="20" t="str">
        <f>TEXT(Table47[[#This Row],[Shipping Date (SD-14)]]+3,"YYYY-MM-DD")</f>
        <v>2025-09-25</v>
      </c>
      <c r="AD119" s="20" t="str">
        <f>_xlfn.XLOOKUP(Table47[[#This Row],[Type]],kits!C:C,kits!D:D,"",0)</f>
        <v>boxcontentlabel_template_outbound1.docx</v>
      </c>
    </row>
    <row r="120" spans="2:30" ht="14.1" customHeight="1" x14ac:dyDescent="0.25">
      <c r="B120" s="13">
        <v>161</v>
      </c>
      <c r="C120" s="14" t="s">
        <v>1271</v>
      </c>
      <c r="D120" s="13">
        <v>1</v>
      </c>
      <c r="E120" s="83">
        <v>45936</v>
      </c>
      <c r="F120" s="83">
        <f>_xlfn.LET(
    _xlpm.baseDate, Table47[[#This Row],[Confirmed Sampling Date]] - 14,
    _xlpm.weekdayNum, WEEKDAY(_xlpm.baseDate, 2),
    IF(_xlpm.weekdayNum = 6, _xlpm.baseDate + 2, IF(_xlpm.weekdayNum = 7, _xlpm.baseDate + 1, _xlpm.baseDate))
)</f>
        <v>45922</v>
      </c>
      <c r="G120" s="20">
        <f>IFERROR(WEEKNUM(Table47[[#This Row],[Shipping Date (SD-14)]]),"TBD")</f>
        <v>39</v>
      </c>
      <c r="H120" s="20" t="str">
        <f>IFERROR(TEXT(Table47[[#This Row],[Shipping Date (SD-14)]],"yyyy-mm"),"TBD")</f>
        <v>2025-09</v>
      </c>
      <c r="I120" s="78" t="s">
        <v>1114</v>
      </c>
      <c r="J120" s="20" t="str">
        <f>IFERROR(VLOOKUP(Table47[[#This Row],[ToSite-UPSName]],Table1[[#All],[Company or Name]:[Delivery Address]],15,FALSE),"")</f>
        <v>Uppsala WWTP</v>
      </c>
      <c r="K120" s="20" t="str">
        <f>IFERROR(VLOOKUP(Table47[[#This Row],[ToSite-UPSName]],Table1[[#All],[Company or Name]:[Delivery Address]],16,FALSE),"")</f>
        <v>-</v>
      </c>
      <c r="L120" s="20"/>
      <c r="M120" s="20" t="str">
        <f>IFERROR(VLOOKUP(Table47[[#This Row],[ToSite-UPSName]],Table1[[#All],[Company or Name]:[Delivery Address]],18,FALSE),"")</f>
        <v>-</v>
      </c>
      <c r="N120" s="20" t="str">
        <f>IFERROR(VLOOKUP(Table47[[#This Row],[ToSite-UPSName]],Table1[[#All],[Company or Name]:[Delivery Address]],19,FALSE),"")</f>
        <v>-</v>
      </c>
      <c r="O120" s="13"/>
      <c r="P120" s="13" t="s">
        <v>692</v>
      </c>
      <c r="Q120" s="20"/>
      <c r="R120" s="20"/>
      <c r="S120" s="101" t="s">
        <v>813</v>
      </c>
      <c r="T120" s="101" t="s">
        <v>1615</v>
      </c>
      <c r="U120" s="13" t="s">
        <v>125</v>
      </c>
      <c r="V120" s="13" t="s">
        <v>856</v>
      </c>
      <c r="X120" s="13"/>
      <c r="Y120" s="20" t="str">
        <f>TEXT(Table47[[#This Row],[Confirmed Sampling Date]], "yyyy") &amp; "_" &amp; TEXT(Table47[[#This Row],[Confirmed Sampling Date]], "mm") &amp; "_" &amp; TEXT(Table47[[#This Row],[Confirmed Sampling Date]], "dd")</f>
        <v>2025_10_06</v>
      </c>
      <c r="Z120" s="20" t="str">
        <f>IFERROR(LEFT(J120, FIND(" ", J120) - 1), J120)</f>
        <v>Uppsala</v>
      </c>
      <c r="AA120" s="20" t="str">
        <f>VLOOKUP(Table47[[#This Row],[ToSite-UPSName]],Table1[[Company or Name]:[NOTES]],2,FALSE)</f>
        <v>Sweden</v>
      </c>
      <c r="AB120" s="20" t="str">
        <f>IFERROR(VLOOKUP(Table47[[#This Row],[ToSite-UPSName]], Table1[[#All],[Company or Name]:[Delivery Address]],20,FALSE),"")</f>
        <v>Gerda Nilssons väg 5, Uppsala, 756 51, Sweden</v>
      </c>
      <c r="AC120" s="20" t="str">
        <f>TEXT(Table47[[#This Row],[Shipping Date (SD-14)]]+3,"YYYY-MM-DD")</f>
        <v>2025-09-25</v>
      </c>
      <c r="AD120" s="20" t="str">
        <f>_xlfn.XLOOKUP(Table47[[#This Row],[Type]],kits!C:C,kits!D:D,"",0)</f>
        <v>boxcontentlabel_template_outbound1.docx</v>
      </c>
    </row>
    <row r="121" spans="2:30" ht="14.1" customHeight="1" x14ac:dyDescent="0.25">
      <c r="B121" s="13">
        <v>188</v>
      </c>
      <c r="C121" s="14" t="s">
        <v>1271</v>
      </c>
      <c r="D121" s="13">
        <v>2</v>
      </c>
      <c r="E121" s="26">
        <v>45936</v>
      </c>
      <c r="F121" s="113">
        <f>_xlfn.LET(
    _xlpm.baseDate, Table47[[#This Row],[Confirmed Sampling Date]] - 14,
    _xlpm.weekdayNum, WEEKDAY(_xlpm.baseDate, 2),
    IF(_xlpm.weekdayNum = 6, _xlpm.baseDate + 2, IF(_xlpm.weekdayNum = 7, _xlpm.baseDate + 1, _xlpm.baseDate))
)</f>
        <v>45922</v>
      </c>
      <c r="G121" s="97">
        <f>IFERROR(WEEKNUM(Table47[[#This Row],[Shipping Date (SD-14)]]),"TBD")</f>
        <v>39</v>
      </c>
      <c r="H121" s="97" t="str">
        <f>IFERROR(TEXT(Table47[[#This Row],[Shipping Date (SD-14)]],"yyyy-mm"),"TBD")</f>
        <v>2025-09</v>
      </c>
      <c r="I121" s="115" t="s">
        <v>1187</v>
      </c>
      <c r="J121" s="20" t="str">
        <f>IFERROR(VLOOKUP(Table47[[#This Row],[ToSite-UPSName]],Table1[[#All],[Company or Name]:[Delivery Address]],15,FALSE),"")</f>
        <v>Aachen WWTP</v>
      </c>
      <c r="K121" s="20" t="str">
        <f>IFERROR(VLOOKUP(Table47[[#This Row],[ToSite-UPSName]],Table1[[#All],[Company or Name]:[Delivery Address]],16,FALSE),"")</f>
        <v>Aachen Hospital</v>
      </c>
      <c r="L121" s="20"/>
      <c r="M121" s="20">
        <f>IFERROR(VLOOKUP(Table47[[#This Row],[ToSite-UPSName]],Table1[[#All],[Company or Name]:[Delivery Address]],18,FALSE),"")</f>
        <v>0</v>
      </c>
      <c r="N121" s="20">
        <f>IFERROR(VLOOKUP(Table47[[#This Row],[ToSite-UPSName]],Table1[[#All],[Company or Name]:[Delivery Address]],19,FALSE),"")</f>
        <v>0</v>
      </c>
      <c r="O121" s="13"/>
      <c r="P121" s="13" t="s">
        <v>692</v>
      </c>
      <c r="Q121" s="20"/>
      <c r="R121" s="20"/>
      <c r="S121" s="65" t="s">
        <v>813</v>
      </c>
      <c r="T121" s="65" t="s">
        <v>1607</v>
      </c>
      <c r="U121" s="13" t="s">
        <v>125</v>
      </c>
      <c r="V121" s="13" t="s">
        <v>856</v>
      </c>
      <c r="X121" s="13"/>
      <c r="Y121" s="20" t="str">
        <f>TEXT(Table47[[#This Row],[Confirmed Sampling Date]], "yyyy") &amp; "_" &amp; TEXT(Table47[[#This Row],[Confirmed Sampling Date]], "mm") &amp; "_" &amp; TEXT(Table47[[#This Row],[Confirmed Sampling Date]], "dd")</f>
        <v>2025_10_06</v>
      </c>
      <c r="Z121" s="20" t="str">
        <f>IFERROR(LEFT(J121, FIND(" ", J121) - 1), J121)</f>
        <v>Aachen</v>
      </c>
      <c r="AA121" s="20" t="str">
        <f>VLOOKUP(Table47[[#This Row],[ToSite-UPSName]],Table1[[Company or Name]:[NOTES]],2,FALSE)</f>
        <v>Germany</v>
      </c>
      <c r="AB121" s="20" t="str">
        <f>IFERROR(VLOOKUP(Table47[[#This Row],[ToSite-UPSName]], Table1[[#All],[Company or Name]:[Delivery Address]],20,FALSE),"")</f>
        <v>Krefelder Str. 299, Aachen, 52070, Germany</v>
      </c>
      <c r="AC121" s="20" t="str">
        <f>TEXT(Table47[[#This Row],[Shipping Date (SD-14)]]+3,"YYYY-MM-DD")</f>
        <v>2025-09-25</v>
      </c>
      <c r="AD121" s="20" t="str">
        <f>_xlfn.XLOOKUP(Table47[[#This Row],[Type]],kits!C:C,kits!D:D,"",0)</f>
        <v>boxcontentlabel_template_outbound1.docx</v>
      </c>
    </row>
    <row r="122" spans="2:30" ht="14.1" customHeight="1" x14ac:dyDescent="0.25">
      <c r="B122" s="13">
        <v>212</v>
      </c>
      <c r="C122" s="14" t="s">
        <v>1271</v>
      </c>
      <c r="D122" s="13">
        <v>1</v>
      </c>
      <c r="E122" s="113">
        <v>45936</v>
      </c>
      <c r="F122" s="113">
        <f>_xlfn.LET(
    _xlpm.baseDate, Table47[[#This Row],[Confirmed Sampling Date]] - 14,
    _xlpm.weekdayNum, WEEKDAY(_xlpm.baseDate, 2),
    IF(_xlpm.weekdayNum = 6, _xlpm.baseDate + 2, IF(_xlpm.weekdayNum = 7, _xlpm.baseDate + 1, _xlpm.baseDate))
)</f>
        <v>45922</v>
      </c>
      <c r="G122" s="97">
        <f>IFERROR(WEEKNUM(Table47[[#This Row],[Shipping Date (SD-14)]]),"TBD")</f>
        <v>39</v>
      </c>
      <c r="H122" s="97" t="str">
        <f>IFERROR(TEXT(Table47[[#This Row],[Shipping Date (SD-14)]],"yyyy-mm"),"TBD")</f>
        <v>2025-09</v>
      </c>
      <c r="I122" s="116" t="s">
        <v>1292</v>
      </c>
      <c r="J122" s="20" t="str">
        <f>IFERROR(VLOOKUP(Table47[[#This Row],[ToSite-UPSName]],Table1[[#All],[Company or Name]:[Delivery Address]],15,FALSE),"")</f>
        <v>Bologna WWTP</v>
      </c>
      <c r="K122" s="20">
        <f>IFERROR(VLOOKUP(Table47[[#This Row],[ToSite-UPSName]],Table1[[#All],[Company or Name]:[Delivery Address]],16,FALSE),"")</f>
        <v>0</v>
      </c>
      <c r="L122" s="20"/>
      <c r="M122" s="20">
        <f>IFERROR(VLOOKUP(Table47[[#This Row],[ToSite-UPSName]],Table1[[#All],[Company or Name]:[Delivery Address]],18,FALSE),"")</f>
        <v>0</v>
      </c>
      <c r="N122" s="20">
        <f>IFERROR(VLOOKUP(Table47[[#This Row],[ToSite-UPSName]],Table1[[#All],[Company or Name]:[Delivery Address]],19,FALSE),"")</f>
        <v>0</v>
      </c>
      <c r="O122" s="13"/>
      <c r="P122" s="13" t="s">
        <v>692</v>
      </c>
      <c r="Q122" s="20" t="s">
        <v>131</v>
      </c>
      <c r="R122" s="20"/>
      <c r="S122" s="101" t="s">
        <v>813</v>
      </c>
      <c r="T122" s="101" t="s">
        <v>1608</v>
      </c>
      <c r="U122" s="13" t="s">
        <v>125</v>
      </c>
      <c r="V122" s="13" t="s">
        <v>856</v>
      </c>
      <c r="X122" s="13"/>
      <c r="Y122" s="20" t="str">
        <f>TEXT(Table47[[#This Row],[Confirmed Sampling Date]], "yyyy") &amp; "_" &amp; TEXT(Table47[[#This Row],[Confirmed Sampling Date]], "mm") &amp; "_" &amp; TEXT(Table47[[#This Row],[Confirmed Sampling Date]], "dd")</f>
        <v>2025_10_06</v>
      </c>
      <c r="Z122" s="20" t="str">
        <f>IFERROR(LEFT(J122, FIND(" ", J122) - 1), J122)</f>
        <v>Bologna</v>
      </c>
      <c r="AA122" s="20" t="str">
        <f>VLOOKUP(Table47[[#This Row],[ToSite-UPSName]],Table1[[Company or Name]:[NOTES]],2,FALSE)</f>
        <v>Italy</v>
      </c>
      <c r="AB122" s="20" t="str">
        <f>IFERROR(VLOOKUP(Table47[[#This Row],[ToSite-UPSName]], Table1[[#All],[Company or Name]:[Delivery Address]],20,FALSE),"")</f>
        <v>VIA SHAKESPEARE 29, Bologna, 40128, Italy</v>
      </c>
      <c r="AC122" s="20" t="str">
        <f>TEXT(Table47[[#This Row],[Shipping Date (SD-14)]]+3,"YYYY-MM-DD")</f>
        <v>2025-09-25</v>
      </c>
      <c r="AD122" s="20" t="str">
        <f>_xlfn.XLOOKUP(Table47[[#This Row],[Type]],kits!C:C,kits!D:D,"",0)</f>
        <v>boxcontentlabel_template_outbound1.docx</v>
      </c>
    </row>
    <row r="123" spans="2:30" ht="14.1" customHeight="1" x14ac:dyDescent="0.25">
      <c r="B123" s="13">
        <v>235</v>
      </c>
      <c r="C123" s="14" t="s">
        <v>1271</v>
      </c>
      <c r="D123" s="13">
        <v>1</v>
      </c>
      <c r="E123" s="113">
        <v>45936</v>
      </c>
      <c r="F123" s="113">
        <f>_xlfn.LET(
    _xlpm.baseDate, Table47[[#This Row],[Confirmed Sampling Date]] - 14,
    _xlpm.weekdayNum, WEEKDAY(_xlpm.baseDate, 2),
    IF(_xlpm.weekdayNum = 6, _xlpm.baseDate + 2, IF(_xlpm.weekdayNum = 7, _xlpm.baseDate + 1, _xlpm.baseDate))
)</f>
        <v>45922</v>
      </c>
      <c r="G123" s="97">
        <f>IFERROR(WEEKNUM(Table47[[#This Row],[Shipping Date (SD-14)]]),"TBD")</f>
        <v>39</v>
      </c>
      <c r="H123" s="97" t="str">
        <f>IFERROR(TEXT(Table47[[#This Row],[Shipping Date (SD-14)]],"yyyy-mm"),"TBD")</f>
        <v>2025-09</v>
      </c>
      <c r="I123" s="114" t="s">
        <v>1802</v>
      </c>
      <c r="J123" s="20" t="str">
        <f>IFERROR(VLOOKUP(Table47[[#This Row],[ToSite-UPSName]],Table1[[#All],[Company or Name]:[Delivery Address]],15,FALSE),"")</f>
        <v>Wien WWTP</v>
      </c>
      <c r="K123" s="20" t="str">
        <f>IFERROR(VLOOKUP(Table47[[#This Row],[ToSite-UPSName]],Table1[[#All],[Company or Name]:[Delivery Address]],16,FALSE),"")</f>
        <v>-</v>
      </c>
      <c r="L123" s="20"/>
      <c r="M123" s="20" t="str">
        <f>IFERROR(VLOOKUP(Table47[[#This Row],[ToSite-UPSName]],Table1[[#All],[Company or Name]:[Delivery Address]],18,FALSE),"")</f>
        <v>-</v>
      </c>
      <c r="N123" s="20" t="str">
        <f>IFERROR(VLOOKUP(Table47[[#This Row],[ToSite-UPSName]],Table1[[#All],[Company or Name]:[Delivery Address]],19,FALSE),"")</f>
        <v>-</v>
      </c>
      <c r="O123" s="13"/>
      <c r="P123" s="20" t="s">
        <v>692</v>
      </c>
      <c r="Q123" s="20"/>
      <c r="R123" s="20"/>
      <c r="S123" s="65" t="s">
        <v>813</v>
      </c>
      <c r="T123" s="119" t="s">
        <v>1809</v>
      </c>
      <c r="U123" s="13" t="s">
        <v>125</v>
      </c>
      <c r="V123" s="13" t="s">
        <v>856</v>
      </c>
      <c r="X123" s="13"/>
      <c r="Y123" s="20" t="str">
        <f>TEXT(Table47[[#This Row],[Confirmed Sampling Date]], "yyyy") &amp; "_" &amp; TEXT(Table47[[#This Row],[Confirmed Sampling Date]], "mm") &amp; "_" &amp; TEXT(Table47[[#This Row],[Confirmed Sampling Date]], "dd")</f>
        <v>2025_10_06</v>
      </c>
      <c r="Z123" s="20" t="str">
        <f>IFERROR(LEFT(J123, FIND(" ", J123) - 1), J123)</f>
        <v>Wien</v>
      </c>
      <c r="AA123" s="20" t="str">
        <f>VLOOKUP(Table47[[#This Row],[ToSite-UPSName]],Table1[[Company or Name]:[NOTES]],2,FALSE)</f>
        <v>Austria</v>
      </c>
      <c r="AB123" s="20" t="str">
        <f>IFERROR(VLOOKUP(Table47[[#This Row],[ToSite-UPSName]], Table1[[#All],[Company or Name]:[Delivery Address]],20,FALSE),"")</f>
        <v>Währinger Gürtel 18-20, Wien, 1090, Austria</v>
      </c>
      <c r="AC123" s="20" t="str">
        <f>TEXT(Table47[[#This Row],[Shipping Date (SD-14)]]+3,"YYYY-MM-DD")</f>
        <v>2025-09-25</v>
      </c>
      <c r="AD123" s="20" t="str">
        <f>_xlfn.XLOOKUP(Table47[[#This Row],[Type]],kits!C:C,kits!D:D,"",0)</f>
        <v>boxcontentlabel_template_outbound1.docx</v>
      </c>
    </row>
    <row r="124" spans="2:30" ht="14.1" customHeight="1" x14ac:dyDescent="0.25">
      <c r="B124" s="13">
        <v>248</v>
      </c>
      <c r="C124" s="14" t="s">
        <v>1271</v>
      </c>
      <c r="D124" s="13">
        <v>1</v>
      </c>
      <c r="E124" s="83">
        <v>45936</v>
      </c>
      <c r="F124" s="83">
        <f>_xlfn.LET(
    _xlpm.baseDate, Table47[[#This Row],[Confirmed Sampling Date]] - 14,
    _xlpm.weekdayNum, WEEKDAY(_xlpm.baseDate, 2),
    IF(_xlpm.weekdayNum = 6, _xlpm.baseDate + 2, IF(_xlpm.weekdayNum = 7, _xlpm.baseDate + 1, _xlpm.baseDate))
)</f>
        <v>45922</v>
      </c>
      <c r="G124" s="20">
        <f>IFERROR(WEEKNUM(Table47[[#This Row],[Shipping Date (SD-14)]]),"TBD")</f>
        <v>39</v>
      </c>
      <c r="H124" s="20" t="str">
        <f>IFERROR(TEXT(Table47[[#This Row],[Shipping Date (SD-14)]],"yyyy-mm"),"TBD")</f>
        <v>2025-09</v>
      </c>
      <c r="I124" s="13" t="s">
        <v>1813</v>
      </c>
      <c r="J124" s="20" t="str">
        <f>IFERROR(VLOOKUP(Table47[[#This Row],[ToSite-UPSName]],Table1[[#All],[Company or Name]:[Delivery Address]],15,FALSE),"")</f>
        <v>Riga WWTP</v>
      </c>
      <c r="K124" s="20" t="str">
        <f>IFERROR(VLOOKUP(Table47[[#This Row],[ToSite-UPSName]],Table1[[#All],[Company or Name]:[Delivery Address]],16,FALSE),"")</f>
        <v>-</v>
      </c>
      <c r="L124" s="20"/>
      <c r="M124" s="20" t="str">
        <f>IFERROR(VLOOKUP(Table47[[#This Row],[ToSite-UPSName]],Table1[[#All],[Company or Name]:[Delivery Address]],18,FALSE),"")</f>
        <v>-</v>
      </c>
      <c r="N124" s="20" t="str">
        <f>IFERROR(VLOOKUP(Table47[[#This Row],[ToSite-UPSName]],Table1[[#All],[Company or Name]:[Delivery Address]],19,FALSE),"")</f>
        <v>-</v>
      </c>
      <c r="O124" s="13"/>
      <c r="P124" s="20" t="s">
        <v>692</v>
      </c>
      <c r="Q124" s="20"/>
      <c r="R124" s="20"/>
      <c r="S124" s="65" t="s">
        <v>813</v>
      </c>
      <c r="T124" s="20" t="s">
        <v>1831</v>
      </c>
      <c r="U124" s="13" t="s">
        <v>125</v>
      </c>
      <c r="V124" s="13" t="s">
        <v>856</v>
      </c>
      <c r="X124" s="13"/>
      <c r="Y124" s="20" t="str">
        <f>TEXT(Table47[[#This Row],[Confirmed Sampling Date]], "yyyy") &amp; "_" &amp; TEXT(Table47[[#This Row],[Confirmed Sampling Date]], "mm") &amp; "_" &amp; TEXT(Table47[[#This Row],[Confirmed Sampling Date]], "dd")</f>
        <v>2025_10_06</v>
      </c>
      <c r="Z124" s="20" t="str">
        <f>IFERROR(LEFT(J124, FIND(" ", J124) - 1), J124)</f>
        <v>Riga</v>
      </c>
      <c r="AA124" s="20" t="str">
        <f>VLOOKUP(Table47[[#This Row],[ToSite-UPSName]],Table1[[Company or Name]:[NOTES]],2,FALSE)</f>
        <v>Latvia</v>
      </c>
      <c r="AB124" s="20" t="str">
        <f>IFERROR(VLOOKUP(Table47[[#This Row],[ToSite-UPSName]], Table1[[#All],[Company or Name]:[Delivery Address]],20,FALSE),"")</f>
        <v>Pilsonu iela 13, Zemgales priekšpilsēta, Rīga, LV-1002, Latvia</v>
      </c>
      <c r="AC124" s="20" t="str">
        <f>TEXT(Table47[[#This Row],[Shipping Date (SD-14)]]+3,"YYYY-MM-DD")</f>
        <v>2025-09-25</v>
      </c>
      <c r="AD124" s="20" t="str">
        <f>_xlfn.XLOOKUP(Table47[[#This Row],[Type]],kits!C:C,kits!D:D,"",0)</f>
        <v>boxcontentlabel_template_outbound1.docx</v>
      </c>
    </row>
    <row r="125" spans="2:30" ht="14.1" customHeight="1" x14ac:dyDescent="0.25">
      <c r="B125" s="13">
        <v>23</v>
      </c>
      <c r="C125" s="14" t="s">
        <v>1271</v>
      </c>
      <c r="D125" s="13">
        <v>2</v>
      </c>
      <c r="E125" s="26">
        <v>45937</v>
      </c>
      <c r="F125" s="113">
        <f>_xlfn.LET(
    _xlpm.baseDate, Table47[[#This Row],[Confirmed Sampling Date]] - 14,
    _xlpm.weekdayNum, WEEKDAY(_xlpm.baseDate, 2),
    IF(_xlpm.weekdayNum = 6, _xlpm.baseDate + 2, IF(_xlpm.weekdayNum = 7, _xlpm.baseDate + 1, _xlpm.baseDate))
)</f>
        <v>45923</v>
      </c>
      <c r="G125" s="114">
        <f>IFERROR(WEEKNUM(Table47[[#This Row],[Shipping Date (SD-14)]]),"TBD")</f>
        <v>39</v>
      </c>
      <c r="H125" s="114" t="str">
        <f>IFERROR(TEXT(Table47[[#This Row],[Shipping Date (SD-14)]],"yyyy-mm"),"TBD")</f>
        <v>2025-09</v>
      </c>
      <c r="I125" s="114" t="s">
        <v>19</v>
      </c>
      <c r="J125" s="13" t="str">
        <f>IFERROR(VLOOKUP(Table47[[#This Row],[ToSite-UPSName]],Table1[[#All],[Company or Name]:[Delivery Address]],15,FALSE),"")</f>
        <v>Munich WWTP</v>
      </c>
      <c r="K125" s="13" t="str">
        <f>IFERROR(VLOOKUP(Table47[[#This Row],[ToSite-UPSName]],Table1[[#All],[Company or Name]:[Delivery Address]],16,FALSE),"")</f>
        <v>Munich Airport</v>
      </c>
      <c r="L125" s="13" t="str">
        <f>IFERROR(VLOOKUP(Table47[[#This Row],[ToSite-UPSName]],Table1[[#All],[Company or Name]:[Delivery Address]],17,FALSE),"")</f>
        <v>-</v>
      </c>
      <c r="M125" s="13" t="str">
        <f>IFERROR(VLOOKUP(Table47[[#This Row],[ToSite-UPSName]],Table1[[#All],[Company or Name]:[Delivery Address]],18,FALSE),"")</f>
        <v>-</v>
      </c>
      <c r="N125" s="13" t="str">
        <f>IFERROR(VLOOKUP(Table47[[#This Row],[ToSite-UPSName]],Table1[[#All],[Company or Name]:[Delivery Address]],19,FALSE),"")</f>
        <v>-</v>
      </c>
      <c r="O125" s="13"/>
      <c r="P125" s="13" t="s">
        <v>692</v>
      </c>
      <c r="Q125" s="13"/>
      <c r="R125" s="13"/>
      <c r="S125" s="64" t="s">
        <v>813</v>
      </c>
      <c r="T125" s="64" t="s">
        <v>1609</v>
      </c>
      <c r="U125" s="13" t="s">
        <v>125</v>
      </c>
      <c r="V125" s="13" t="s">
        <v>856</v>
      </c>
      <c r="X125" s="13"/>
      <c r="Y125" s="20" t="str">
        <f>TEXT(Table47[[#This Row],[Confirmed Sampling Date]], "yyyy") &amp; "_" &amp; TEXT(Table47[[#This Row],[Confirmed Sampling Date]], "mm") &amp; "_" &amp; TEXT(Table47[[#This Row],[Confirmed Sampling Date]], "dd")</f>
        <v>2025_10_07</v>
      </c>
      <c r="Z125" s="20" t="str">
        <f>IFERROR(LEFT(J125, FIND(" ", J125) - 1), J125)</f>
        <v>Munich</v>
      </c>
      <c r="AA125" s="20" t="str">
        <f>VLOOKUP(Table47[[#This Row],[ToSite-UPSName]],Table1[[Company or Name]:[NOTES]],2,FALSE)</f>
        <v>Germany</v>
      </c>
      <c r="AB125" s="20" t="str">
        <f>IFERROR(VLOOKUP(Table47[[#This Row],[ToSite-UPSName]], Table1[[#All],[Company or Name]:[Delivery Address]],20,FALSE),"")</f>
        <v>Leopoldstrasse 5, Institut fuer Infektions- und Tropenmedizin, Munich, 80802, Germany</v>
      </c>
      <c r="AC125" s="20" t="str">
        <f>TEXT(Table47[[#This Row],[Shipping Date (SD-14)]]+3,"YYYY-MM-DD")</f>
        <v>2025-09-26</v>
      </c>
      <c r="AD125" s="20" t="str">
        <f>_xlfn.XLOOKUP(Table47[[#This Row],[Type]],kits!C:C,kits!D:D,"",0)</f>
        <v>boxcontentlabel_template_outbound1.docx</v>
      </c>
    </row>
    <row r="126" spans="2:30" ht="13.5" customHeight="1" x14ac:dyDescent="0.25">
      <c r="B126" s="13">
        <v>37</v>
      </c>
      <c r="C126" s="14" t="s">
        <v>1271</v>
      </c>
      <c r="D126" s="13">
        <v>1</v>
      </c>
      <c r="E126" s="22">
        <v>45937</v>
      </c>
      <c r="F126" s="83">
        <f>_xlfn.LET(
    _xlpm.baseDate, Table47[[#This Row],[Confirmed Sampling Date]] - 14,
    _xlpm.weekdayNum, WEEKDAY(_xlpm.baseDate, 2),
    IF(_xlpm.weekdayNum = 6, _xlpm.baseDate + 2, IF(_xlpm.weekdayNum = 7, _xlpm.baseDate + 1, _xlpm.baseDate))
)</f>
        <v>45923</v>
      </c>
      <c r="G126" s="13">
        <f>IFERROR(WEEKNUM(Table47[[#This Row],[Shipping Date (SD-14)]]),"TBD")</f>
        <v>39</v>
      </c>
      <c r="H126" s="13" t="str">
        <f>IFERROR(TEXT(Table47[[#This Row],[Shipping Date (SD-14)]],"yyyy-mm"),"TBD")</f>
        <v>2025-09</v>
      </c>
      <c r="I126" s="13" t="s">
        <v>677</v>
      </c>
      <c r="J126" s="13" t="str">
        <f>IFERROR(VLOOKUP(Table47[[#This Row],[ToSite-UPSName]],Table1[[#All],[Company or Name]:[Delivery Address]],15,FALSE),"")</f>
        <v>Frankfurt WWTP</v>
      </c>
      <c r="K126" s="13" t="str">
        <f>IFERROR(VLOOKUP(Table47[[#This Row],[ToSite-UPSName]],Table1[[#All],[Company or Name]:[Delivery Address]],16,FALSE),"")</f>
        <v>Frankfurt Airport</v>
      </c>
      <c r="L126" s="13" t="str">
        <f>IFERROR(VLOOKUP(Table47[[#This Row],[ToSite-UPSName]],Table1[[#All],[Company or Name]:[Delivery Address]],17,FALSE),"")</f>
        <v>-</v>
      </c>
      <c r="M126" s="13" t="str">
        <f>IFERROR(VLOOKUP(Table47[[#This Row],[ToSite-UPSName]],Table1[[#All],[Company or Name]:[Delivery Address]],18,FALSE),"")</f>
        <v>-</v>
      </c>
      <c r="N126" s="13" t="str">
        <f>IFERROR(VLOOKUP(Table47[[#This Row],[ToSite-UPSName]],Table1[[#All],[Company or Name]:[Delivery Address]],19,FALSE),"")</f>
        <v>-</v>
      </c>
      <c r="O126" s="13"/>
      <c r="P126" s="13" t="s">
        <v>692</v>
      </c>
      <c r="Q126" s="13"/>
      <c r="R126" s="13"/>
      <c r="S126" s="64" t="s">
        <v>813</v>
      </c>
      <c r="T126" s="64" t="s">
        <v>1610</v>
      </c>
      <c r="U126" s="13" t="s">
        <v>125</v>
      </c>
      <c r="V126" s="13" t="s">
        <v>856</v>
      </c>
      <c r="X126" s="13"/>
      <c r="Y126" s="20" t="str">
        <f>TEXT(Table47[[#This Row],[Confirmed Sampling Date]], "yyyy") &amp; "_" &amp; TEXT(Table47[[#This Row],[Confirmed Sampling Date]], "mm") &amp; "_" &amp; TEXT(Table47[[#This Row],[Confirmed Sampling Date]], "dd")</f>
        <v>2025_10_07</v>
      </c>
      <c r="Z126" s="20" t="str">
        <f>IFERROR(LEFT(J126, FIND(" ", J126) - 1), J126)</f>
        <v>Frankfurt</v>
      </c>
      <c r="AA126" s="20" t="str">
        <f>VLOOKUP(Table47[[#This Row],[ToSite-UPSName]],Table1[[Company or Name]:[NOTES]],2,FALSE)</f>
        <v>Germany</v>
      </c>
      <c r="AB126" s="20" t="str">
        <f>IFERROR(VLOOKUP(Table47[[#This Row],[ToSite-UPSName]], Table1[[#All],[Company or Name]:[Delivery Address]],20,FALSE),"")</f>
        <v>Goldsteinstraße 160, Gebäude 71 , Frankfurt am Main , 60528, Germany</v>
      </c>
      <c r="AC126" s="20" t="str">
        <f>TEXT(Table47[[#This Row],[Shipping Date (SD-14)]]+3,"YYYY-MM-DD")</f>
        <v>2025-09-26</v>
      </c>
      <c r="AD126" s="20" t="str">
        <f>_xlfn.XLOOKUP(Table47[[#This Row],[Type]],kits!C:C,kits!D:D,"",0)</f>
        <v>boxcontentlabel_template_outbound1.docx</v>
      </c>
    </row>
    <row r="127" spans="2:30" ht="14.1" customHeight="1" x14ac:dyDescent="0.25">
      <c r="B127" s="13">
        <v>105</v>
      </c>
      <c r="C127" s="14" t="s">
        <v>1271</v>
      </c>
      <c r="D127" s="13">
        <v>4</v>
      </c>
      <c r="E127" s="34">
        <v>45937</v>
      </c>
      <c r="F127" s="34">
        <f>_xlfn.LET(
    _xlpm.baseDate, Table47[[#This Row],[Confirmed Sampling Date]] - 14,
    _xlpm.weekdayNum, WEEKDAY(_xlpm.baseDate, 2),
    IF(_xlpm.weekdayNum = 6, _xlpm.baseDate + 2, IF(_xlpm.weekdayNum = 7, _xlpm.baseDate + 1, _xlpm.baseDate))
)</f>
        <v>45923</v>
      </c>
      <c r="G127" s="20">
        <f>IFERROR(WEEKNUM(Table47[[#This Row],[Shipping Date (SD-14)]]),"TBD")</f>
        <v>39</v>
      </c>
      <c r="H127" s="20" t="str">
        <f>IFERROR(TEXT(Table47[[#This Row],[Shipping Date (SD-14)]],"yyyy-mm"),"TBD")</f>
        <v>2025-09</v>
      </c>
      <c r="I127" s="13" t="s">
        <v>877</v>
      </c>
      <c r="J127" s="20" t="str">
        <f>IFERROR(VLOOKUP(Table47[[#This Row],[ToSite-UPSName]],Table1[[#All],[Company or Name]:[Delivery Address]],15,FALSE),"")</f>
        <v>Prague National Institute</v>
      </c>
      <c r="K127" s="20" t="str">
        <f>IFERROR(VLOOKUP(Table47[[#This Row],[ToSite-UPSName]],Table1[[#All],[Company or Name]:[Delivery Address]],16,FALSE),"")</f>
        <v>Prague WWTP FLOW 1</v>
      </c>
      <c r="L127" s="13" t="str">
        <f>IFERROR(VLOOKUP(Table47[[#This Row],[ToSite-UPSName]],Table1[[#All],[Company or Name]:[Delivery Address]],17,FALSE),"")</f>
        <v>Prague WWTP FLOW 2</v>
      </c>
      <c r="M127" s="20" t="str">
        <f>IFERROR(VLOOKUP(Table47[[#This Row],[ToSite-UPSName]],Table1[[#All],[Company or Name]:[Delivery Address]],18,FALSE),"")</f>
        <v>Prague Airport</v>
      </c>
      <c r="N127" s="20" t="str">
        <f>IFERROR(VLOOKUP(Table47[[#This Row],[ToSite-UPSName]],Table1[[#All],[Company or Name]:[Delivery Address]],19,FALSE),"")</f>
        <v>Prague Hospital</v>
      </c>
      <c r="O127" s="13"/>
      <c r="P127" s="13" t="s">
        <v>692</v>
      </c>
      <c r="Q127" s="20"/>
      <c r="R127" s="20"/>
      <c r="S127" s="64" t="s">
        <v>813</v>
      </c>
      <c r="T127" s="65" t="s">
        <v>1611</v>
      </c>
      <c r="U127" s="13" t="s">
        <v>125</v>
      </c>
      <c r="V127" s="13" t="s">
        <v>856</v>
      </c>
      <c r="X127" s="13"/>
      <c r="Y127" s="20" t="str">
        <f>TEXT(Table47[[#This Row],[Confirmed Sampling Date]], "yyyy") &amp; "_" &amp; TEXT(Table47[[#This Row],[Confirmed Sampling Date]], "mm") &amp; "_" &amp; TEXT(Table47[[#This Row],[Confirmed Sampling Date]], "dd")</f>
        <v>2025_10_07</v>
      </c>
      <c r="Z127" s="20" t="str">
        <f>IFERROR(LEFT(J127, FIND(" ", J127) - 1), J127)</f>
        <v>Prague</v>
      </c>
      <c r="AA127" s="20" t="str">
        <f>VLOOKUP(Table47[[#This Row],[ToSite-UPSName]],Table1[[Company or Name]:[NOTES]],2,FALSE)</f>
        <v>Czech Republic</v>
      </c>
      <c r="AB127" s="20" t="str">
        <f>IFERROR(VLOOKUP(Table47[[#This Row],[ToSite-UPSName]], Table1[[#All],[Company or Name]:[Delivery Address]],20,FALSE),"")</f>
        <v>Šrobárova 49/48, Státní zdravotní ústav, Praha, 100 00, Czech Republic</v>
      </c>
      <c r="AC127" s="20" t="str">
        <f>TEXT(Table47[[#This Row],[Shipping Date (SD-14)]]+3,"YYYY-MM-DD")</f>
        <v>2025-09-26</v>
      </c>
      <c r="AD127" s="20" t="str">
        <f>_xlfn.XLOOKUP(Table47[[#This Row],[Type]],kits!C:C,kits!D:D,"",0)</f>
        <v>boxcontentlabel_template_outbound1.docx</v>
      </c>
    </row>
    <row r="128" spans="2:30" ht="13.5" customHeight="1" x14ac:dyDescent="0.25">
      <c r="B128" s="13">
        <v>118</v>
      </c>
      <c r="C128" s="14" t="s">
        <v>1271</v>
      </c>
      <c r="D128" s="13">
        <v>2</v>
      </c>
      <c r="E128" s="34">
        <v>45937</v>
      </c>
      <c r="F128" s="34">
        <f>_xlfn.LET(
    _xlpm.baseDate, Table47[[#This Row],[Confirmed Sampling Date]] - 14,
    _xlpm.weekdayNum, WEEKDAY(_xlpm.baseDate, 2),
    IF(_xlpm.weekdayNum = 6, _xlpm.baseDate + 2, IF(_xlpm.weekdayNum = 7, _xlpm.baseDate + 1, _xlpm.baseDate))
)</f>
        <v>45923</v>
      </c>
      <c r="G128" s="20">
        <f>IFERROR(WEEKNUM(Table47[[#This Row],[Shipping Date (SD-14)]]),"TBD")</f>
        <v>39</v>
      </c>
      <c r="H128" s="20" t="str">
        <f>IFERROR(TEXT(Table47[[#This Row],[Shipping Date (SD-14)]],"yyyy-mm"),"TBD")</f>
        <v>2025-09</v>
      </c>
      <c r="I128" s="13" t="s">
        <v>779</v>
      </c>
      <c r="J128" s="20" t="str">
        <f>IFERROR(VLOOKUP(Table47[[#This Row],[ToSite-UPSName]],Table1[[#All],[Company or Name]:[Delivery Address]],15,FALSE),"")</f>
        <v>Larnaca WWTP</v>
      </c>
      <c r="K128" s="20" t="str">
        <f>IFERROR(VLOOKUP(Table47[[#This Row],[ToSite-UPSName]],Table1[[#All],[Company or Name]:[Delivery Address]],16,FALSE),"")</f>
        <v>Larnaca Airport</v>
      </c>
      <c r="L128" s="20"/>
      <c r="M128" s="20">
        <f>IFERROR(VLOOKUP(Table47[[#This Row],[ToSite-UPSName]],Table1[[#All],[Company or Name]:[Delivery Address]],18,FALSE),"")</f>
        <v>0</v>
      </c>
      <c r="N128" s="20">
        <f>IFERROR(VLOOKUP(Table47[[#This Row],[ToSite-UPSName]],Table1[[#All],[Company or Name]:[Delivery Address]],19,FALSE),"")</f>
        <v>0</v>
      </c>
      <c r="O128" s="13"/>
      <c r="P128" s="13" t="s">
        <v>692</v>
      </c>
      <c r="Q128" s="20"/>
      <c r="R128" s="20"/>
      <c r="S128" s="64" t="s">
        <v>813</v>
      </c>
      <c r="T128" s="65" t="s">
        <v>1612</v>
      </c>
      <c r="U128" s="13" t="s">
        <v>125</v>
      </c>
      <c r="V128" s="13" t="s">
        <v>856</v>
      </c>
      <c r="X128" s="13"/>
      <c r="Y128" s="20" t="str">
        <f>TEXT(Table47[[#This Row],[Confirmed Sampling Date]], "yyyy") &amp; "_" &amp; TEXT(Table47[[#This Row],[Confirmed Sampling Date]], "mm") &amp; "_" &amp; TEXT(Table47[[#This Row],[Confirmed Sampling Date]], "dd")</f>
        <v>2025_10_07</v>
      </c>
      <c r="Z128" s="20" t="str">
        <f>IFERROR(LEFT(J128, FIND(" ", J128) - 1), J128)</f>
        <v>Larnaca</v>
      </c>
      <c r="AA128" s="20" t="str">
        <f>VLOOKUP(Table47[[#This Row],[ToSite-UPSName]],Table1[[Company or Name]:[NOTES]],2,FALSE)</f>
        <v>Cyprus</v>
      </c>
      <c r="AB128" s="20" t="str">
        <f>IFERROR(VLOOKUP(Table47[[#This Row],[ToSite-UPSName]], Table1[[#All],[Company or Name]:[Delivery Address]],20,FALSE),"")</f>
        <v>Adamantiou Korai street 12, Larnaca District Local Government Organization offices, Larnaca, 6010, Cyprus</v>
      </c>
      <c r="AC128" s="20" t="str">
        <f>TEXT(Table47[[#This Row],[Shipping Date (SD-14)]]+3,"YYYY-MM-DD")</f>
        <v>2025-09-26</v>
      </c>
      <c r="AD128" s="20" t="str">
        <f>_xlfn.XLOOKUP(Table47[[#This Row],[Type]],kits!C:C,kits!D:D,"",0)</f>
        <v>boxcontentlabel_template_outbound1.docx</v>
      </c>
    </row>
    <row r="129" spans="2:30" ht="14.1" customHeight="1" x14ac:dyDescent="0.25">
      <c r="B129" s="13">
        <v>130</v>
      </c>
      <c r="C129" s="14" t="s">
        <v>1271</v>
      </c>
      <c r="D129" s="13">
        <v>2</v>
      </c>
      <c r="E129" s="34">
        <v>45937</v>
      </c>
      <c r="F129" s="34">
        <f>_xlfn.LET(
    _xlpm.baseDate, Table47[[#This Row],[Confirmed Sampling Date]] - 14,
    _xlpm.weekdayNum, WEEKDAY(_xlpm.baseDate, 2),
    IF(_xlpm.weekdayNum = 6, _xlpm.baseDate + 2, IF(_xlpm.weekdayNum = 7, _xlpm.baseDate + 1, _xlpm.baseDate))
)</f>
        <v>45923</v>
      </c>
      <c r="G129" s="20">
        <f>IFERROR(WEEKNUM(Table47[[#This Row],[Shipping Date (SD-14)]]),"TBD")</f>
        <v>39</v>
      </c>
      <c r="H129" s="20" t="str">
        <f>IFERROR(TEXT(Table47[[#This Row],[Shipping Date (SD-14)]],"yyyy-mm"),"TBD")</f>
        <v>2025-09</v>
      </c>
      <c r="I129" s="13" t="s">
        <v>863</v>
      </c>
      <c r="J129" s="20" t="str">
        <f>IFERROR(VLOOKUP(Table47[[#This Row],[ToSite-UPSName]],Table1[[#All],[Company or Name]:[Delivery Address]],15,FALSE),"")</f>
        <v>Dusseldorf WWTP 2101</v>
      </c>
      <c r="K129" s="20" t="str">
        <f>IFERROR(VLOOKUP(Table47[[#This Row],[ToSite-UPSName]],Table1[[#All],[Company or Name]:[Delivery Address]],16,FALSE),"")</f>
        <v>Dusseldorf WWTP 601</v>
      </c>
      <c r="L129" s="20"/>
      <c r="M129" s="20">
        <f>IFERROR(VLOOKUP(Table47[[#This Row],[ToSite-UPSName]],Table1[[#All],[Company or Name]:[Delivery Address]],18,FALSE),"")</f>
        <v>0</v>
      </c>
      <c r="N129" s="20">
        <f>IFERROR(VLOOKUP(Table47[[#This Row],[ToSite-UPSName]],Table1[[#All],[Company or Name]:[Delivery Address]],19,FALSE),"")</f>
        <v>0</v>
      </c>
      <c r="O129" s="13"/>
      <c r="P129" s="13" t="s">
        <v>692</v>
      </c>
      <c r="Q129" s="20"/>
      <c r="R129" s="20"/>
      <c r="S129" s="65" t="s">
        <v>813</v>
      </c>
      <c r="T129" s="20" t="s">
        <v>1613</v>
      </c>
      <c r="U129" s="13" t="s">
        <v>125</v>
      </c>
      <c r="V129" s="13" t="s">
        <v>856</v>
      </c>
      <c r="X129" s="13"/>
      <c r="Y129" s="20" t="str">
        <f>TEXT(Table47[[#This Row],[Confirmed Sampling Date]], "yyyy") &amp; "_" &amp; TEXT(Table47[[#This Row],[Confirmed Sampling Date]], "mm") &amp; "_" &amp; TEXT(Table47[[#This Row],[Confirmed Sampling Date]], "dd")</f>
        <v>2025_10_07</v>
      </c>
      <c r="Z129" s="20" t="str">
        <f>IFERROR(LEFT(J129, FIND(" ", J129) - 1), J129)</f>
        <v>Dusseldorf</v>
      </c>
      <c r="AA129" s="20" t="str">
        <f>VLOOKUP(Table47[[#This Row],[ToSite-UPSName]],Table1[[Company or Name]:[NOTES]],2,FALSE)</f>
        <v>Germany</v>
      </c>
      <c r="AB129" s="20" t="str">
        <f>IFERROR(VLOOKUP(Table47[[#This Row],[ToSite-UPSName]], Table1[[#All],[Company or Name]:[Delivery Address]],20,FALSE),"")</f>
        <v>Auf dem Draap 15, Chemisch-Biologische Laboratorien, Dusseldorf, 40221, Germany</v>
      </c>
      <c r="AC129" s="20" t="str">
        <f>TEXT(Table47[[#This Row],[Shipping Date (SD-14)]]+3,"YYYY-MM-DD")</f>
        <v>2025-09-26</v>
      </c>
      <c r="AD129" s="20" t="str">
        <f>_xlfn.XLOOKUP(Table47[[#This Row],[Type]],kits!C:C,kits!D:D,"",0)</f>
        <v>boxcontentlabel_template_outbound1.docx</v>
      </c>
    </row>
    <row r="130" spans="2:30" ht="14.1" customHeight="1" x14ac:dyDescent="0.25">
      <c r="B130" s="13">
        <v>142</v>
      </c>
      <c r="C130" s="14" t="s">
        <v>1271</v>
      </c>
      <c r="D130" s="13">
        <v>3</v>
      </c>
      <c r="E130" s="83">
        <v>45937</v>
      </c>
      <c r="F130" s="34">
        <f>_xlfn.LET(
    _xlpm.baseDate, Table47[[#This Row],[Confirmed Sampling Date]] - 14,
    _xlpm.weekdayNum, WEEKDAY(_xlpm.baseDate, 2),
    IF(_xlpm.weekdayNum = 6, _xlpm.baseDate + 2, IF(_xlpm.weekdayNum = 7, _xlpm.baseDate + 1, _xlpm.baseDate))
)</f>
        <v>45923</v>
      </c>
      <c r="G130" s="20">
        <f>IFERROR(WEEKNUM(Table47[[#This Row],[Shipping Date (SD-14)]]),"TBD")</f>
        <v>39</v>
      </c>
      <c r="H130" s="20" t="str">
        <f>IFERROR(TEXT(Table47[[#This Row],[Shipping Date (SD-14)]],"yyyy-mm"),"TBD")</f>
        <v>2025-09</v>
      </c>
      <c r="I130" s="13" t="s">
        <v>975</v>
      </c>
      <c r="J130" s="20" t="str">
        <f>IFERROR(VLOOKUP(Table47[[#This Row],[ToSite-UPSName]],Table1[[#All],[Company or Name]:[Delivery Address]],15,FALSE),"")</f>
        <v>Vilnius WWTP</v>
      </c>
      <c r="K130" s="20" t="str">
        <f>IFERROR(VLOOKUP(Table47[[#This Row],[ToSite-UPSName]],Table1[[#All],[Company or Name]:[Delivery Address]],16,FALSE),"")</f>
        <v>Vilnius Bus Terminal</v>
      </c>
      <c r="L130" s="20"/>
      <c r="M130" s="20">
        <f>IFERROR(VLOOKUP(Table47[[#This Row],[ToSite-UPSName]],Table1[[#All],[Company or Name]:[Delivery Address]],18,FALSE),"")</f>
        <v>0</v>
      </c>
      <c r="N130" s="20">
        <f>IFERROR(VLOOKUP(Table47[[#This Row],[ToSite-UPSName]],Table1[[#All],[Company or Name]:[Delivery Address]],19,FALSE),"")</f>
        <v>0</v>
      </c>
      <c r="O130" s="13"/>
      <c r="P130" s="13" t="s">
        <v>692</v>
      </c>
      <c r="Q130" s="20"/>
      <c r="R130" s="20"/>
      <c r="S130" s="65" t="s">
        <v>813</v>
      </c>
      <c r="T130" s="37" t="s">
        <v>1614</v>
      </c>
      <c r="U130" s="13" t="s">
        <v>125</v>
      </c>
      <c r="V130" s="13" t="s">
        <v>856</v>
      </c>
      <c r="X130" s="13"/>
      <c r="Y130" s="20" t="str">
        <f>TEXT(Table47[[#This Row],[Confirmed Sampling Date]], "yyyy") &amp; "_" &amp; TEXT(Table47[[#This Row],[Confirmed Sampling Date]], "mm") &amp; "_" &amp; TEXT(Table47[[#This Row],[Confirmed Sampling Date]], "dd")</f>
        <v>2025_10_07</v>
      </c>
      <c r="Z130" s="20" t="str">
        <f>IFERROR(LEFT(J130, FIND(" ", J130) - 1), J130)</f>
        <v>Vilnius</v>
      </c>
      <c r="AA130" s="20" t="str">
        <f>VLOOKUP(Table47[[#This Row],[ToSite-UPSName]],Table1[[Company or Name]:[NOTES]],2,FALSE)</f>
        <v>Lithuania</v>
      </c>
      <c r="AB130" s="20" t="str">
        <f>IFERROR(VLOOKUP(Table47[[#This Row],[ToSite-UPSName]], Table1[[#All],[Company or Name]:[Delivery Address]],20,FALSE),"")</f>
        <v>Zolyno 36 gatve, Vilnius, 10210, Lithuania</v>
      </c>
      <c r="AC130" s="20" t="str">
        <f>TEXT(Table47[[#This Row],[Shipping Date (SD-14)]]+3,"YYYY-MM-DD")</f>
        <v>2025-09-26</v>
      </c>
      <c r="AD130" s="20" t="str">
        <f>_xlfn.XLOOKUP(Table47[[#This Row],[Type]],kits!C:C,kits!D:D,"",0)</f>
        <v>boxcontentlabel_template_outbound1.docx</v>
      </c>
    </row>
    <row r="131" spans="2:30" ht="14.1" customHeight="1" x14ac:dyDescent="0.25">
      <c r="B131" s="13">
        <v>170</v>
      </c>
      <c r="C131" s="14" t="s">
        <v>1271</v>
      </c>
      <c r="D131" s="13">
        <v>1</v>
      </c>
      <c r="E131" s="34">
        <v>45937</v>
      </c>
      <c r="F131" s="34">
        <f>_xlfn.LET(
    _xlpm.baseDate, Table47[[#This Row],[Confirmed Sampling Date]] - 14,
    _xlpm.weekdayNum, WEEKDAY(_xlpm.baseDate, 2),
    IF(_xlpm.weekdayNum = 6, _xlpm.baseDate + 2, IF(_xlpm.weekdayNum = 7, _xlpm.baseDate + 1, _xlpm.baseDate))
)</f>
        <v>45923</v>
      </c>
      <c r="G131" s="20">
        <f>IFERROR(WEEKNUM(Table47[[#This Row],[Shipping Date (SD-14)]]),"TBD")</f>
        <v>39</v>
      </c>
      <c r="H131" s="20" t="str">
        <f>IFERROR(TEXT(Table47[[#This Row],[Shipping Date (SD-14)]],"yyyy-mm"),"TBD")</f>
        <v>2025-09</v>
      </c>
      <c r="I131" s="78" t="s">
        <v>1125</v>
      </c>
      <c r="J131" s="20" t="str">
        <f>IFERROR(VLOOKUP(Table47[[#This Row],[ToSite-UPSName]],Table1[[#All],[Company or Name]:[Delivery Address]],15,FALSE),"")</f>
        <v>Cluj-SCBI</v>
      </c>
      <c r="K131" s="20" t="str">
        <f>IFERROR(VLOOKUP(Table47[[#This Row],[ToSite-UPSName]],Table1[[#All],[Company or Name]:[Delivery Address]],16,FALSE),"")</f>
        <v>-</v>
      </c>
      <c r="L131" s="20"/>
      <c r="M131" s="20" t="str">
        <f>IFERROR(VLOOKUP(Table47[[#This Row],[ToSite-UPSName]],Table1[[#All],[Company or Name]:[Delivery Address]],18,FALSE),"")</f>
        <v>-</v>
      </c>
      <c r="N131" s="20" t="str">
        <f>IFERROR(VLOOKUP(Table47[[#This Row],[ToSite-UPSName]],Table1[[#All],[Company or Name]:[Delivery Address]],19,FALSE),"")</f>
        <v>-</v>
      </c>
      <c r="O131" s="13"/>
      <c r="P131" s="13" t="s">
        <v>692</v>
      </c>
      <c r="Q131" s="20"/>
      <c r="R131" s="20"/>
      <c r="S131" s="65" t="s">
        <v>813</v>
      </c>
      <c r="T131" s="20" t="s">
        <v>1616</v>
      </c>
      <c r="U131" s="13" t="s">
        <v>125</v>
      </c>
      <c r="V131" s="13" t="s">
        <v>856</v>
      </c>
      <c r="X131" s="13"/>
      <c r="Y131" s="20" t="str">
        <f>TEXT(Table47[[#This Row],[Confirmed Sampling Date]], "yyyy") &amp; "_" &amp; TEXT(Table47[[#This Row],[Confirmed Sampling Date]], "mm") &amp; "_" &amp; TEXT(Table47[[#This Row],[Confirmed Sampling Date]], "dd")</f>
        <v>2025_10_07</v>
      </c>
      <c r="Z131" s="20" t="str">
        <f>IFERROR(LEFT(J131, FIND(" ", J131) - 1), J131)</f>
        <v>Cluj-SCBI</v>
      </c>
      <c r="AA131" s="20" t="str">
        <f>VLOOKUP(Table47[[#This Row],[ToSite-UPSName]],Table1[[Company or Name]:[NOTES]],2,FALSE)</f>
        <v>Romania</v>
      </c>
      <c r="AB131" s="20" t="str">
        <f>IFERROR(VLOOKUP(Table47[[#This Row],[ToSite-UPSName]], Table1[[#All],[Company or Name]:[Delivery Address]],20,FALSE),"")</f>
        <v>Strada Iuliu Moldovan 23, Cluj-Napoca, 400003, Romania</v>
      </c>
      <c r="AC131" s="20" t="str">
        <f>TEXT(Table47[[#This Row],[Shipping Date (SD-14)]]+3,"YYYY-MM-DD")</f>
        <v>2025-09-26</v>
      </c>
      <c r="AD131" s="20" t="str">
        <f>_xlfn.XLOOKUP(Table47[[#This Row],[Type]],kits!C:C,kits!D:D,"",0)</f>
        <v>boxcontentlabel_template_outbound1.docx</v>
      </c>
    </row>
    <row r="132" spans="2:30" ht="14.1" customHeight="1" x14ac:dyDescent="0.25">
      <c r="B132" s="13">
        <v>179</v>
      </c>
      <c r="C132" s="14" t="s">
        <v>1271</v>
      </c>
      <c r="D132" s="13">
        <v>1</v>
      </c>
      <c r="E132" s="83">
        <v>45937</v>
      </c>
      <c r="F132" s="34">
        <f>_xlfn.LET(
    _xlpm.baseDate, Table47[[#This Row],[Confirmed Sampling Date]] - 14,
    _xlpm.weekdayNum, WEEKDAY(_xlpm.baseDate, 2),
    IF(_xlpm.weekdayNum = 6, _xlpm.baseDate + 2, IF(_xlpm.weekdayNum = 7, _xlpm.baseDate + 1, _xlpm.baseDate))
)</f>
        <v>45923</v>
      </c>
      <c r="G132" s="20">
        <f>IFERROR(WEEKNUM(Table47[[#This Row],[Shipping Date (SD-14)]]),"TBD")</f>
        <v>39</v>
      </c>
      <c r="H132" s="20" t="str">
        <f>IFERROR(TEXT(Table47[[#This Row],[Shipping Date (SD-14)]],"yyyy-mm"),"TBD")</f>
        <v>2025-09</v>
      </c>
      <c r="I132" s="78" t="s">
        <v>1132</v>
      </c>
      <c r="J132" s="20" t="str">
        <f>IFERROR(VLOOKUP(Table47[[#This Row],[ToSite-UPSName]],Table1[[#All],[Company or Name]:[Delivery Address]],15,FALSE),"")</f>
        <v>Cluj-MNC</v>
      </c>
      <c r="K132" s="20" t="str">
        <f>IFERROR(VLOOKUP(Table47[[#This Row],[ToSite-UPSName]],Table1[[#All],[Company or Name]:[Delivery Address]],16,FALSE),"")</f>
        <v>-</v>
      </c>
      <c r="L132" s="20"/>
      <c r="M132" s="20" t="str">
        <f>IFERROR(VLOOKUP(Table47[[#This Row],[ToSite-UPSName]],Table1[[#All],[Company or Name]:[Delivery Address]],18,FALSE),"")</f>
        <v>-</v>
      </c>
      <c r="N132" s="20" t="str">
        <f>IFERROR(VLOOKUP(Table47[[#This Row],[ToSite-UPSName]],Table1[[#All],[Company or Name]:[Delivery Address]],19,FALSE),"")</f>
        <v>-</v>
      </c>
      <c r="O132" s="13"/>
      <c r="P132" s="13" t="s">
        <v>692</v>
      </c>
      <c r="Q132" s="20"/>
      <c r="R132" s="20"/>
      <c r="S132" s="101" t="s">
        <v>813</v>
      </c>
      <c r="T132" s="101" t="s">
        <v>1617</v>
      </c>
      <c r="U132" s="13" t="s">
        <v>125</v>
      </c>
      <c r="V132" s="13" t="s">
        <v>856</v>
      </c>
      <c r="X132" s="13"/>
      <c r="Y132" s="20" t="str">
        <f>TEXT(Table47[[#This Row],[Confirmed Sampling Date]], "yyyy") &amp; "_" &amp; TEXT(Table47[[#This Row],[Confirmed Sampling Date]], "mm") &amp; "_" &amp; TEXT(Table47[[#This Row],[Confirmed Sampling Date]], "dd")</f>
        <v>2025_10_07</v>
      </c>
      <c r="Z132" s="20" t="str">
        <f>IFERROR(LEFT(J132, FIND(" ", J132) - 1), J132)</f>
        <v>Cluj-MNC</v>
      </c>
      <c r="AA132" s="20" t="str">
        <f>VLOOKUP(Table47[[#This Row],[ToSite-UPSName]],Table1[[Company or Name]:[NOTES]],2,FALSE)</f>
        <v>Romania</v>
      </c>
      <c r="AB132" s="20" t="str">
        <f>IFERROR(VLOOKUP(Table47[[#This Row],[ToSite-UPSName]], Table1[[#All],[Company or Name]:[Delivery Address]],20,FALSE),"")</f>
        <v>Strada Tăbăcarilor 11, Cluj-Napoca, 400139, Romania</v>
      </c>
      <c r="AC132" s="20" t="str">
        <f>TEXT(Table47[[#This Row],[Shipping Date (SD-14)]]+3,"YYYY-MM-DD")</f>
        <v>2025-09-26</v>
      </c>
      <c r="AD132" s="20" t="str">
        <f>_xlfn.XLOOKUP(Table47[[#This Row],[Type]],kits!C:C,kits!D:D,"",0)</f>
        <v>boxcontentlabel_template_outbound1.docx</v>
      </c>
    </row>
    <row r="133" spans="2:30" ht="14.1" customHeight="1" x14ac:dyDescent="0.25">
      <c r="B133" s="13">
        <v>247</v>
      </c>
      <c r="C133" s="14" t="s">
        <v>1550</v>
      </c>
      <c r="D133" s="13">
        <v>1</v>
      </c>
      <c r="E133" s="34">
        <v>45937</v>
      </c>
      <c r="F133" s="34">
        <f>_xlfn.LET(
    _xlpm.baseDate, Table47[[#This Row],[Confirmed Sampling Date]] - 14,
    _xlpm.weekdayNum, WEEKDAY(_xlpm.baseDate, 2),
    IF(_xlpm.weekdayNum = 6, _xlpm.baseDate + 2, IF(_xlpm.weekdayNum = 7, _xlpm.baseDate + 1, _xlpm.baseDate))
)</f>
        <v>45923</v>
      </c>
      <c r="G133" s="20">
        <f>IFERROR(WEEKNUM(Table47[[#This Row],[Shipping Date (SD-14)]]),"TBD")</f>
        <v>39</v>
      </c>
      <c r="H133" s="20" t="str">
        <f>IFERROR(TEXT(Table47[[#This Row],[Shipping Date (SD-14)]],"yyyy-mm"),"TBD")</f>
        <v>2025-09</v>
      </c>
      <c r="I133" s="13" t="s">
        <v>1132</v>
      </c>
      <c r="J133" s="20" t="str">
        <f>IFERROR(VLOOKUP(Table47[[#This Row],[ToSite-UPSName]],Table1[[#All],[Company or Name]:[Delivery Address]],15,FALSE),"")</f>
        <v>Cluj-MNC</v>
      </c>
      <c r="K133" s="20" t="str">
        <f>IFERROR(VLOOKUP(Table47[[#This Row],[ToSite-UPSName]],Table1[[#All],[Company or Name]:[Delivery Address]],16,FALSE),"")</f>
        <v>-</v>
      </c>
      <c r="L133" s="20"/>
      <c r="M133" s="20" t="str">
        <f>IFERROR(VLOOKUP(Table47[[#This Row],[ToSite-UPSName]],Table1[[#All],[Company or Name]:[Delivery Address]],18,FALSE),"")</f>
        <v>-</v>
      </c>
      <c r="N133" s="20" t="str">
        <f>IFERROR(VLOOKUP(Table47[[#This Row],[ToSite-UPSName]],Table1[[#All],[Company or Name]:[Delivery Address]],19,FALSE),"")</f>
        <v>-</v>
      </c>
      <c r="O133" s="13"/>
      <c r="P133" s="20" t="s">
        <v>692</v>
      </c>
      <c r="Q133" s="20"/>
      <c r="R133" s="20"/>
      <c r="S133" s="101" t="s">
        <v>813</v>
      </c>
      <c r="T133" s="20" t="s">
        <v>1829</v>
      </c>
      <c r="U133" s="13" t="s">
        <v>125</v>
      </c>
      <c r="V133" s="13" t="s">
        <v>856</v>
      </c>
      <c r="X133" s="13"/>
      <c r="Y133" s="20" t="str">
        <f>TEXT(Table47[[#This Row],[Confirmed Sampling Date]], "yyyy") &amp; "_" &amp; TEXT(Table47[[#This Row],[Confirmed Sampling Date]], "mm") &amp; "_" &amp; TEXT(Table47[[#This Row],[Confirmed Sampling Date]], "dd")</f>
        <v>2025_10_07</v>
      </c>
      <c r="Z133" s="20" t="str">
        <f>IFERROR(LEFT(J133, FIND(" ", J133) - 1), J133)</f>
        <v>Cluj-MNC</v>
      </c>
      <c r="AA133" s="20" t="str">
        <f>VLOOKUP(Table47[[#This Row],[ToSite-UPSName]],Table1[[Company or Name]:[NOTES]],2,FALSE)</f>
        <v>Romania</v>
      </c>
      <c r="AB133" s="20" t="str">
        <f>IFERROR(VLOOKUP(Table47[[#This Row],[ToSite-UPSName]], Table1[[#All],[Company or Name]:[Delivery Address]],20,FALSE),"")</f>
        <v>Strada Tăbăcarilor 11, Cluj-Napoca, 400139, Romania</v>
      </c>
      <c r="AC133" s="20" t="str">
        <f>TEXT(Table47[[#This Row],[Shipping Date (SD-14)]]+3,"YYYY-MM-DD")</f>
        <v>2025-09-26</v>
      </c>
      <c r="AD133" s="20" t="str">
        <f>_xlfn.XLOOKUP(Table47[[#This Row],[Type]],kits!C:C,kits!D:D,"",0)</f>
        <v>boxcontentlabel_template_outbound1.docx</v>
      </c>
    </row>
    <row r="134" spans="2:30" ht="14.1" customHeight="1" x14ac:dyDescent="0.25">
      <c r="B134" s="13">
        <v>78</v>
      </c>
      <c r="C134" s="14" t="s">
        <v>1271</v>
      </c>
      <c r="D134" s="13">
        <v>1</v>
      </c>
      <c r="E134" s="22">
        <v>45938</v>
      </c>
      <c r="F134" s="34">
        <f>_xlfn.LET(
    _xlpm.baseDate, Table47[[#This Row],[Confirmed Sampling Date]] - 14,
    _xlpm.weekdayNum, WEEKDAY(_xlpm.baseDate, 2),
    IF(_xlpm.weekdayNum = 6, _xlpm.baseDate + 2, IF(_xlpm.weekdayNum = 7, _xlpm.baseDate + 1, _xlpm.baseDate))
)</f>
        <v>45924</v>
      </c>
      <c r="G134" s="20">
        <f>IFERROR(WEEKNUM(Table47[[#This Row],[Shipping Date (SD-14)]]),"TBD")</f>
        <v>39</v>
      </c>
      <c r="H134" s="20" t="str">
        <f>IFERROR(TEXT(Table47[[#This Row],[Shipping Date (SD-14)]],"yyyy-mm"),"TBD")</f>
        <v>2025-09</v>
      </c>
      <c r="I134" s="13" t="s">
        <v>680</v>
      </c>
      <c r="J134" s="13" t="str">
        <f>IFERROR(VLOOKUP(Table47[[#This Row],[ToSite-UPSName]],Table1[[#All],[Company or Name]:[Delivery Address]],15,FALSE),"")</f>
        <v>Rome WWTP</v>
      </c>
      <c r="K134" s="20" t="str">
        <f>IFERROR(VLOOKUP(Table47[[#This Row],[ToSite-UPSName]],Table1[[#All],[Company or Name]:[Delivery Address]],16,FALSE),"")</f>
        <v>-</v>
      </c>
      <c r="L134" s="13" t="str">
        <f>IFERROR(VLOOKUP(Table47[[#This Row],[ToSite-UPSName]],Table1[[#All],[Company or Name]:[Delivery Address]],17,FALSE),"")</f>
        <v>-</v>
      </c>
      <c r="M134" s="20" t="str">
        <f>IFERROR(VLOOKUP(Table47[[#This Row],[ToSite-UPSName]],Table1[[#All],[Company or Name]:[Delivery Address]],18,FALSE),"")</f>
        <v>-</v>
      </c>
      <c r="N134" s="20" t="str">
        <f>IFERROR(VLOOKUP(Table47[[#This Row],[ToSite-UPSName]],Table1[[#All],[Company or Name]:[Delivery Address]],19,FALSE),"")</f>
        <v>-</v>
      </c>
      <c r="O134" s="13"/>
      <c r="P134" s="13" t="s">
        <v>692</v>
      </c>
      <c r="Q134" s="20"/>
      <c r="R134" s="20"/>
      <c r="S134" s="101" t="s">
        <v>813</v>
      </c>
      <c r="T134" s="101" t="s">
        <v>1622</v>
      </c>
      <c r="U134" s="13" t="s">
        <v>125</v>
      </c>
      <c r="V134" s="13" t="s">
        <v>856</v>
      </c>
      <c r="X134" s="13"/>
      <c r="Y134" s="20" t="str">
        <f>TEXT(Table47[[#This Row],[Confirmed Sampling Date]], "yyyy") &amp; "_" &amp; TEXT(Table47[[#This Row],[Confirmed Sampling Date]], "mm") &amp; "_" &amp; TEXT(Table47[[#This Row],[Confirmed Sampling Date]], "dd")</f>
        <v>2025_10_08</v>
      </c>
      <c r="Z134" s="20" t="str">
        <f>IFERROR(LEFT(J134, FIND(" ", J134) - 1), J134)</f>
        <v>Rome</v>
      </c>
      <c r="AA134" s="20" t="str">
        <f>VLOOKUP(Table47[[#This Row],[ToSite-UPSName]],Table1[[Company or Name]:[NOTES]],2,FALSE)</f>
        <v>Italy</v>
      </c>
      <c r="AB134" s="20" t="str">
        <f>IFERROR(VLOOKUP(Table47[[#This Row],[ToSite-UPSName]], Table1[[#All],[Company or Name]:[Delivery Address]],20,FALSE),"")</f>
        <v>Via dell'Equitazione 10, Rome, 00144, Italy</v>
      </c>
      <c r="AC134" s="20" t="str">
        <f>TEXT(Table47[[#This Row],[Shipping Date (SD-14)]]+3,"YYYY-MM-DD")</f>
        <v>2025-09-27</v>
      </c>
      <c r="AD134" s="20" t="str">
        <f>_xlfn.XLOOKUP(Table47[[#This Row],[Type]],kits!C:C,kits!D:D,"",0)</f>
        <v>boxcontentlabel_template_outbound1.docx</v>
      </c>
    </row>
    <row r="135" spans="2:30" ht="14.1" customHeight="1" x14ac:dyDescent="0.25">
      <c r="B135" s="13">
        <v>92</v>
      </c>
      <c r="C135" s="14" t="s">
        <v>1271</v>
      </c>
      <c r="D135" s="13">
        <v>1</v>
      </c>
      <c r="E135" s="22">
        <v>45938</v>
      </c>
      <c r="F135" s="34">
        <f>_xlfn.LET(
    _xlpm.baseDate, Table47[[#This Row],[Confirmed Sampling Date]] - 14,
    _xlpm.weekdayNum, WEEKDAY(_xlpm.baseDate, 2),
    IF(_xlpm.weekdayNum = 6, _xlpm.baseDate + 2, IF(_xlpm.weekdayNum = 7, _xlpm.baseDate + 1, _xlpm.baseDate))
)</f>
        <v>45924</v>
      </c>
      <c r="G135" s="20">
        <f>IFERROR(WEEKNUM(Table47[[#This Row],[Shipping Date (SD-14)]]),"TBD")</f>
        <v>39</v>
      </c>
      <c r="H135" s="20" t="str">
        <f>IFERROR(TEXT(Table47[[#This Row],[Shipping Date (SD-14)]],"yyyy-mm"),"TBD")</f>
        <v>2025-09</v>
      </c>
      <c r="I135" s="13" t="s">
        <v>771</v>
      </c>
      <c r="J135" s="20" t="str">
        <f>IFERROR(VLOOKUP(Table47[[#This Row],[ToSite-UPSName]],Table1[[#All],[Company or Name]:[Delivery Address]],15,FALSE),"")</f>
        <v>RomeAirport</v>
      </c>
      <c r="K135" s="20" t="str">
        <f>IFERROR(VLOOKUP(Table47[[#This Row],[ToSite-UPSName]],Table1[[#All],[Company or Name]:[Delivery Address]],16,FALSE),"")</f>
        <v>-</v>
      </c>
      <c r="L135" s="13" t="str">
        <f>IFERROR(VLOOKUP(Table47[[#This Row],[ToSite-UPSName]],Table1[[#All],[Company or Name]:[Delivery Address]],17,FALSE),"")</f>
        <v>-</v>
      </c>
      <c r="M135" s="20" t="str">
        <f>IFERROR(VLOOKUP(Table47[[#This Row],[ToSite-UPSName]],Table1[[#All],[Company or Name]:[Delivery Address]],18,FALSE),"")</f>
        <v>-</v>
      </c>
      <c r="N135" s="20" t="str">
        <f>IFERROR(VLOOKUP(Table47[[#This Row],[ToSite-UPSName]],Table1[[#All],[Company or Name]:[Delivery Address]],19,FALSE),"")</f>
        <v>-</v>
      </c>
      <c r="O135" s="13"/>
      <c r="P135" s="13" t="s">
        <v>692</v>
      </c>
      <c r="Q135" s="20"/>
      <c r="R135" s="20"/>
      <c r="S135" s="101" t="s">
        <v>813</v>
      </c>
      <c r="T135" s="65" t="s">
        <v>1623</v>
      </c>
      <c r="U135" s="13" t="s">
        <v>125</v>
      </c>
      <c r="V135" s="13" t="s">
        <v>856</v>
      </c>
      <c r="X135" s="13"/>
      <c r="Y135" s="20" t="str">
        <f>TEXT(Table47[[#This Row],[Confirmed Sampling Date]], "yyyy") &amp; "_" &amp; TEXT(Table47[[#This Row],[Confirmed Sampling Date]], "mm") &amp; "_" &amp; TEXT(Table47[[#This Row],[Confirmed Sampling Date]], "dd")</f>
        <v>2025_10_08</v>
      </c>
      <c r="Z135" s="20" t="str">
        <f>IFERROR(LEFT(J135, FIND(" ", J135) - 1), J135)</f>
        <v>RomeAirport</v>
      </c>
      <c r="AA135" s="20" t="str">
        <f>VLOOKUP(Table47[[#This Row],[ToSite-UPSName]],Table1[[Company or Name]:[NOTES]],2,FALSE)</f>
        <v>Italy</v>
      </c>
      <c r="AB135" s="20" t="str">
        <f>IFERROR(VLOOKUP(Table47[[#This Row],[ToSite-UPSName]], Table1[[#All],[Company or Name]:[Delivery Address]],20,FALSE),"")</f>
        <v>VIA FRATELLI WRIGHT (DEPURATORE BIOLOGICO), FIUMICINO, 00054, Italy</v>
      </c>
      <c r="AC135" s="20" t="str">
        <f>TEXT(Table47[[#This Row],[Shipping Date (SD-14)]]+3,"YYYY-MM-DD")</f>
        <v>2025-09-27</v>
      </c>
      <c r="AD135" s="20" t="str">
        <f>_xlfn.XLOOKUP(Table47[[#This Row],[Type]],kits!C:C,kits!D:D,"",0)</f>
        <v>boxcontentlabel_template_outbound1.docx</v>
      </c>
    </row>
    <row r="136" spans="2:30" ht="14.1" customHeight="1" x14ac:dyDescent="0.25">
      <c r="B136" s="13">
        <v>152</v>
      </c>
      <c r="C136" s="14" t="s">
        <v>1271</v>
      </c>
      <c r="D136" s="13">
        <v>20</v>
      </c>
      <c r="E136" s="80">
        <v>45938</v>
      </c>
      <c r="F136" s="34">
        <f>_xlfn.LET(
    _xlpm.baseDate, Table47[[#This Row],[Confirmed Sampling Date]] - 14,
    _xlpm.weekdayNum, WEEKDAY(_xlpm.baseDate, 2),
    IF(_xlpm.weekdayNum = 6, _xlpm.baseDate + 2, IF(_xlpm.weekdayNum = 7, _xlpm.baseDate + 1, _xlpm.baseDate))
)</f>
        <v>45924</v>
      </c>
      <c r="G136" s="20">
        <f>IFERROR(WEEKNUM(Table47[[#This Row],[Shipping Date (SD-14)]]),"TBD")</f>
        <v>39</v>
      </c>
      <c r="H136" s="20" t="str">
        <f>IFERROR(TEXT(Table47[[#This Row],[Shipping Date (SD-14)]],"yyyy-mm"),"TBD")</f>
        <v>2025-09</v>
      </c>
      <c r="I136" s="78" t="s">
        <v>1628</v>
      </c>
      <c r="J136" s="20" t="str">
        <f>IFERROR(VLOOKUP(Table47[[#This Row],[ToSite-UPSName]],Table1[[#All],[Company or Name]:[Delivery Address]],15,FALSE),"")</f>
        <v>Funchal WWTP</v>
      </c>
      <c r="K136" s="20" t="str">
        <f>IFERROR(VLOOKUP(Table47[[#This Row],[ToSite-UPSName]],Table1[[#All],[Company or Name]:[Delivery Address]],16,FALSE),"")</f>
        <v>Madeira, 10 locations</v>
      </c>
      <c r="L136" s="20"/>
      <c r="M136" s="20">
        <f>IFERROR(VLOOKUP(Table47[[#This Row],[ToSite-UPSName]],Table1[[#All],[Company or Name]:[Delivery Address]],18,FALSE),"")</f>
        <v>0</v>
      </c>
      <c r="N136" s="20">
        <f>IFERROR(VLOOKUP(Table47[[#This Row],[ToSite-UPSName]],Table1[[#All],[Company or Name]:[Delivery Address]],19,FALSE),"")</f>
        <v>0</v>
      </c>
      <c r="O136" s="13"/>
      <c r="P136" s="20" t="s">
        <v>692</v>
      </c>
      <c r="Q136" s="20"/>
      <c r="R136" s="20"/>
      <c r="S136" s="65" t="s">
        <v>813</v>
      </c>
      <c r="T136" s="65" t="s">
        <v>1626</v>
      </c>
      <c r="U136" s="13" t="s">
        <v>125</v>
      </c>
      <c r="V136" s="13" t="s">
        <v>856</v>
      </c>
      <c r="X136" s="13"/>
      <c r="Y136" s="20" t="str">
        <f>TEXT(Table47[[#This Row],[Confirmed Sampling Date]], "yyyy") &amp; "_" &amp; TEXT(Table47[[#This Row],[Confirmed Sampling Date]], "mm") &amp; "_" &amp; TEXT(Table47[[#This Row],[Confirmed Sampling Date]], "dd")</f>
        <v>2025_10_08</v>
      </c>
      <c r="Z136" s="20" t="str">
        <f>IFERROR(LEFT(J136, FIND(" ", J136) - 1), J136)</f>
        <v>Funchal</v>
      </c>
      <c r="AA136" s="20" t="str">
        <f>VLOOKUP(Table47[[#This Row],[ToSite-UPSName]],Table1[[Company or Name]:[NOTES]],2,FALSE)</f>
        <v>Portugal</v>
      </c>
      <c r="AB136" s="20" t="str">
        <f>IFERROR(VLOOKUP(Table47[[#This Row],[ToSite-UPSName]], Table1[[#All],[Company or Name]:[Delivery Address]],20,FALSE),"")</f>
        <v>R. do Matadouro 4, Funchal, 9050-100, Portugal</v>
      </c>
      <c r="AC136" s="20" t="str">
        <f>TEXT(Table47[[#This Row],[Shipping Date (SD-14)]]+3,"YYYY-MM-DD")</f>
        <v>2025-09-27</v>
      </c>
      <c r="AD136" s="20" t="str">
        <f>_xlfn.XLOOKUP(Table47[[#This Row],[Type]],kits!C:C,kits!D:D,"",0)</f>
        <v>boxcontentlabel_template_outbound1.docx</v>
      </c>
    </row>
    <row r="137" spans="2:30" ht="14.1" customHeight="1" x14ac:dyDescent="0.25">
      <c r="B137" s="13">
        <v>196</v>
      </c>
      <c r="C137" s="85" t="s">
        <v>1272</v>
      </c>
      <c r="D137" s="13">
        <v>4</v>
      </c>
      <c r="E137" s="83">
        <v>45938</v>
      </c>
      <c r="F137" s="34">
        <f>_xlfn.LET(
    _xlpm.baseDate, Table47[[#This Row],[Confirmed Sampling Date]] - 14,
    _xlpm.weekdayNum, WEEKDAY(_xlpm.baseDate, 2),
    IF(_xlpm.weekdayNum = 6, _xlpm.baseDate + 2, IF(_xlpm.weekdayNum = 7, _xlpm.baseDate + 1, _xlpm.baseDate))
)</f>
        <v>45924</v>
      </c>
      <c r="G137" s="20">
        <f>IFERROR(WEEKNUM(Table47[[#This Row],[Shipping Date (SD-14)]]),"TBD")</f>
        <v>39</v>
      </c>
      <c r="H137" s="20" t="str">
        <f>IFERROR(TEXT(Table47[[#This Row],[Shipping Date (SD-14)]],"yyyy-mm"),"TBD")</f>
        <v>2025-09</v>
      </c>
      <c r="I137" s="13" t="s">
        <v>1628</v>
      </c>
      <c r="J137" s="20" t="str">
        <f>IFERROR(VLOOKUP(Table47[[#This Row],[ToSite-UPSName]],Table1[[#All],[Company or Name]:[Delivery Address]],15,FALSE),"")</f>
        <v>Funchal WWTP</v>
      </c>
      <c r="K137" s="20" t="str">
        <f>IFERROR(VLOOKUP(Table47[[#This Row],[ToSite-UPSName]],Table1[[#All],[Company or Name]:[Delivery Address]],16,FALSE),"")</f>
        <v>Madeira, 10 locations</v>
      </c>
      <c r="L137" s="20"/>
      <c r="M137" s="20">
        <f>IFERROR(VLOOKUP(Table47[[#This Row],[ToSite-UPSName]],Table1[[#All],[Company or Name]:[Delivery Address]],18,FALSE),"")</f>
        <v>0</v>
      </c>
      <c r="N137" s="20">
        <f>IFERROR(VLOOKUP(Table47[[#This Row],[ToSite-UPSName]],Table1[[#All],[Company or Name]:[Delivery Address]],19,FALSE),"")</f>
        <v>0</v>
      </c>
      <c r="O137" s="13"/>
      <c r="P137" s="20" t="s">
        <v>692</v>
      </c>
      <c r="Q137" s="20"/>
      <c r="R137" s="20"/>
      <c r="S137" s="65" t="s">
        <v>813</v>
      </c>
      <c r="T137" s="65" t="s">
        <v>1627</v>
      </c>
      <c r="U137" s="13" t="s">
        <v>125</v>
      </c>
      <c r="V137" s="13" t="s">
        <v>856</v>
      </c>
      <c r="X137" s="13"/>
      <c r="Y137" s="20" t="str">
        <f>TEXT(Table47[[#This Row],[Confirmed Sampling Date]], "yyyy") &amp; "_" &amp; TEXT(Table47[[#This Row],[Confirmed Sampling Date]], "mm") &amp; "_" &amp; TEXT(Table47[[#This Row],[Confirmed Sampling Date]], "dd")</f>
        <v>2025_10_08</v>
      </c>
      <c r="Z137" s="20" t="str">
        <f>IFERROR(LEFT(J137, FIND(" ", J137) - 1), J137)</f>
        <v>Funchal</v>
      </c>
      <c r="AA137" s="20" t="str">
        <f>VLOOKUP(Table47[[#This Row],[ToSite-UPSName]],Table1[[Company or Name]:[NOTES]],2,FALSE)</f>
        <v>Portugal</v>
      </c>
      <c r="AB137" s="20" t="str">
        <f>IFERROR(VLOOKUP(Table47[[#This Row],[ToSite-UPSName]], Table1[[#All],[Company or Name]:[Delivery Address]],20,FALSE),"")</f>
        <v>R. do Matadouro 4, Funchal, 9050-100, Portugal</v>
      </c>
      <c r="AC137" s="20" t="str">
        <f>TEXT(Table47[[#This Row],[Shipping Date (SD-14)]]+3,"YYYY-MM-DD")</f>
        <v>2025-09-27</v>
      </c>
      <c r="AD137" s="20" t="str">
        <f>_xlfn.XLOOKUP(Table47[[#This Row],[Type]],kits!C:C,kits!D:D,"",0)</f>
        <v>boxcontentlabel_template_outbound2.docx</v>
      </c>
    </row>
    <row r="138" spans="2:30" ht="14.1" customHeight="1" x14ac:dyDescent="0.25">
      <c r="B138" s="13">
        <v>221</v>
      </c>
      <c r="C138" s="14" t="s">
        <v>1271</v>
      </c>
      <c r="D138" s="13">
        <v>2</v>
      </c>
      <c r="E138" s="34">
        <v>45938</v>
      </c>
      <c r="F138" s="34">
        <f>_xlfn.LET(
    _xlpm.baseDate, Table47[[#This Row],[Confirmed Sampling Date]] - 14,
    _xlpm.weekdayNum, WEEKDAY(_xlpm.baseDate, 2),
    IF(_xlpm.weekdayNum = 6, _xlpm.baseDate + 2, IF(_xlpm.weekdayNum = 7, _xlpm.baseDate + 1, _xlpm.baseDate))
)</f>
        <v>45924</v>
      </c>
      <c r="G138" s="20">
        <f>IFERROR(WEEKNUM(Table47[[#This Row],[Shipping Date (SD-14)]]),"TBD")</f>
        <v>39</v>
      </c>
      <c r="H138" s="20" t="str">
        <f>IFERROR(TEXT(Table47[[#This Row],[Shipping Date (SD-14)]],"yyyy-mm"),"TBD")</f>
        <v>2025-09</v>
      </c>
      <c r="I138" s="13" t="s">
        <v>1590</v>
      </c>
      <c r="J138" s="20" t="str">
        <f>IFERROR(VLOOKUP(Table47[[#This Row],[ToSite-UPSName]],Table1[[#All],[Company or Name]:[Delivery Address]],15,FALSE),"")</f>
        <v>Àthens WWTP</v>
      </c>
      <c r="K138" s="20" t="str">
        <f>IFERROR(VLOOKUP(Table47[[#This Row],[ToSite-UPSName]],Table1[[#All],[Company or Name]:[Delivery Address]],16,FALSE),"")</f>
        <v>Athens Airport</v>
      </c>
      <c r="L138" s="20"/>
      <c r="M138" s="20" t="str">
        <f>IFERROR(VLOOKUP(Table47[[#This Row],[ToSite-UPSName]],Table1[[#All],[Company or Name]:[Delivery Address]],18,FALSE),"")</f>
        <v>-</v>
      </c>
      <c r="N138" s="20" t="str">
        <f>IFERROR(VLOOKUP(Table47[[#This Row],[ToSite-UPSName]],Table1[[#All],[Company or Name]:[Delivery Address]],19,FALSE),"")</f>
        <v>-</v>
      </c>
      <c r="O138" s="13"/>
      <c r="P138" s="20" t="s">
        <v>692</v>
      </c>
      <c r="Q138" s="20"/>
      <c r="R138" s="20"/>
      <c r="S138" s="65" t="s">
        <v>813</v>
      </c>
      <c r="T138" s="20" t="s">
        <v>1629</v>
      </c>
      <c r="U138" s="13" t="s">
        <v>125</v>
      </c>
      <c r="V138" s="13" t="s">
        <v>856</v>
      </c>
      <c r="X138" s="13"/>
      <c r="Y138" s="20" t="str">
        <f>TEXT(Table47[[#This Row],[Confirmed Sampling Date]], "yyyy") &amp; "_" &amp; TEXT(Table47[[#This Row],[Confirmed Sampling Date]], "mm") &amp; "_" &amp; TEXT(Table47[[#This Row],[Confirmed Sampling Date]], "dd")</f>
        <v>2025_10_08</v>
      </c>
      <c r="Z138" s="20" t="str">
        <f>IFERROR(LEFT(J138, FIND(" ", J138) - 1), J138)</f>
        <v>Àthens</v>
      </c>
      <c r="AA138" s="20" t="str">
        <f>VLOOKUP(Table47[[#This Row],[ToSite-UPSName]],Table1[[Company or Name]:[NOTES]],2,FALSE)</f>
        <v>Greece</v>
      </c>
      <c r="AB138" s="20" t="str">
        <f>IFERROR(VLOOKUP(Table47[[#This Row],[ToSite-UPSName]], Table1[[#All],[Company or Name]:[Delivery Address]],20,FALSE),"")</f>
        <v>Zografou, 4ος όροφος, εργαστήριο αριθμός 8, Athens,  157 71, Greece</v>
      </c>
      <c r="AC138" s="20" t="str">
        <f>TEXT(Table47[[#This Row],[Shipping Date (SD-14)]]+3,"YYYY-MM-DD")</f>
        <v>2025-09-27</v>
      </c>
      <c r="AD138" s="20" t="str">
        <f>_xlfn.XLOOKUP(Table47[[#This Row],[Type]],kits!C:C,kits!D:D,"",0)</f>
        <v>boxcontentlabel_template_outbound1.docx</v>
      </c>
    </row>
    <row r="139" spans="2:30" ht="14.1" customHeight="1" x14ac:dyDescent="0.25">
      <c r="B139" s="13">
        <v>241</v>
      </c>
      <c r="C139" s="14" t="s">
        <v>1271</v>
      </c>
      <c r="D139" s="13">
        <v>2</v>
      </c>
      <c r="E139" s="83">
        <v>45938</v>
      </c>
      <c r="F139" s="34">
        <f>_xlfn.LET(
    _xlpm.baseDate, Table47[[#This Row],[Confirmed Sampling Date]] - 14,
    _xlpm.weekdayNum, WEEKDAY(_xlpm.baseDate, 2),
    IF(_xlpm.weekdayNum = 6, _xlpm.baseDate + 2, IF(_xlpm.weekdayNum = 7, _xlpm.baseDate + 1, _xlpm.baseDate))
)</f>
        <v>45924</v>
      </c>
      <c r="G139" s="20">
        <f>IFERROR(WEEKNUM(Table47[[#This Row],[Shipping Date (SD-14)]]),"TBD")</f>
        <v>39</v>
      </c>
      <c r="H139" s="20" t="str">
        <f>IFERROR(TEXT(Table47[[#This Row],[Shipping Date (SD-14)]],"yyyy-mm"),"TBD")</f>
        <v>2025-09</v>
      </c>
      <c r="I139" s="13" t="s">
        <v>637</v>
      </c>
      <c r="J139" s="20" t="str">
        <f>IFERROR(VLOOKUP(Table47[[#This Row],[ToSite-UPSName]],Table1[[#All],[Company or Name]:[Delivery Address]],15,FALSE),"")</f>
        <v>Luxembourg (Beggen) WWTP</v>
      </c>
      <c r="K139" s="20" t="str">
        <f>IFERROR(VLOOKUP(Table47[[#This Row],[ToSite-UPSName]],Table1[[#All],[Company or Name]:[Delivery Address]],16,FALSE),"")</f>
        <v>Luxembourg Airport</v>
      </c>
      <c r="L139" s="20"/>
      <c r="M139" s="20" t="str">
        <f>IFERROR(VLOOKUP(Table47[[#This Row],[ToSite-UPSName]],Table1[[#All],[Company or Name]:[Delivery Address]],18,FALSE),"")</f>
        <v>-</v>
      </c>
      <c r="N139" s="20" t="str">
        <f>IFERROR(VLOOKUP(Table47[[#This Row],[ToSite-UPSName]],Table1[[#All],[Company or Name]:[Delivery Address]],19,FALSE),"")</f>
        <v>-</v>
      </c>
      <c r="O139" s="13"/>
      <c r="P139" s="20" t="s">
        <v>692</v>
      </c>
      <c r="Q139" s="20"/>
      <c r="R139" s="20"/>
      <c r="S139" s="65" t="s">
        <v>892</v>
      </c>
      <c r="T139" s="65" t="s">
        <v>1815</v>
      </c>
      <c r="U139" s="13" t="s">
        <v>125</v>
      </c>
      <c r="V139" s="13" t="s">
        <v>856</v>
      </c>
      <c r="X139" s="13"/>
      <c r="Y139" s="20" t="str">
        <f>TEXT(Table47[[#This Row],[Confirmed Sampling Date]], "yyyy") &amp; "_" &amp; TEXT(Table47[[#This Row],[Confirmed Sampling Date]], "mm") &amp; "_" &amp; TEXT(Table47[[#This Row],[Confirmed Sampling Date]], "dd")</f>
        <v>2025_10_08</v>
      </c>
      <c r="Z139" s="20" t="str">
        <f>IFERROR(LEFT(J139, FIND(" ", J139) - 1), J139)</f>
        <v>Luxembourg</v>
      </c>
      <c r="AA139" s="20" t="str">
        <f>VLOOKUP(Table47[[#This Row],[ToSite-UPSName]],Table1[[Company or Name]:[NOTES]],2,FALSE)</f>
        <v>Luxembourg</v>
      </c>
      <c r="AB139" s="20" t="str">
        <f>IFERROR(VLOOKUP(Table47[[#This Row],[ToSite-UPSName]], Table1[[#All],[Company or Name]:[Delivery Address]],20,FALSE),"")</f>
        <v>41 rue du Brill, Luxembourg, L-4422 , Luxembourg</v>
      </c>
      <c r="AC139" s="20" t="str">
        <f>TEXT(Table47[[#This Row],[Shipping Date (SD-14)]]+3,"YYYY-MM-DD")</f>
        <v>2025-09-27</v>
      </c>
      <c r="AD139" s="20" t="str">
        <f>_xlfn.XLOOKUP(Table47[[#This Row],[Type]],kits!C:C,kits!D:D,"",0)</f>
        <v>boxcontentlabel_template_outbound1.docx</v>
      </c>
    </row>
    <row r="140" spans="2:30" ht="14.1" customHeight="1" x14ac:dyDescent="0.25">
      <c r="B140" s="13">
        <v>228</v>
      </c>
      <c r="C140" s="14" t="s">
        <v>1271</v>
      </c>
      <c r="D140" s="13">
        <v>2</v>
      </c>
      <c r="E140" s="34">
        <v>45939</v>
      </c>
      <c r="F140" s="34">
        <f>_xlfn.LET(
    _xlpm.baseDate, Table47[[#This Row],[Confirmed Sampling Date]] - 14,
    _xlpm.weekdayNum, WEEKDAY(_xlpm.baseDate, 2),
    IF(_xlpm.weekdayNum = 6, _xlpm.baseDate + 2, IF(_xlpm.weekdayNum = 7, _xlpm.baseDate + 1, _xlpm.baseDate))
)</f>
        <v>45925</v>
      </c>
      <c r="G140" s="20">
        <f>IFERROR(WEEKNUM(Table47[[#This Row],[Shipping Date (SD-14)]]),"TBD")</f>
        <v>39</v>
      </c>
      <c r="H140" s="20" t="str">
        <f>IFERROR(TEXT(Table47[[#This Row],[Shipping Date (SD-14)]],"yyyy-mm"),"TBD")</f>
        <v>2025-09</v>
      </c>
      <c r="I140" s="13" t="s">
        <v>1598</v>
      </c>
      <c r="J140" s="20" t="str">
        <f>IFERROR(VLOOKUP(Table47[[#This Row],[ToSite-UPSName]],Table1[[#All],[Company or Name]:[Delivery Address]],15,FALSE),"")</f>
        <v>Heraklion WWTP</v>
      </c>
      <c r="K140" s="20" t="str">
        <f>IFERROR(VLOOKUP(Table47[[#This Row],[ToSite-UPSName]],Table1[[#All],[Company or Name]:[Delivery Address]],16,FALSE),"")</f>
        <v>Heraklion Airport</v>
      </c>
      <c r="L140" s="20"/>
      <c r="M140" s="20" t="str">
        <f>IFERROR(VLOOKUP(Table47[[#This Row],[ToSite-UPSName]],Table1[[#All],[Company or Name]:[Delivery Address]],18,FALSE),"")</f>
        <v>-</v>
      </c>
      <c r="N140" s="20" t="str">
        <f>IFERROR(VLOOKUP(Table47[[#This Row],[ToSite-UPSName]],Table1[[#All],[Company or Name]:[Delivery Address]],19,FALSE),"")</f>
        <v>-</v>
      </c>
      <c r="O140" s="13"/>
      <c r="P140" s="20" t="s">
        <v>692</v>
      </c>
      <c r="Q140" s="20"/>
      <c r="R140" s="20"/>
      <c r="S140" s="65" t="s">
        <v>813</v>
      </c>
      <c r="T140" s="37" t="s">
        <v>1702</v>
      </c>
      <c r="U140" s="13" t="s">
        <v>125</v>
      </c>
      <c r="V140" s="13" t="s">
        <v>856</v>
      </c>
      <c r="X140" s="13" t="s">
        <v>1935</v>
      </c>
      <c r="Y140" s="20" t="str">
        <f>TEXT(Table47[[#This Row],[Confirmed Sampling Date]], "yyyy") &amp; "_" &amp; TEXT(Table47[[#This Row],[Confirmed Sampling Date]], "mm") &amp; "_" &amp; TEXT(Table47[[#This Row],[Confirmed Sampling Date]], "dd")</f>
        <v>2025_10_09</v>
      </c>
      <c r="Z140" s="20" t="str">
        <f>IFERROR(LEFT(J140, FIND(" ", J140) - 1), J140)</f>
        <v>Heraklion</v>
      </c>
      <c r="AA140" s="20" t="str">
        <f>VLOOKUP(Table47[[#This Row],[ToSite-UPSName]],Table1[[Company or Name]:[NOTES]],2,FALSE)</f>
        <v>Greece</v>
      </c>
      <c r="AB140" s="20" t="str">
        <f>IFERROR(VLOOKUP(Table47[[#This Row],[ToSite-UPSName]], Table1[[#All],[Company or Name]:[Delivery Address]],20,FALSE),"")</f>
        <v>Andrea Kalokerinou 13, Pteryga 3D, Giofirakia, 715 00, Greece</v>
      </c>
      <c r="AC140" s="20" t="str">
        <f>TEXT(Table47[[#This Row],[Shipping Date (SD-14)]]+3,"YYYY-MM-DD")</f>
        <v>2025-09-28</v>
      </c>
      <c r="AD140" s="20" t="str">
        <f>_xlfn.XLOOKUP(Table47[[#This Row],[Type]],kits!C:C,kits!D:D,"",0)</f>
        <v>boxcontentlabel_template_outbound1.docx</v>
      </c>
    </row>
    <row r="141" spans="2:30" ht="14.1" customHeight="1" x14ac:dyDescent="0.25">
      <c r="B141" s="13">
        <v>252</v>
      </c>
      <c r="C141" s="14" t="s">
        <v>1271</v>
      </c>
      <c r="D141" s="13">
        <v>2</v>
      </c>
      <c r="E141" s="83">
        <v>45939</v>
      </c>
      <c r="F141" s="34">
        <f>_xlfn.LET(
    _xlpm.baseDate, Table47[[#This Row],[Confirmed Sampling Date]] - 14,
    _xlpm.weekdayNum, WEEKDAY(_xlpm.baseDate, 2),
    IF(_xlpm.weekdayNum = 6, _xlpm.baseDate + 2, IF(_xlpm.weekdayNum = 7, _xlpm.baseDate + 1, _xlpm.baseDate))
)</f>
        <v>45925</v>
      </c>
      <c r="G141" s="20">
        <f>IFERROR(WEEKNUM(Table47[[#This Row],[Shipping Date (SD-14)]]),"TBD")</f>
        <v>39</v>
      </c>
      <c r="H141" s="20" t="str">
        <f>IFERROR(TEXT(Table47[[#This Row],[Shipping Date (SD-14)]],"yyyy-mm"),"TBD")</f>
        <v>2025-09</v>
      </c>
      <c r="I141" s="13" t="s">
        <v>1598</v>
      </c>
      <c r="J141" s="20" t="str">
        <f>IFERROR(VLOOKUP(Table47[[#This Row],[ToSite-UPSName]],Table1[[#All],[Company or Name]:[Delivery Address]],15,FALSE),"")</f>
        <v>Heraklion WWTP</v>
      </c>
      <c r="K141" s="20" t="str">
        <f>IFERROR(VLOOKUP(Table47[[#This Row],[ToSite-UPSName]],Table1[[#All],[Company or Name]:[Delivery Address]],16,FALSE),"")</f>
        <v>Heraklion Airport</v>
      </c>
      <c r="L141" s="20"/>
      <c r="M141" s="20" t="str">
        <f>IFERROR(VLOOKUP(Table47[[#This Row],[ToSite-UPSName]],Table1[[#All],[Company or Name]:[Delivery Address]],18,FALSE),"")</f>
        <v>-</v>
      </c>
      <c r="N141" s="20" t="str">
        <f>IFERROR(VLOOKUP(Table47[[#This Row],[ToSite-UPSName]],Table1[[#All],[Company or Name]:[Delivery Address]],19,FALSE),"")</f>
        <v>-</v>
      </c>
      <c r="O141" s="13"/>
      <c r="P141" s="20" t="s">
        <v>692</v>
      </c>
      <c r="Q141" s="20"/>
      <c r="R141" s="20"/>
      <c r="S141" s="20" t="s">
        <v>813</v>
      </c>
      <c r="T141" s="126">
        <v>8449595910</v>
      </c>
      <c r="U141" s="20" t="s">
        <v>125</v>
      </c>
      <c r="V141" s="13" t="s">
        <v>1937</v>
      </c>
      <c r="X141" s="13"/>
      <c r="Y141" s="20" t="str">
        <f>TEXT(Table47[[#This Row],[Confirmed Sampling Date]], "yyyy") &amp; "_" &amp; TEXT(Table47[[#This Row],[Confirmed Sampling Date]], "mm") &amp; "_" &amp; TEXT(Table47[[#This Row],[Confirmed Sampling Date]], "dd")</f>
        <v>2025_10_09</v>
      </c>
      <c r="Z141" s="20" t="str">
        <f>IFERROR(LEFT(J141, FIND(" ", J141) - 1), J141)</f>
        <v>Heraklion</v>
      </c>
      <c r="AA141" s="20" t="str">
        <f>VLOOKUP(Table47[[#This Row],[ToSite-UPSName]],Table1[[Company or Name]:[NOTES]],2,FALSE)</f>
        <v>Greece</v>
      </c>
      <c r="AB141" s="20" t="str">
        <f>IFERROR(VLOOKUP(Table47[[#This Row],[ToSite-UPSName]], Table1[[#All],[Company or Name]:[Delivery Address]],20,FALSE),"")</f>
        <v>Andrea Kalokerinou 13, Pteryga 3D, Giofirakia, 715 00, Greece</v>
      </c>
      <c r="AC141" s="20" t="str">
        <f>TEXT(Table47[[#This Row],[Shipping Date (SD-14)]]+3,"YYYY-MM-DD")</f>
        <v>2025-09-28</v>
      </c>
      <c r="AD141" s="20" t="str">
        <f>_xlfn.XLOOKUP(Table47[[#This Row],[Type]],kits!C:C,kits!D:D,"",0)</f>
        <v>boxcontentlabel_template_outbound1.docx</v>
      </c>
    </row>
    <row r="142" spans="2:30" ht="14.1" customHeight="1" x14ac:dyDescent="0.25">
      <c r="B142" s="13">
        <v>10</v>
      </c>
      <c r="C142" s="14" t="s">
        <v>1271</v>
      </c>
      <c r="D142" s="13">
        <v>2</v>
      </c>
      <c r="E142" s="22">
        <v>45949</v>
      </c>
      <c r="F142" s="34">
        <f>_xlfn.LET(
    _xlpm.baseDate, Table47[[#This Row],[Confirmed Sampling Date]] - 14,
    _xlpm.weekdayNum, WEEKDAY(_xlpm.baseDate, 2),
    IF(_xlpm.weekdayNum = 6, _xlpm.baseDate + 2, IF(_xlpm.weekdayNum = 7, _xlpm.baseDate + 1, _xlpm.baseDate))
)</f>
        <v>45936</v>
      </c>
      <c r="G142" s="13">
        <f>IFERROR(WEEKNUM(Table47[[#This Row],[Shipping Date (SD-14)]]),"TBD")</f>
        <v>41</v>
      </c>
      <c r="H142" s="13" t="str">
        <f>IFERROR(TEXT(Table47[[#This Row],[Shipping Date (SD-14)]],"yyyy-mm"),"TBD")</f>
        <v>2025-10</v>
      </c>
      <c r="I142" s="13" t="s">
        <v>13</v>
      </c>
      <c r="J142" s="13" t="str">
        <f>IFERROR(VLOOKUP(Table47[[#This Row],[ToSite-UPSName]],Table1[[#All],[Company or Name]:[Delivery Address]],15,FALSE),"")</f>
        <v>Berlin (Schoenefeld) WWTP</v>
      </c>
      <c r="K142" s="13" t="str">
        <f>IFERROR(VLOOKUP(Table47[[#This Row],[ToSite-UPSName]],Table1[[#All],[Company or Name]:[Delivery Address]],16,FALSE),"")</f>
        <v>Berlin Airport</v>
      </c>
      <c r="L142" s="13" t="str">
        <f>IFERROR(VLOOKUP(Table47[[#This Row],[ToSite-UPSName]],Table1[[#All],[Company or Name]:[Delivery Address]],17,FALSE),"")</f>
        <v>-</v>
      </c>
      <c r="M142" s="13" t="str">
        <f>IFERROR(VLOOKUP(Table47[[#This Row],[ToSite-UPSName]],Table1[[#All],[Company or Name]:[Delivery Address]],18,FALSE),"")</f>
        <v>-</v>
      </c>
      <c r="N142" s="13" t="str">
        <f>IFERROR(VLOOKUP(Table47[[#This Row],[ToSite-UPSName]],Table1[[#All],[Company or Name]:[Delivery Address]],19,FALSE),"")</f>
        <v>-</v>
      </c>
      <c r="O142" s="13"/>
      <c r="P142" s="13" t="s">
        <v>692</v>
      </c>
      <c r="Q142" s="13"/>
      <c r="R142" s="13"/>
      <c r="S142" s="100" t="s">
        <v>813</v>
      </c>
      <c r="T142" s="100" t="s">
        <v>1778</v>
      </c>
      <c r="U142" s="13" t="s">
        <v>125</v>
      </c>
      <c r="V142" s="13" t="s">
        <v>856</v>
      </c>
      <c r="X142" s="13"/>
      <c r="Y142" s="20" t="str">
        <f>TEXT(Table47[[#This Row],[Confirmed Sampling Date]], "yyyy") &amp; "_" &amp; TEXT(Table47[[#This Row],[Confirmed Sampling Date]], "mm") &amp; "_" &amp; TEXT(Table47[[#This Row],[Confirmed Sampling Date]], "dd")</f>
        <v>2025_10_19</v>
      </c>
      <c r="Z142" s="20" t="str">
        <f>IFERROR(LEFT(J142, FIND(" ", J142) - 1), J142)</f>
        <v>Berlin</v>
      </c>
      <c r="AA142" s="20" t="str">
        <f>VLOOKUP(Table47[[#This Row],[ToSite-UPSName]],Table1[[Company or Name]:[NOTES]],2,FALSE)</f>
        <v>Germany</v>
      </c>
      <c r="AB142" s="20" t="str">
        <f>IFERROR(VLOOKUP(Table47[[#This Row],[ToSite-UPSName]], Table1[[#All],[Company or Name]:[Delivery Address]],20,FALSE),"")</f>
        <v>Strasse am Klarwerk 4, Klarwerk Wassmannsdorf, Schoenefeld, 12529, Germany</v>
      </c>
      <c r="AC142" s="20" t="str">
        <f>TEXT(Table47[[#This Row],[Shipping Date (SD-14)]]+3,"YYYY-MM-DD")</f>
        <v>2025-10-09</v>
      </c>
      <c r="AD142" s="20" t="str">
        <f>_xlfn.XLOOKUP(Table47[[#This Row],[Type]],kits!C:C,kits!D:D,"",0)</f>
        <v>boxcontentlabel_template_outbound1.docx</v>
      </c>
    </row>
    <row r="143" spans="2:30" ht="13.5" customHeight="1" x14ac:dyDescent="0.25">
      <c r="B143" s="13">
        <v>205</v>
      </c>
      <c r="C143" s="85" t="s">
        <v>1272</v>
      </c>
      <c r="D143" s="13">
        <v>2</v>
      </c>
      <c r="E143" s="83">
        <v>45949</v>
      </c>
      <c r="F143" s="34">
        <f>_xlfn.LET(
    _xlpm.baseDate, Table47[[#This Row],[Confirmed Sampling Date]] - 14,
    _xlpm.weekdayNum, WEEKDAY(_xlpm.baseDate, 2),
    IF(_xlpm.weekdayNum = 6, _xlpm.baseDate + 2, IF(_xlpm.weekdayNum = 7, _xlpm.baseDate + 1, _xlpm.baseDate))
)</f>
        <v>45936</v>
      </c>
      <c r="G143" s="20">
        <f>IFERROR(WEEKNUM(Table47[[#This Row],[Shipping Date (SD-14)]]),"TBD")</f>
        <v>41</v>
      </c>
      <c r="H143" s="20" t="str">
        <f>IFERROR(TEXT(Table47[[#This Row],[Shipping Date (SD-14)]],"yyyy-mm"),"TBD")</f>
        <v>2025-10</v>
      </c>
      <c r="I143" s="13" t="s">
        <v>13</v>
      </c>
      <c r="J143" s="20" t="str">
        <f>IFERROR(VLOOKUP(Table47[[#This Row],[ToSite-UPSName]],Table1[[#All],[Company or Name]:[Delivery Address]],15,FALSE),"")</f>
        <v>Berlin (Schoenefeld) WWTP</v>
      </c>
      <c r="K143" s="20" t="str">
        <f>IFERROR(VLOOKUP(Table47[[#This Row],[ToSite-UPSName]],Table1[[#All],[Company or Name]:[Delivery Address]],16,FALSE),"")</f>
        <v>Berlin Airport</v>
      </c>
      <c r="L143" s="20"/>
      <c r="M143" s="20" t="str">
        <f>IFERROR(VLOOKUP(Table47[[#This Row],[ToSite-UPSName]],Table1[[#All],[Company or Name]:[Delivery Address]],18,FALSE),"")</f>
        <v>-</v>
      </c>
      <c r="N143" s="20" t="str">
        <f>IFERROR(VLOOKUP(Table47[[#This Row],[ToSite-UPSName]],Table1[[#All],[Company or Name]:[Delivery Address]],19,FALSE),"")</f>
        <v>-</v>
      </c>
      <c r="O143" s="13"/>
      <c r="P143" s="20" t="s">
        <v>692</v>
      </c>
      <c r="Q143" s="20"/>
      <c r="R143" s="20"/>
      <c r="S143" s="64" t="s">
        <v>813</v>
      </c>
      <c r="T143" s="64" t="s">
        <v>1779</v>
      </c>
      <c r="U143" s="13" t="s">
        <v>125</v>
      </c>
      <c r="V143" s="13" t="s">
        <v>856</v>
      </c>
      <c r="X143" s="13"/>
      <c r="Y143" s="20" t="str">
        <f>TEXT(Table47[[#This Row],[Confirmed Sampling Date]], "yyyy") &amp; "_" &amp; TEXT(Table47[[#This Row],[Confirmed Sampling Date]], "mm") &amp; "_" &amp; TEXT(Table47[[#This Row],[Confirmed Sampling Date]], "dd")</f>
        <v>2025_10_19</v>
      </c>
      <c r="Z143" s="20" t="str">
        <f>IFERROR(LEFT(J143, FIND(" ", J143) - 1), J143)</f>
        <v>Berlin</v>
      </c>
      <c r="AA143" s="20" t="str">
        <f>VLOOKUP(Table47[[#This Row],[ToSite-UPSName]],Table1[[Company or Name]:[NOTES]],2,FALSE)</f>
        <v>Germany</v>
      </c>
      <c r="AB143" s="20" t="str">
        <f>IFERROR(VLOOKUP(Table47[[#This Row],[ToSite-UPSName]], Table1[[#All],[Company or Name]:[Delivery Address]],20,FALSE),"")</f>
        <v>Strasse am Klarwerk 4, Klarwerk Wassmannsdorf, Schoenefeld, 12529, Germany</v>
      </c>
      <c r="AC143" s="20" t="str">
        <f>TEXT(Table47[[#This Row],[Shipping Date (SD-14)]]+3,"YYYY-MM-DD")</f>
        <v>2025-10-09</v>
      </c>
      <c r="AD143" s="20" t="str">
        <f>_xlfn.XLOOKUP(Table47[[#This Row],[Type]],kits!C:C,kits!D:D,"",0)</f>
        <v>boxcontentlabel_template_outbound2.docx</v>
      </c>
    </row>
    <row r="144" spans="2:30" ht="14.1" customHeight="1" x14ac:dyDescent="0.25">
      <c r="B144" s="13">
        <v>189</v>
      </c>
      <c r="C144" s="14" t="s">
        <v>1271</v>
      </c>
      <c r="D144" s="13">
        <v>2</v>
      </c>
      <c r="E144" s="83">
        <v>45950</v>
      </c>
      <c r="F144" s="34">
        <f>_xlfn.LET(
    _xlpm.baseDate, Table47[[#This Row],[Confirmed Sampling Date]] - 14,
    _xlpm.weekdayNum, WEEKDAY(_xlpm.baseDate, 2),
    IF(_xlpm.weekdayNum = 6, _xlpm.baseDate + 2, IF(_xlpm.weekdayNum = 7, _xlpm.baseDate + 1, _xlpm.baseDate))
)</f>
        <v>45936</v>
      </c>
      <c r="G144" s="20">
        <f>IFERROR(WEEKNUM(Table47[[#This Row],[Shipping Date (SD-14)]]),"TBD")</f>
        <v>41</v>
      </c>
      <c r="H144" s="20" t="str">
        <f>IFERROR(TEXT(Table47[[#This Row],[Shipping Date (SD-14)]],"yyyy-mm"),"TBD")</f>
        <v>2025-10</v>
      </c>
      <c r="I144" s="78" t="s">
        <v>1187</v>
      </c>
      <c r="J144" s="20" t="str">
        <f>IFERROR(VLOOKUP(Table47[[#This Row],[ToSite-UPSName]],Table1[[#All],[Company or Name]:[Delivery Address]],15,FALSE),"")</f>
        <v>Aachen WWTP</v>
      </c>
      <c r="K144" s="20" t="str">
        <f>IFERROR(VLOOKUP(Table47[[#This Row],[ToSite-UPSName]],Table1[[#All],[Company or Name]:[Delivery Address]],16,FALSE),"")</f>
        <v>Aachen Hospital</v>
      </c>
      <c r="L144" s="20"/>
      <c r="M144" s="20">
        <f>IFERROR(VLOOKUP(Table47[[#This Row],[ToSite-UPSName]],Table1[[#All],[Company or Name]:[Delivery Address]],18,FALSE),"")</f>
        <v>0</v>
      </c>
      <c r="N144" s="20">
        <f>IFERROR(VLOOKUP(Table47[[#This Row],[ToSite-UPSName]],Table1[[#All],[Company or Name]:[Delivery Address]],19,FALSE),"")</f>
        <v>0</v>
      </c>
      <c r="O144" s="13"/>
      <c r="P144" s="20" t="s">
        <v>692</v>
      </c>
      <c r="Q144" s="20"/>
      <c r="R144" s="20"/>
      <c r="S144" s="99" t="s">
        <v>813</v>
      </c>
      <c r="T144" s="99" t="s">
        <v>1821</v>
      </c>
      <c r="U144" s="13" t="s">
        <v>125</v>
      </c>
      <c r="V144" s="13" t="s">
        <v>856</v>
      </c>
      <c r="X144" s="13"/>
      <c r="Y144" s="20" t="str">
        <f>TEXT(Table47[[#This Row],[Confirmed Sampling Date]], "yyyy") &amp; "_" &amp; TEXT(Table47[[#This Row],[Confirmed Sampling Date]], "mm") &amp; "_" &amp; TEXT(Table47[[#This Row],[Confirmed Sampling Date]], "dd")</f>
        <v>2025_10_20</v>
      </c>
      <c r="Z144" s="20" t="str">
        <f>IFERROR(LEFT(J144, FIND(" ", J144) - 1), J144)</f>
        <v>Aachen</v>
      </c>
      <c r="AA144" s="20" t="str">
        <f>VLOOKUP(Table47[[#This Row],[ToSite-UPSName]],Table1[[Company or Name]:[NOTES]],2,FALSE)</f>
        <v>Germany</v>
      </c>
      <c r="AB144" s="20" t="str">
        <f>IFERROR(VLOOKUP(Table47[[#This Row],[ToSite-UPSName]], Table1[[#All],[Company or Name]:[Delivery Address]],20,FALSE),"")</f>
        <v>Krefelder Str. 299, Aachen, 52070, Germany</v>
      </c>
      <c r="AC144" s="20" t="str">
        <f>TEXT(Table47[[#This Row],[Shipping Date (SD-14)]]+3,"YYYY-MM-DD")</f>
        <v>2025-10-09</v>
      </c>
      <c r="AD144" s="20" t="str">
        <f>_xlfn.XLOOKUP(Table47[[#This Row],[Type]],kits!C:C,kits!D:D,"",0)</f>
        <v>boxcontentlabel_template_outbound1.docx</v>
      </c>
    </row>
    <row r="145" spans="2:30" ht="14.1" customHeight="1" x14ac:dyDescent="0.25">
      <c r="B145" s="13">
        <v>213</v>
      </c>
      <c r="C145" s="14" t="s">
        <v>1271</v>
      </c>
      <c r="D145" s="13">
        <v>1</v>
      </c>
      <c r="E145" s="83">
        <v>45950</v>
      </c>
      <c r="F145" s="34">
        <f>_xlfn.LET(
    _xlpm.baseDate, Table47[[#This Row],[Confirmed Sampling Date]] - 14,
    _xlpm.weekdayNum, WEEKDAY(_xlpm.baseDate, 2),
    IF(_xlpm.weekdayNum = 6, _xlpm.baseDate + 2, IF(_xlpm.weekdayNum = 7, _xlpm.baseDate + 1, _xlpm.baseDate))
)</f>
        <v>45936</v>
      </c>
      <c r="G145" s="20">
        <f>IFERROR(WEEKNUM(Table47[[#This Row],[Shipping Date (SD-14)]]),"TBD")</f>
        <v>41</v>
      </c>
      <c r="H145" s="20" t="str">
        <f>IFERROR(TEXT(Table47[[#This Row],[Shipping Date (SD-14)]],"yyyy-mm"),"TBD")</f>
        <v>2025-10</v>
      </c>
      <c r="I145" s="48" t="s">
        <v>1292</v>
      </c>
      <c r="J145" s="20" t="str">
        <f>IFERROR(VLOOKUP(Table47[[#This Row],[ToSite-UPSName]],Table1[[#All],[Company or Name]:[Delivery Address]],15,FALSE),"")</f>
        <v>Bologna WWTP</v>
      </c>
      <c r="K145" s="20">
        <f>IFERROR(VLOOKUP(Table47[[#This Row],[ToSite-UPSName]],Table1[[#All],[Company or Name]:[Delivery Address]],16,FALSE),"")</f>
        <v>0</v>
      </c>
      <c r="L145" s="20"/>
      <c r="M145" s="20">
        <f>IFERROR(VLOOKUP(Table47[[#This Row],[ToSite-UPSName]],Table1[[#All],[Company or Name]:[Delivery Address]],18,FALSE),"")</f>
        <v>0</v>
      </c>
      <c r="N145" s="20">
        <f>IFERROR(VLOOKUP(Table47[[#This Row],[ToSite-UPSName]],Table1[[#All],[Company or Name]:[Delivery Address]],19,FALSE),"")</f>
        <v>0</v>
      </c>
      <c r="O145" s="13"/>
      <c r="P145" s="13" t="s">
        <v>692</v>
      </c>
      <c r="Q145" s="20"/>
      <c r="R145" s="20"/>
      <c r="S145" s="100" t="s">
        <v>813</v>
      </c>
      <c r="T145" s="100" t="s">
        <v>1783</v>
      </c>
      <c r="U145" s="13" t="s">
        <v>125</v>
      </c>
      <c r="V145" s="13" t="s">
        <v>856</v>
      </c>
      <c r="X145" s="13"/>
      <c r="Y145" s="20" t="str">
        <f>TEXT(Table47[[#This Row],[Confirmed Sampling Date]], "yyyy") &amp; "_" &amp; TEXT(Table47[[#This Row],[Confirmed Sampling Date]], "mm") &amp; "_" &amp; TEXT(Table47[[#This Row],[Confirmed Sampling Date]], "dd")</f>
        <v>2025_10_20</v>
      </c>
      <c r="Z145" s="20" t="str">
        <f>IFERROR(LEFT(J145, FIND(" ", J145) - 1), J145)</f>
        <v>Bologna</v>
      </c>
      <c r="AA145" s="20" t="str">
        <f>VLOOKUP(Table47[[#This Row],[ToSite-UPSName]],Table1[[Company or Name]:[NOTES]],2,FALSE)</f>
        <v>Italy</v>
      </c>
      <c r="AB145" s="20" t="str">
        <f>IFERROR(VLOOKUP(Table47[[#This Row],[ToSite-UPSName]], Table1[[#All],[Company or Name]:[Delivery Address]],20,FALSE),"")</f>
        <v>VIA SHAKESPEARE 29, Bologna, 40128, Italy</v>
      </c>
      <c r="AC145" s="20" t="str">
        <f>TEXT(Table47[[#This Row],[Shipping Date (SD-14)]]+3,"YYYY-MM-DD")</f>
        <v>2025-10-09</v>
      </c>
      <c r="AD145" s="20" t="str">
        <f>_xlfn.XLOOKUP(Table47[[#This Row],[Type]],kits!C:C,kits!D:D,"",0)</f>
        <v>boxcontentlabel_template_outbound1.docx</v>
      </c>
    </row>
    <row r="146" spans="2:30" ht="13.5" customHeight="1" x14ac:dyDescent="0.25">
      <c r="B146" s="13">
        <v>51</v>
      </c>
      <c r="C146" s="14" t="s">
        <v>1271</v>
      </c>
      <c r="D146" s="13">
        <v>2</v>
      </c>
      <c r="E146" s="22">
        <v>45950</v>
      </c>
      <c r="F146" s="34">
        <f>_xlfn.LET(
    _xlpm.baseDate, Table47[[#This Row],[Confirmed Sampling Date]] - 14,
    _xlpm.weekdayNum, WEEKDAY(_xlpm.baseDate, 2),
    IF(_xlpm.weekdayNum = 6, _xlpm.baseDate + 2, IF(_xlpm.weekdayNum = 7, _xlpm.baseDate + 1, _xlpm.baseDate))
)</f>
        <v>45936</v>
      </c>
      <c r="G146" s="13">
        <f>IFERROR(WEEKNUM(Table47[[#This Row],[Shipping Date (SD-14)]]),"TBD")</f>
        <v>41</v>
      </c>
      <c r="H146" s="13" t="str">
        <f>IFERROR(TEXT(Table47[[#This Row],[Shipping Date (SD-14)]],"yyyy-mm"),"TBD")</f>
        <v>2025-10</v>
      </c>
      <c r="I146" s="13" t="s">
        <v>364</v>
      </c>
      <c r="J146" s="13" t="str">
        <f>IFERROR(VLOOKUP(Table47[[#This Row],[ToSite-UPSName]],Table1[[#All],[Company or Name]:[Delivery Address]],15,FALSE),"")</f>
        <v>Brussels WWTP</v>
      </c>
      <c r="K146" s="13" t="str">
        <f>IFERROR(VLOOKUP(Table47[[#This Row],[ToSite-UPSName]],Table1[[#All],[Company or Name]:[Delivery Address]],16,FALSE),"")</f>
        <v>Brussels Airport</v>
      </c>
      <c r="L146" s="13" t="str">
        <f>IFERROR(VLOOKUP(Table47[[#This Row],[ToSite-UPSName]],Table1[[#All],[Company or Name]:[Delivery Address]],17,FALSE),"")</f>
        <v>-</v>
      </c>
      <c r="M146" s="13" t="str">
        <f>IFERROR(VLOOKUP(Table47[[#This Row],[ToSite-UPSName]],Table1[[#All],[Company or Name]:[Delivery Address]],18,FALSE),"")</f>
        <v>-</v>
      </c>
      <c r="N146" s="13" t="str">
        <f>IFERROR(VLOOKUP(Table47[[#This Row],[ToSite-UPSName]],Table1[[#All],[Company or Name]:[Delivery Address]],19,FALSE),"")</f>
        <v>-</v>
      </c>
      <c r="O146" s="13"/>
      <c r="P146" s="13" t="s">
        <v>692</v>
      </c>
      <c r="Q146" s="13"/>
      <c r="R146" s="13"/>
      <c r="S146" s="98" t="s">
        <v>813</v>
      </c>
      <c r="T146" s="98" t="s">
        <v>1788</v>
      </c>
      <c r="U146" s="13" t="s">
        <v>125</v>
      </c>
      <c r="V146" s="13" t="s">
        <v>856</v>
      </c>
      <c r="X146" s="13"/>
      <c r="Y146" s="20" t="str">
        <f>TEXT(Table47[[#This Row],[Confirmed Sampling Date]], "yyyy") &amp; "_" &amp; TEXT(Table47[[#This Row],[Confirmed Sampling Date]], "mm") &amp; "_" &amp; TEXT(Table47[[#This Row],[Confirmed Sampling Date]], "dd")</f>
        <v>2025_10_20</v>
      </c>
      <c r="Z146" s="20" t="str">
        <f>IFERROR(LEFT(J146, FIND(" ", J146) - 1), J146)</f>
        <v>Brussels</v>
      </c>
      <c r="AA146" s="20" t="str">
        <f>VLOOKUP(Table47[[#This Row],[ToSite-UPSName]],Table1[[Company or Name]:[NOTES]],2,FALSE)</f>
        <v>Belgium</v>
      </c>
      <c r="AB146" s="20" t="str">
        <f>IFERROR(VLOOKUP(Table47[[#This Row],[ToSite-UPSName]], Table1[[#All],[Company or Name]:[Delivery Address]],20,FALSE),"")</f>
        <v>Rue Juliette Wytsmanstraat 14, Brussels, 1050, Belgium</v>
      </c>
      <c r="AC146" s="20" t="str">
        <f>TEXT(Table47[[#This Row],[Shipping Date (SD-14)]]+3,"YYYY-MM-DD")</f>
        <v>2025-10-09</v>
      </c>
      <c r="AD146" s="20" t="str">
        <f>_xlfn.XLOOKUP(Table47[[#This Row],[Type]],kits!C:C,kits!D:D,"",0)</f>
        <v>boxcontentlabel_template_outbound1.docx</v>
      </c>
    </row>
    <row r="147" spans="2:30" ht="14.1" customHeight="1" x14ac:dyDescent="0.25">
      <c r="B147" s="13">
        <v>162</v>
      </c>
      <c r="C147" s="14" t="s">
        <v>1271</v>
      </c>
      <c r="D147" s="13">
        <v>1</v>
      </c>
      <c r="E147" s="83">
        <v>45950</v>
      </c>
      <c r="F147" s="34">
        <f>_xlfn.LET(
    _xlpm.baseDate, Table47[[#This Row],[Confirmed Sampling Date]] - 14,
    _xlpm.weekdayNum, WEEKDAY(_xlpm.baseDate, 2),
    IF(_xlpm.weekdayNum = 6, _xlpm.baseDate + 2, IF(_xlpm.weekdayNum = 7, _xlpm.baseDate + 1, _xlpm.baseDate))
)</f>
        <v>45936</v>
      </c>
      <c r="G147" s="20">
        <f>IFERROR(WEEKNUM(Table47[[#This Row],[Shipping Date (SD-14)]]),"TBD")</f>
        <v>41</v>
      </c>
      <c r="H147" s="20" t="str">
        <f>IFERROR(TEXT(Table47[[#This Row],[Shipping Date (SD-14)]],"yyyy-mm"),"TBD")</f>
        <v>2025-10</v>
      </c>
      <c r="I147" s="78" t="s">
        <v>1114</v>
      </c>
      <c r="J147" s="20" t="str">
        <f>IFERROR(VLOOKUP(Table47[[#This Row],[ToSite-UPSName]],Table1[[#All],[Company or Name]:[Delivery Address]],15,FALSE),"")</f>
        <v>Uppsala WWTP</v>
      </c>
      <c r="K147" s="20" t="str">
        <f>IFERROR(VLOOKUP(Table47[[#This Row],[ToSite-UPSName]],Table1[[#All],[Company or Name]:[Delivery Address]],16,FALSE),"")</f>
        <v>-</v>
      </c>
      <c r="L147" s="20"/>
      <c r="M147" s="20" t="str">
        <f>IFERROR(VLOOKUP(Table47[[#This Row],[ToSite-UPSName]],Table1[[#All],[Company or Name]:[Delivery Address]],18,FALSE),"")</f>
        <v>-</v>
      </c>
      <c r="N147" s="20" t="str">
        <f>IFERROR(VLOOKUP(Table47[[#This Row],[ToSite-UPSName]],Table1[[#All],[Company or Name]:[Delivery Address]],19,FALSE),"")</f>
        <v>-</v>
      </c>
      <c r="O147" s="13"/>
      <c r="P147" s="20" t="s">
        <v>692</v>
      </c>
      <c r="Q147" s="20"/>
      <c r="R147" s="20"/>
      <c r="S147" s="64" t="s">
        <v>813</v>
      </c>
      <c r="T147" s="64" t="s">
        <v>1789</v>
      </c>
      <c r="U147" s="13" t="s">
        <v>125</v>
      </c>
      <c r="V147" s="13" t="s">
        <v>856</v>
      </c>
      <c r="X147" s="13"/>
      <c r="Y147" s="20" t="str">
        <f>TEXT(Table47[[#This Row],[Confirmed Sampling Date]], "yyyy") &amp; "_" &amp; TEXT(Table47[[#This Row],[Confirmed Sampling Date]], "mm") &amp; "_" &amp; TEXT(Table47[[#This Row],[Confirmed Sampling Date]], "dd")</f>
        <v>2025_10_20</v>
      </c>
      <c r="Z147" s="20" t="str">
        <f>IFERROR(LEFT(J147, FIND(" ", J147) - 1), J147)</f>
        <v>Uppsala</v>
      </c>
      <c r="AA147" s="20" t="str">
        <f>VLOOKUP(Table47[[#This Row],[ToSite-UPSName]],Table1[[Company or Name]:[NOTES]],2,FALSE)</f>
        <v>Sweden</v>
      </c>
      <c r="AB147" s="20" t="str">
        <f>IFERROR(VLOOKUP(Table47[[#This Row],[ToSite-UPSName]], Table1[[#All],[Company or Name]:[Delivery Address]],20,FALSE),"")</f>
        <v>Gerda Nilssons väg 5, Uppsala, 756 51, Sweden</v>
      </c>
      <c r="AC147" s="20" t="str">
        <f>TEXT(Table47[[#This Row],[Shipping Date (SD-14)]]+3,"YYYY-MM-DD")</f>
        <v>2025-10-09</v>
      </c>
      <c r="AD147" s="20" t="str">
        <f>_xlfn.XLOOKUP(Table47[[#This Row],[Type]],kits!C:C,kits!D:D,"",0)</f>
        <v>boxcontentlabel_template_outbound1.docx</v>
      </c>
    </row>
    <row r="148" spans="2:30" ht="14.1" customHeight="1" x14ac:dyDescent="0.25">
      <c r="B148" s="13">
        <v>236</v>
      </c>
      <c r="C148" s="14" t="s">
        <v>1271</v>
      </c>
      <c r="D148" s="13">
        <v>1</v>
      </c>
      <c r="E148" s="83">
        <v>45950</v>
      </c>
      <c r="F148" s="34">
        <f>_xlfn.LET(
    _xlpm.baseDate, Table47[[#This Row],[Confirmed Sampling Date]] - 14,
    _xlpm.weekdayNum, WEEKDAY(_xlpm.baseDate, 2),
    IF(_xlpm.weekdayNum = 6, _xlpm.baseDate + 2, IF(_xlpm.weekdayNum = 7, _xlpm.baseDate + 1, _xlpm.baseDate))
)</f>
        <v>45936</v>
      </c>
      <c r="G148" s="20">
        <f>IFERROR(WEEKNUM(Table47[[#This Row],[Shipping Date (SD-14)]]),"TBD")</f>
        <v>41</v>
      </c>
      <c r="H148" s="20" t="str">
        <f>IFERROR(TEXT(Table47[[#This Row],[Shipping Date (SD-14)]],"yyyy-mm"),"TBD")</f>
        <v>2025-10</v>
      </c>
      <c r="I148" s="13" t="s">
        <v>1802</v>
      </c>
      <c r="J148" s="20" t="str">
        <f>IFERROR(VLOOKUP(Table47[[#This Row],[ToSite-UPSName]],Table1[[#All],[Company or Name]:[Delivery Address]],15,FALSE),"")</f>
        <v>Wien WWTP</v>
      </c>
      <c r="K148" s="20" t="str">
        <f>IFERROR(VLOOKUP(Table47[[#This Row],[ToSite-UPSName]],Table1[[#All],[Company or Name]:[Delivery Address]],16,FALSE),"")</f>
        <v>-</v>
      </c>
      <c r="L148" s="20"/>
      <c r="M148" s="20" t="str">
        <f>IFERROR(VLOOKUP(Table47[[#This Row],[ToSite-UPSName]],Table1[[#All],[Company or Name]:[Delivery Address]],18,FALSE),"")</f>
        <v>-</v>
      </c>
      <c r="N148" s="20" t="str">
        <f>IFERROR(VLOOKUP(Table47[[#This Row],[ToSite-UPSName]],Table1[[#All],[Company or Name]:[Delivery Address]],19,FALSE),"")</f>
        <v>-</v>
      </c>
      <c r="O148" s="13"/>
      <c r="P148" s="20" t="s">
        <v>692</v>
      </c>
      <c r="Q148" s="20"/>
      <c r="R148" s="20"/>
      <c r="S148" s="65" t="s">
        <v>813</v>
      </c>
      <c r="T148" s="65" t="s">
        <v>1833</v>
      </c>
      <c r="U148" s="13" t="s">
        <v>125</v>
      </c>
      <c r="V148" s="13" t="s">
        <v>856</v>
      </c>
      <c r="X148" s="13"/>
      <c r="Y148" s="20" t="str">
        <f>TEXT(Table47[[#This Row],[Confirmed Sampling Date]], "yyyy") &amp; "_" &amp; TEXT(Table47[[#This Row],[Confirmed Sampling Date]], "mm") &amp; "_" &amp; TEXT(Table47[[#This Row],[Confirmed Sampling Date]], "dd")</f>
        <v>2025_10_20</v>
      </c>
      <c r="Z148" s="20" t="str">
        <f>IFERROR(LEFT(J148, FIND(" ", J148) - 1), J148)</f>
        <v>Wien</v>
      </c>
      <c r="AA148" s="20" t="str">
        <f>VLOOKUP(Table47[[#This Row],[ToSite-UPSName]],Table1[[Company or Name]:[NOTES]],2,FALSE)</f>
        <v>Austria</v>
      </c>
      <c r="AB148" s="20" t="str">
        <f>IFERROR(VLOOKUP(Table47[[#This Row],[ToSite-UPSName]], Table1[[#All],[Company or Name]:[Delivery Address]],20,FALSE),"")</f>
        <v>Währinger Gürtel 18-20, Wien, 1090, Austria</v>
      </c>
      <c r="AC148" s="20" t="str">
        <f>TEXT(Table47[[#This Row],[Shipping Date (SD-14)]]+3,"YYYY-MM-DD")</f>
        <v>2025-10-09</v>
      </c>
      <c r="AD148" s="20" t="str">
        <f>_xlfn.XLOOKUP(Table47[[#This Row],[Type]],kits!C:C,kits!D:D,"",0)</f>
        <v>boxcontentlabel_template_outbound1.docx</v>
      </c>
    </row>
    <row r="149" spans="2:30" ht="14.1" customHeight="1" x14ac:dyDescent="0.25">
      <c r="B149" s="13">
        <v>180</v>
      </c>
      <c r="C149" s="14" t="s">
        <v>1271</v>
      </c>
      <c r="D149" s="13">
        <v>1</v>
      </c>
      <c r="E149" s="83">
        <v>45951</v>
      </c>
      <c r="F149" s="34">
        <f>_xlfn.LET(
    _xlpm.baseDate, Table47[[#This Row],[Confirmed Sampling Date]] - 14,
    _xlpm.weekdayNum, WEEKDAY(_xlpm.baseDate, 2),
    IF(_xlpm.weekdayNum = 6, _xlpm.baseDate + 2, IF(_xlpm.weekdayNum = 7, _xlpm.baseDate + 1, _xlpm.baseDate))
)</f>
        <v>45937</v>
      </c>
      <c r="G149" s="20">
        <f>IFERROR(WEEKNUM(Table47[[#This Row],[Shipping Date (SD-14)]]),"TBD")</f>
        <v>41</v>
      </c>
      <c r="H149" s="20" t="str">
        <f>IFERROR(TEXT(Table47[[#This Row],[Shipping Date (SD-14)]],"yyyy-mm"),"TBD")</f>
        <v>2025-10</v>
      </c>
      <c r="I149" s="78" t="s">
        <v>1132</v>
      </c>
      <c r="J149" s="20" t="str">
        <f>IFERROR(VLOOKUP(Table47[[#This Row],[ToSite-UPSName]],Table1[[#All],[Company or Name]:[Delivery Address]],15,FALSE),"")</f>
        <v>Cluj-MNC</v>
      </c>
      <c r="K149" s="20" t="str">
        <f>IFERROR(VLOOKUP(Table47[[#This Row],[ToSite-UPSName]],Table1[[#All],[Company or Name]:[Delivery Address]],16,FALSE),"")</f>
        <v>-</v>
      </c>
      <c r="L149" s="20"/>
      <c r="M149" s="20" t="str">
        <f>IFERROR(VLOOKUP(Table47[[#This Row],[ToSite-UPSName]],Table1[[#All],[Company or Name]:[Delivery Address]],18,FALSE),"")</f>
        <v>-</v>
      </c>
      <c r="N149" s="20" t="str">
        <f>IFERROR(VLOOKUP(Table47[[#This Row],[ToSite-UPSName]],Table1[[#All],[Company or Name]:[Delivery Address]],19,FALSE),"")</f>
        <v>-</v>
      </c>
      <c r="O149" s="13"/>
      <c r="P149" s="13" t="s">
        <v>692</v>
      </c>
      <c r="Q149" s="20"/>
      <c r="R149" s="20"/>
      <c r="S149" s="64" t="s">
        <v>813</v>
      </c>
      <c r="T149" s="64" t="s">
        <v>1791</v>
      </c>
      <c r="U149" s="13" t="s">
        <v>125</v>
      </c>
      <c r="V149" s="13" t="s">
        <v>856</v>
      </c>
      <c r="X149" s="13"/>
      <c r="Y149" s="20" t="str">
        <f>TEXT(Table47[[#This Row],[Confirmed Sampling Date]], "yyyy") &amp; "_" &amp; TEXT(Table47[[#This Row],[Confirmed Sampling Date]], "mm") &amp; "_" &amp; TEXT(Table47[[#This Row],[Confirmed Sampling Date]], "dd")</f>
        <v>2025_10_21</v>
      </c>
      <c r="Z149" s="20" t="str">
        <f>IFERROR(LEFT(J149, FIND(" ", J149) - 1), J149)</f>
        <v>Cluj-MNC</v>
      </c>
      <c r="AA149" s="20" t="str">
        <f>VLOOKUP(Table47[[#This Row],[ToSite-UPSName]],Table1[[Company or Name]:[NOTES]],2,FALSE)</f>
        <v>Romania</v>
      </c>
      <c r="AB149" s="20" t="str">
        <f>IFERROR(VLOOKUP(Table47[[#This Row],[ToSite-UPSName]], Table1[[#All],[Company or Name]:[Delivery Address]],20,FALSE),"")</f>
        <v>Strada Tăbăcarilor 11, Cluj-Napoca, 400139, Romania</v>
      </c>
      <c r="AC149" s="20" t="str">
        <f>TEXT(Table47[[#This Row],[Shipping Date (SD-14)]]+3,"YYYY-MM-DD")</f>
        <v>2025-10-10</v>
      </c>
      <c r="AD149" s="20" t="str">
        <f>_xlfn.XLOOKUP(Table47[[#This Row],[Type]],kits!C:C,kits!D:D,"",0)</f>
        <v>boxcontentlabel_template_outbound1.docx</v>
      </c>
    </row>
    <row r="150" spans="2:30" ht="14.1" customHeight="1" x14ac:dyDescent="0.25">
      <c r="B150" s="13">
        <v>171</v>
      </c>
      <c r="C150" s="14" t="s">
        <v>1271</v>
      </c>
      <c r="D150" s="13">
        <v>1</v>
      </c>
      <c r="E150" s="83">
        <v>45951</v>
      </c>
      <c r="F150" s="34">
        <f>_xlfn.LET(
    _xlpm.baseDate, Table47[[#This Row],[Confirmed Sampling Date]] - 14,
    _xlpm.weekdayNum, WEEKDAY(_xlpm.baseDate, 2),
    IF(_xlpm.weekdayNum = 6, _xlpm.baseDate + 2, IF(_xlpm.weekdayNum = 7, _xlpm.baseDate + 1, _xlpm.baseDate))
)</f>
        <v>45937</v>
      </c>
      <c r="G150" s="20">
        <f>IFERROR(WEEKNUM(Table47[[#This Row],[Shipping Date (SD-14)]]),"TBD")</f>
        <v>41</v>
      </c>
      <c r="H150" s="20" t="str">
        <f>IFERROR(TEXT(Table47[[#This Row],[Shipping Date (SD-14)]],"yyyy-mm"),"TBD")</f>
        <v>2025-10</v>
      </c>
      <c r="I150" s="78" t="s">
        <v>1125</v>
      </c>
      <c r="J150" s="20" t="str">
        <f>IFERROR(VLOOKUP(Table47[[#This Row],[ToSite-UPSName]],Table1[[#All],[Company or Name]:[Delivery Address]],15,FALSE),"")</f>
        <v>Cluj-SCBI</v>
      </c>
      <c r="K150" s="20" t="str">
        <f>IFERROR(VLOOKUP(Table47[[#This Row],[ToSite-UPSName]],Table1[[#All],[Company or Name]:[Delivery Address]],16,FALSE),"")</f>
        <v>-</v>
      </c>
      <c r="L150" s="20"/>
      <c r="M150" s="20" t="str">
        <f>IFERROR(VLOOKUP(Table47[[#This Row],[ToSite-UPSName]],Table1[[#All],[Company or Name]:[Delivery Address]],18,FALSE),"")</f>
        <v>-</v>
      </c>
      <c r="N150" s="20" t="str">
        <f>IFERROR(VLOOKUP(Table47[[#This Row],[ToSite-UPSName]],Table1[[#All],[Company or Name]:[Delivery Address]],19,FALSE),"")</f>
        <v>-</v>
      </c>
      <c r="O150" s="13"/>
      <c r="P150" s="20" t="s">
        <v>692</v>
      </c>
      <c r="Q150" s="20"/>
      <c r="R150" s="20"/>
      <c r="S150" s="100" t="s">
        <v>813</v>
      </c>
      <c r="T150" s="100" t="s">
        <v>1790</v>
      </c>
      <c r="U150" s="13" t="s">
        <v>125</v>
      </c>
      <c r="V150" s="13" t="s">
        <v>856</v>
      </c>
      <c r="X150" s="13"/>
      <c r="Y150" s="20" t="str">
        <f>TEXT(Table47[[#This Row],[Confirmed Sampling Date]], "yyyy") &amp; "_" &amp; TEXT(Table47[[#This Row],[Confirmed Sampling Date]], "mm") &amp; "_" &amp; TEXT(Table47[[#This Row],[Confirmed Sampling Date]], "dd")</f>
        <v>2025_10_21</v>
      </c>
      <c r="Z150" s="20" t="str">
        <f>IFERROR(LEFT(J150, FIND(" ", J150) - 1), J150)</f>
        <v>Cluj-SCBI</v>
      </c>
      <c r="AA150" s="20" t="str">
        <f>VLOOKUP(Table47[[#This Row],[ToSite-UPSName]],Table1[[Company or Name]:[NOTES]],2,FALSE)</f>
        <v>Romania</v>
      </c>
      <c r="AB150" s="20" t="str">
        <f>IFERROR(VLOOKUP(Table47[[#This Row],[ToSite-UPSName]], Table1[[#All],[Company or Name]:[Delivery Address]],20,FALSE),"")</f>
        <v>Strada Iuliu Moldovan 23, Cluj-Napoca, 400003, Romania</v>
      </c>
      <c r="AC150" s="20" t="str">
        <f>TEXT(Table47[[#This Row],[Shipping Date (SD-14)]]+3,"YYYY-MM-DD")</f>
        <v>2025-10-10</v>
      </c>
      <c r="AD150" s="20" t="str">
        <f>_xlfn.XLOOKUP(Table47[[#This Row],[Type]],kits!C:C,kits!D:D,"",0)</f>
        <v>boxcontentlabel_template_outbound1.docx</v>
      </c>
    </row>
    <row r="151" spans="2:30" ht="14.1" customHeight="1" x14ac:dyDescent="0.25">
      <c r="B151" s="13">
        <v>131</v>
      </c>
      <c r="C151" s="14" t="s">
        <v>1271</v>
      </c>
      <c r="D151" s="13">
        <v>2</v>
      </c>
      <c r="E151" s="83">
        <v>45951</v>
      </c>
      <c r="F151" s="34">
        <f>_xlfn.LET(
    _xlpm.baseDate, Table47[[#This Row],[Confirmed Sampling Date]] - 14,
    _xlpm.weekdayNum, WEEKDAY(_xlpm.baseDate, 2),
    IF(_xlpm.weekdayNum = 6, _xlpm.baseDate + 2, IF(_xlpm.weekdayNum = 7, _xlpm.baseDate + 1, _xlpm.baseDate))
)</f>
        <v>45937</v>
      </c>
      <c r="G151" s="20">
        <f>IFERROR(WEEKNUM(Table47[[#This Row],[Shipping Date (SD-14)]]),"TBD")</f>
        <v>41</v>
      </c>
      <c r="H151" s="20" t="str">
        <f>IFERROR(TEXT(Table47[[#This Row],[Shipping Date (SD-14)]],"yyyy-mm"),"TBD")</f>
        <v>2025-10</v>
      </c>
      <c r="I151" s="13" t="s">
        <v>863</v>
      </c>
      <c r="J151" s="20" t="str">
        <f>IFERROR(VLOOKUP(Table47[[#This Row],[ToSite-UPSName]],Table1[[#All],[Company or Name]:[Delivery Address]],15,FALSE),"")</f>
        <v>Dusseldorf WWTP 2101</v>
      </c>
      <c r="K151" s="20" t="str">
        <f>IFERROR(VLOOKUP(Table47[[#This Row],[ToSite-UPSName]],Table1[[#All],[Company or Name]:[Delivery Address]],16,FALSE),"")</f>
        <v>Dusseldorf WWTP 601</v>
      </c>
      <c r="L151" s="20"/>
      <c r="M151" s="20">
        <f>IFERROR(VLOOKUP(Table47[[#This Row],[ToSite-UPSName]],Table1[[#All],[Company or Name]:[Delivery Address]],18,FALSE),"")</f>
        <v>0</v>
      </c>
      <c r="N151" s="20">
        <f>IFERROR(VLOOKUP(Table47[[#This Row],[ToSite-UPSName]],Table1[[#All],[Company or Name]:[Delivery Address]],19,FALSE),"")</f>
        <v>0</v>
      </c>
      <c r="O151" s="13"/>
      <c r="P151" s="13" t="s">
        <v>692</v>
      </c>
      <c r="Q151" s="20"/>
      <c r="R151" s="20"/>
      <c r="S151" s="100" t="s">
        <v>813</v>
      </c>
      <c r="T151" s="100" t="s">
        <v>1792</v>
      </c>
      <c r="U151" s="13" t="s">
        <v>125</v>
      </c>
      <c r="V151" s="13" t="s">
        <v>856</v>
      </c>
      <c r="X151" s="13"/>
      <c r="Y151" s="20" t="str">
        <f>TEXT(Table47[[#This Row],[Confirmed Sampling Date]], "yyyy") &amp; "_" &amp; TEXT(Table47[[#This Row],[Confirmed Sampling Date]], "mm") &amp; "_" &amp; TEXT(Table47[[#This Row],[Confirmed Sampling Date]], "dd")</f>
        <v>2025_10_21</v>
      </c>
      <c r="Z151" s="20" t="str">
        <f>IFERROR(LEFT(J151, FIND(" ", J151) - 1), J151)</f>
        <v>Dusseldorf</v>
      </c>
      <c r="AA151" s="20" t="str">
        <f>VLOOKUP(Table47[[#This Row],[ToSite-UPSName]],Table1[[Company or Name]:[NOTES]],2,FALSE)</f>
        <v>Germany</v>
      </c>
      <c r="AB151" s="20" t="str">
        <f>IFERROR(VLOOKUP(Table47[[#This Row],[ToSite-UPSName]], Table1[[#All],[Company or Name]:[Delivery Address]],20,FALSE),"")</f>
        <v>Auf dem Draap 15, Chemisch-Biologische Laboratorien, Dusseldorf, 40221, Germany</v>
      </c>
      <c r="AC151" s="20" t="str">
        <f>TEXT(Table47[[#This Row],[Shipping Date (SD-14)]]+3,"YYYY-MM-DD")</f>
        <v>2025-10-10</v>
      </c>
      <c r="AD151" s="20" t="str">
        <f>_xlfn.XLOOKUP(Table47[[#This Row],[Type]],kits!C:C,kits!D:D,"",0)</f>
        <v>boxcontentlabel_template_outbound1.docx</v>
      </c>
    </row>
    <row r="152" spans="2:30" ht="14.1" customHeight="1" x14ac:dyDescent="0.25">
      <c r="B152" s="13">
        <v>38</v>
      </c>
      <c r="C152" s="14" t="s">
        <v>1271</v>
      </c>
      <c r="D152" s="13">
        <v>1</v>
      </c>
      <c r="E152" s="22">
        <v>45951</v>
      </c>
      <c r="F152" s="34">
        <f>_xlfn.LET(
    _xlpm.baseDate, Table47[[#This Row],[Confirmed Sampling Date]] - 14,
    _xlpm.weekdayNum, WEEKDAY(_xlpm.baseDate, 2),
    IF(_xlpm.weekdayNum = 6, _xlpm.baseDate + 2, IF(_xlpm.weekdayNum = 7, _xlpm.baseDate + 1, _xlpm.baseDate))
)</f>
        <v>45937</v>
      </c>
      <c r="G152" s="13">
        <f>IFERROR(WEEKNUM(Table47[[#This Row],[Shipping Date (SD-14)]]),"TBD")</f>
        <v>41</v>
      </c>
      <c r="H152" s="13" t="str">
        <f>IFERROR(TEXT(Table47[[#This Row],[Shipping Date (SD-14)]],"yyyy-mm"),"TBD")</f>
        <v>2025-10</v>
      </c>
      <c r="I152" s="13" t="s">
        <v>677</v>
      </c>
      <c r="J152" s="13" t="str">
        <f>IFERROR(VLOOKUP(Table47[[#This Row],[ToSite-UPSName]],Table1[[#All],[Company or Name]:[Delivery Address]],15,FALSE),"")</f>
        <v>Frankfurt WWTP</v>
      </c>
      <c r="K152" s="13" t="str">
        <f>IFERROR(VLOOKUP(Table47[[#This Row],[ToSite-UPSName]],Table1[[#All],[Company or Name]:[Delivery Address]],16,FALSE),"")</f>
        <v>Frankfurt Airport</v>
      </c>
      <c r="L152" s="13" t="str">
        <f>IFERROR(VLOOKUP(Table47[[#This Row],[ToSite-UPSName]],Table1[[#All],[Company or Name]:[Delivery Address]],17,FALSE),"")</f>
        <v>-</v>
      </c>
      <c r="M152" s="13" t="str">
        <f>IFERROR(VLOOKUP(Table47[[#This Row],[ToSite-UPSName]],Table1[[#All],[Company or Name]:[Delivery Address]],18,FALSE),"")</f>
        <v>-</v>
      </c>
      <c r="N152" s="13" t="str">
        <f>IFERROR(VLOOKUP(Table47[[#This Row],[ToSite-UPSName]],Table1[[#All],[Company or Name]:[Delivery Address]],19,FALSE),"")</f>
        <v>-</v>
      </c>
      <c r="O152" s="13"/>
      <c r="P152" s="13" t="s">
        <v>692</v>
      </c>
      <c r="Q152" s="13"/>
      <c r="R152" s="13"/>
      <c r="S152" s="64" t="s">
        <v>813</v>
      </c>
      <c r="T152" s="64" t="s">
        <v>1793</v>
      </c>
      <c r="U152" s="13" t="s">
        <v>125</v>
      </c>
      <c r="V152" s="13" t="s">
        <v>856</v>
      </c>
      <c r="X152" s="13"/>
      <c r="Y152" s="20" t="str">
        <f>TEXT(Table47[[#This Row],[Confirmed Sampling Date]], "yyyy") &amp; "_" &amp; TEXT(Table47[[#This Row],[Confirmed Sampling Date]], "mm") &amp; "_" &amp; TEXT(Table47[[#This Row],[Confirmed Sampling Date]], "dd")</f>
        <v>2025_10_21</v>
      </c>
      <c r="Z152" s="20" t="str">
        <f>IFERROR(LEFT(J152, FIND(" ", J152) - 1), J152)</f>
        <v>Frankfurt</v>
      </c>
      <c r="AA152" s="20" t="str">
        <f>VLOOKUP(Table47[[#This Row],[ToSite-UPSName]],Table1[[Company or Name]:[NOTES]],2,FALSE)</f>
        <v>Germany</v>
      </c>
      <c r="AB152" s="20" t="str">
        <f>IFERROR(VLOOKUP(Table47[[#This Row],[ToSite-UPSName]], Table1[[#All],[Company or Name]:[Delivery Address]],20,FALSE),"")</f>
        <v>Goldsteinstraße 160, Gebäude 71 , Frankfurt am Main , 60528, Germany</v>
      </c>
      <c r="AC152" s="20" t="str">
        <f>TEXT(Table47[[#This Row],[Shipping Date (SD-14)]]+3,"YYYY-MM-DD")</f>
        <v>2025-10-10</v>
      </c>
      <c r="AD152" s="20" t="str">
        <f>_xlfn.XLOOKUP(Table47[[#This Row],[Type]],kits!C:C,kits!D:D,"",0)</f>
        <v>boxcontentlabel_template_outbound1.docx</v>
      </c>
    </row>
    <row r="153" spans="2:30" ht="14.1" customHeight="1" x14ac:dyDescent="0.25">
      <c r="B153" s="13">
        <v>119</v>
      </c>
      <c r="C153" s="14" t="s">
        <v>1271</v>
      </c>
      <c r="D153" s="13">
        <v>2</v>
      </c>
      <c r="E153" s="83">
        <v>45951</v>
      </c>
      <c r="F153" s="34">
        <f>_xlfn.LET(
    _xlpm.baseDate, Table47[[#This Row],[Confirmed Sampling Date]] - 14,
    _xlpm.weekdayNum, WEEKDAY(_xlpm.baseDate, 2),
    IF(_xlpm.weekdayNum = 6, _xlpm.baseDate + 2, IF(_xlpm.weekdayNum = 7, _xlpm.baseDate + 1, _xlpm.baseDate))
)</f>
        <v>45937</v>
      </c>
      <c r="G153" s="20">
        <f>IFERROR(WEEKNUM(Table47[[#This Row],[Shipping Date (SD-14)]]),"TBD")</f>
        <v>41</v>
      </c>
      <c r="H153" s="20" t="str">
        <f>IFERROR(TEXT(Table47[[#This Row],[Shipping Date (SD-14)]],"yyyy-mm"),"TBD")</f>
        <v>2025-10</v>
      </c>
      <c r="I153" s="13" t="s">
        <v>779</v>
      </c>
      <c r="J153" s="20" t="str">
        <f>IFERROR(VLOOKUP(Table47[[#This Row],[ToSite-UPSName]],Table1[[#All],[Company or Name]:[Delivery Address]],15,FALSE),"")</f>
        <v>Larnaca WWTP</v>
      </c>
      <c r="K153" s="20" t="str">
        <f>IFERROR(VLOOKUP(Table47[[#This Row],[ToSite-UPSName]],Table1[[#All],[Company or Name]:[Delivery Address]],16,FALSE),"")</f>
        <v>Larnaca Airport</v>
      </c>
      <c r="L153" s="20"/>
      <c r="M153" s="20">
        <f>IFERROR(VLOOKUP(Table47[[#This Row],[ToSite-UPSName]],Table1[[#All],[Company or Name]:[Delivery Address]],18,FALSE),"")</f>
        <v>0</v>
      </c>
      <c r="N153" s="20">
        <f>IFERROR(VLOOKUP(Table47[[#This Row],[ToSite-UPSName]],Table1[[#All],[Company or Name]:[Delivery Address]],19,FALSE),"")</f>
        <v>0</v>
      </c>
      <c r="O153" s="13"/>
      <c r="P153" s="20" t="s">
        <v>692</v>
      </c>
      <c r="Q153" s="20"/>
      <c r="R153" s="20"/>
      <c r="S153" s="100" t="s">
        <v>813</v>
      </c>
      <c r="T153" s="100" t="s">
        <v>1784</v>
      </c>
      <c r="U153" s="13" t="s">
        <v>125</v>
      </c>
      <c r="V153" s="13" t="s">
        <v>856</v>
      </c>
      <c r="X153" s="13" t="s">
        <v>1933</v>
      </c>
      <c r="Y153" s="20" t="str">
        <f>TEXT(Table47[[#This Row],[Confirmed Sampling Date]], "yyyy") &amp; "_" &amp; TEXT(Table47[[#This Row],[Confirmed Sampling Date]], "mm") &amp; "_" &amp; TEXT(Table47[[#This Row],[Confirmed Sampling Date]], "dd")</f>
        <v>2025_10_21</v>
      </c>
      <c r="Z153" s="20" t="str">
        <f>IFERROR(LEFT(J153, FIND(" ", J153) - 1), J153)</f>
        <v>Larnaca</v>
      </c>
      <c r="AA153" s="20" t="str">
        <f>VLOOKUP(Table47[[#This Row],[ToSite-UPSName]],Table1[[Company or Name]:[NOTES]],2,FALSE)</f>
        <v>Cyprus</v>
      </c>
      <c r="AB153" s="20" t="str">
        <f>IFERROR(VLOOKUP(Table47[[#This Row],[ToSite-UPSName]], Table1[[#All],[Company or Name]:[Delivery Address]],20,FALSE),"")</f>
        <v>Adamantiou Korai street 12, Larnaca District Local Government Organization offices, Larnaca, 6010, Cyprus</v>
      </c>
      <c r="AC153" s="20" t="str">
        <f>TEXT(Table47[[#This Row],[Shipping Date (SD-14)]]+3,"YYYY-MM-DD")</f>
        <v>2025-10-10</v>
      </c>
      <c r="AD153" s="20" t="str">
        <f>_xlfn.XLOOKUP(Table47[[#This Row],[Type]],kits!C:C,kits!D:D,"",0)</f>
        <v>boxcontentlabel_template_outbound1.docx</v>
      </c>
    </row>
    <row r="154" spans="2:30" ht="14.1" customHeight="1" x14ac:dyDescent="0.25">
      <c r="B154" s="13">
        <v>250</v>
      </c>
      <c r="C154" s="14" t="s">
        <v>1271</v>
      </c>
      <c r="D154" s="13">
        <v>2</v>
      </c>
      <c r="E154" s="83">
        <v>45951</v>
      </c>
      <c r="F154" s="34">
        <f>_xlfn.LET(
    _xlpm.baseDate, Table47[[#This Row],[Confirmed Sampling Date]] - 14,
    _xlpm.weekdayNum, WEEKDAY(_xlpm.baseDate, 2),
    IF(_xlpm.weekdayNum = 6, _xlpm.baseDate + 2, IF(_xlpm.weekdayNum = 7, _xlpm.baseDate + 1, _xlpm.baseDate))
)</f>
        <v>45937</v>
      </c>
      <c r="G154" s="20">
        <f>IFERROR(WEEKNUM(Table47[[#This Row],[Shipping Date (SD-14)]]),"TBD")</f>
        <v>41</v>
      </c>
      <c r="H154" s="20" t="str">
        <f>IFERROR(TEXT(Table47[[#This Row],[Shipping Date (SD-14)]],"yyyy-mm"),"TBD")</f>
        <v>2025-10</v>
      </c>
      <c r="I154" s="13" t="s">
        <v>779</v>
      </c>
      <c r="J154" s="20" t="str">
        <f>IFERROR(VLOOKUP(Table47[[#This Row],[ToSite-UPSName]],Table1[[#All],[Company or Name]:[Delivery Address]],15,FALSE),"")</f>
        <v>Larnaca WWTP</v>
      </c>
      <c r="K154" s="20" t="str">
        <f>IFERROR(VLOOKUP(Table47[[#This Row],[ToSite-UPSName]],Table1[[#All],[Company or Name]:[Delivery Address]],16,FALSE),"")</f>
        <v>Larnaca Airport</v>
      </c>
      <c r="L154" s="20"/>
      <c r="M154" s="20">
        <f>IFERROR(VLOOKUP(Table47[[#This Row],[ToSite-UPSName]],Table1[[#All],[Company or Name]:[Delivery Address]],18,FALSE),"")</f>
        <v>0</v>
      </c>
      <c r="N154" s="20">
        <f>IFERROR(VLOOKUP(Table47[[#This Row],[ToSite-UPSName]],Table1[[#All],[Company or Name]:[Delivery Address]],19,FALSE),"")</f>
        <v>0</v>
      </c>
      <c r="O154" s="13"/>
      <c r="P154" s="13" t="s">
        <v>692</v>
      </c>
      <c r="Q154" s="20"/>
      <c r="R154" s="20"/>
      <c r="S154" s="101" t="s">
        <v>813</v>
      </c>
      <c r="T154" s="101" t="s">
        <v>1929</v>
      </c>
      <c r="U154" s="20" t="s">
        <v>125</v>
      </c>
      <c r="V154" s="13" t="s">
        <v>856</v>
      </c>
      <c r="X154" s="13"/>
      <c r="Y154" s="20" t="str">
        <f>TEXT(Table47[[#This Row],[Confirmed Sampling Date]], "yyyy") &amp; "_" &amp; TEXT(Table47[[#This Row],[Confirmed Sampling Date]], "mm") &amp; "_" &amp; TEXT(Table47[[#This Row],[Confirmed Sampling Date]], "dd")</f>
        <v>2025_10_21</v>
      </c>
      <c r="Z154" s="20" t="str">
        <f>IFERROR(LEFT(J154, FIND(" ", J154) - 1), J154)</f>
        <v>Larnaca</v>
      </c>
      <c r="AA154" s="20" t="str">
        <f>VLOOKUP(Table47[[#This Row],[ToSite-UPSName]],Table1[[Company or Name]:[NOTES]],2,FALSE)</f>
        <v>Cyprus</v>
      </c>
      <c r="AB154" s="20" t="str">
        <f>IFERROR(VLOOKUP(Table47[[#This Row],[ToSite-UPSName]], Table1[[#All],[Company or Name]:[Delivery Address]],20,FALSE),"")</f>
        <v>Adamantiou Korai street 12, Larnaca District Local Government Organization offices, Larnaca, 6010, Cyprus</v>
      </c>
      <c r="AC154" s="20" t="str">
        <f>TEXT(Table47[[#This Row],[Shipping Date (SD-14)]]+3,"YYYY-MM-DD")</f>
        <v>2025-10-10</v>
      </c>
      <c r="AD154" s="20" t="str">
        <f>_xlfn.XLOOKUP(Table47[[#This Row],[Type]],kits!C:C,kits!D:D,"",0)</f>
        <v>boxcontentlabel_template_outbound1.docx</v>
      </c>
    </row>
    <row r="155" spans="2:30" ht="14.1" customHeight="1" x14ac:dyDescent="0.25">
      <c r="B155" s="13">
        <v>242</v>
      </c>
      <c r="C155" s="14" t="s">
        <v>1271</v>
      </c>
      <c r="D155" s="13">
        <v>2</v>
      </c>
      <c r="E155" s="83">
        <v>45951</v>
      </c>
      <c r="F155" s="34">
        <f>_xlfn.LET(
    _xlpm.baseDate, Table47[[#This Row],[Confirmed Sampling Date]] - 14,
    _xlpm.weekdayNum, WEEKDAY(_xlpm.baseDate, 2),
    IF(_xlpm.weekdayNum = 6, _xlpm.baseDate + 2, IF(_xlpm.weekdayNum = 7, _xlpm.baseDate + 1, _xlpm.baseDate))
)</f>
        <v>45937</v>
      </c>
      <c r="G155" s="20">
        <f>IFERROR(WEEKNUM(Table47[[#This Row],[Shipping Date (SD-14)]]),"TBD")</f>
        <v>41</v>
      </c>
      <c r="H155" s="20" t="str">
        <f>IFERROR(TEXT(Table47[[#This Row],[Shipping Date (SD-14)]],"yyyy-mm"),"TBD")</f>
        <v>2025-10</v>
      </c>
      <c r="I155" s="13" t="s">
        <v>637</v>
      </c>
      <c r="J155" s="20" t="str">
        <f>IFERROR(VLOOKUP(Table47[[#This Row],[ToSite-UPSName]],Table1[[#All],[Company or Name]:[Delivery Address]],15,FALSE),"")</f>
        <v>Luxembourg (Beggen) WWTP</v>
      </c>
      <c r="K155" s="20" t="str">
        <f>IFERROR(VLOOKUP(Table47[[#This Row],[ToSite-UPSName]],Table1[[#All],[Company or Name]:[Delivery Address]],16,FALSE),"")</f>
        <v>Luxembourg Airport</v>
      </c>
      <c r="L155" s="20"/>
      <c r="M155" s="20" t="str">
        <f>IFERROR(VLOOKUP(Table47[[#This Row],[ToSite-UPSName]],Table1[[#All],[Company or Name]:[Delivery Address]],18,FALSE),"")</f>
        <v>-</v>
      </c>
      <c r="N155" s="20" t="str">
        <f>IFERROR(VLOOKUP(Table47[[#This Row],[ToSite-UPSName]],Table1[[#All],[Company or Name]:[Delivery Address]],19,FALSE),"")</f>
        <v>-</v>
      </c>
      <c r="O155" s="13"/>
      <c r="P155" s="20" t="s">
        <v>692</v>
      </c>
      <c r="Q155" s="20"/>
      <c r="R155" s="20"/>
      <c r="S155" s="65" t="s">
        <v>892</v>
      </c>
      <c r="T155" s="65" t="s">
        <v>1843</v>
      </c>
      <c r="U155" s="13" t="s">
        <v>125</v>
      </c>
      <c r="V155" s="13" t="s">
        <v>856</v>
      </c>
      <c r="X155" s="13"/>
      <c r="Y155" s="20" t="str">
        <f>TEXT(Table47[[#This Row],[Confirmed Sampling Date]], "yyyy") &amp; "_" &amp; TEXT(Table47[[#This Row],[Confirmed Sampling Date]], "mm") &amp; "_" &amp; TEXT(Table47[[#This Row],[Confirmed Sampling Date]], "dd")</f>
        <v>2025_10_21</v>
      </c>
      <c r="Z155" s="20" t="str">
        <f>IFERROR(LEFT(J155, FIND(" ", J155) - 1), J155)</f>
        <v>Luxembourg</v>
      </c>
      <c r="AA155" s="20" t="str">
        <f>VLOOKUP(Table47[[#This Row],[ToSite-UPSName]],Table1[[Company or Name]:[NOTES]],2,FALSE)</f>
        <v>Luxembourg</v>
      </c>
      <c r="AB155" s="20" t="str">
        <f>IFERROR(VLOOKUP(Table47[[#This Row],[ToSite-UPSName]], Table1[[#All],[Company or Name]:[Delivery Address]],20,FALSE),"")</f>
        <v>41 rue du Brill, Luxembourg, L-4422 , Luxembourg</v>
      </c>
      <c r="AC155" s="20" t="str">
        <f>TEXT(Table47[[#This Row],[Shipping Date (SD-14)]]+3,"YYYY-MM-DD")</f>
        <v>2025-10-10</v>
      </c>
      <c r="AD155" s="20" t="str">
        <f>_xlfn.XLOOKUP(Table47[[#This Row],[Type]],kits!C:C,kits!D:D,"",0)</f>
        <v>boxcontentlabel_template_outbound1.docx</v>
      </c>
    </row>
    <row r="156" spans="2:30" ht="14.1" customHeight="1" x14ac:dyDescent="0.25">
      <c r="B156" s="13">
        <v>24</v>
      </c>
      <c r="C156" s="14" t="s">
        <v>1271</v>
      </c>
      <c r="D156" s="13">
        <v>2</v>
      </c>
      <c r="E156" s="22">
        <v>45951</v>
      </c>
      <c r="F156" s="34">
        <f>_xlfn.LET(
    _xlpm.baseDate, Table47[[#This Row],[Confirmed Sampling Date]] - 14,
    _xlpm.weekdayNum, WEEKDAY(_xlpm.baseDate, 2),
    IF(_xlpm.weekdayNum = 6, _xlpm.baseDate + 2, IF(_xlpm.weekdayNum = 7, _xlpm.baseDate + 1, _xlpm.baseDate))
)</f>
        <v>45937</v>
      </c>
      <c r="G156" s="13">
        <f>IFERROR(WEEKNUM(Table47[[#This Row],[Shipping Date (SD-14)]]),"TBD")</f>
        <v>41</v>
      </c>
      <c r="H156" s="13" t="str">
        <f>IFERROR(TEXT(Table47[[#This Row],[Shipping Date (SD-14)]],"yyyy-mm"),"TBD")</f>
        <v>2025-10</v>
      </c>
      <c r="I156" s="13" t="s">
        <v>19</v>
      </c>
      <c r="J156" s="13" t="str">
        <f>IFERROR(VLOOKUP(Table47[[#This Row],[ToSite-UPSName]],Table1[[#All],[Company or Name]:[Delivery Address]],15,FALSE),"")</f>
        <v>Munich WWTP</v>
      </c>
      <c r="K156" s="13" t="str">
        <f>IFERROR(VLOOKUP(Table47[[#This Row],[ToSite-UPSName]],Table1[[#All],[Company or Name]:[Delivery Address]],16,FALSE),"")</f>
        <v>Munich Airport</v>
      </c>
      <c r="L156" s="13" t="str">
        <f>IFERROR(VLOOKUP(Table47[[#This Row],[ToSite-UPSName]],Table1[[#All],[Company or Name]:[Delivery Address]],17,FALSE),"")</f>
        <v>-</v>
      </c>
      <c r="M156" s="13" t="str">
        <f>IFERROR(VLOOKUP(Table47[[#This Row],[ToSite-UPSName]],Table1[[#All],[Company or Name]:[Delivery Address]],18,FALSE),"")</f>
        <v>-</v>
      </c>
      <c r="N156" s="13" t="str">
        <f>IFERROR(VLOOKUP(Table47[[#This Row],[ToSite-UPSName]],Table1[[#All],[Company or Name]:[Delivery Address]],19,FALSE),"")</f>
        <v>-</v>
      </c>
      <c r="O156" s="13"/>
      <c r="P156" s="20" t="s">
        <v>692</v>
      </c>
      <c r="Q156" s="13"/>
      <c r="R156" s="13"/>
      <c r="S156" s="99" t="s">
        <v>813</v>
      </c>
      <c r="T156" s="99" t="s">
        <v>1785</v>
      </c>
      <c r="U156" s="13" t="s">
        <v>125</v>
      </c>
      <c r="V156" s="13" t="s">
        <v>856</v>
      </c>
      <c r="X156" s="13" t="s">
        <v>1932</v>
      </c>
      <c r="Y156" s="20" t="str">
        <f>TEXT(Table47[[#This Row],[Confirmed Sampling Date]], "yyyy") &amp; "_" &amp; TEXT(Table47[[#This Row],[Confirmed Sampling Date]], "mm") &amp; "_" &amp; TEXT(Table47[[#This Row],[Confirmed Sampling Date]], "dd")</f>
        <v>2025_10_21</v>
      </c>
      <c r="Z156" s="20" t="str">
        <f>IFERROR(LEFT(J156, FIND(" ", J156) - 1), J156)</f>
        <v>Munich</v>
      </c>
      <c r="AA156" s="20" t="str">
        <f>VLOOKUP(Table47[[#This Row],[ToSite-UPSName]],Table1[[Company or Name]:[NOTES]],2,FALSE)</f>
        <v>Germany</v>
      </c>
      <c r="AB156" s="20" t="str">
        <f>IFERROR(VLOOKUP(Table47[[#This Row],[ToSite-UPSName]], Table1[[#All],[Company or Name]:[Delivery Address]],20,FALSE),"")</f>
        <v>Leopoldstrasse 5, Institut fuer Infektions- und Tropenmedizin, Munich, 80802, Germany</v>
      </c>
      <c r="AC156" s="20" t="str">
        <f>TEXT(Table47[[#This Row],[Shipping Date (SD-14)]]+3,"YYYY-MM-DD")</f>
        <v>2025-10-10</v>
      </c>
      <c r="AD156" s="20" t="str">
        <f>_xlfn.XLOOKUP(Table47[[#This Row],[Type]],kits!C:C,kits!D:D,"",0)</f>
        <v>boxcontentlabel_template_outbound1.docx</v>
      </c>
    </row>
    <row r="157" spans="2:30" ht="14.1" customHeight="1" x14ac:dyDescent="0.25">
      <c r="B157" s="13">
        <v>249</v>
      </c>
      <c r="C157" s="14" t="s">
        <v>1271</v>
      </c>
      <c r="D157" s="13">
        <v>2</v>
      </c>
      <c r="E157" s="83">
        <v>45951</v>
      </c>
      <c r="F157" s="34">
        <f>_xlfn.LET(
    _xlpm.baseDate, Table47[[#This Row],[Confirmed Sampling Date]] - 14,
    _xlpm.weekdayNum, WEEKDAY(_xlpm.baseDate, 2),
    IF(_xlpm.weekdayNum = 6, _xlpm.baseDate + 2, IF(_xlpm.weekdayNum = 7, _xlpm.baseDate + 1, _xlpm.baseDate))
)</f>
        <v>45937</v>
      </c>
      <c r="G157" s="20">
        <f>IFERROR(WEEKNUM(Table47[[#This Row],[Shipping Date (SD-14)]]),"TBD")</f>
        <v>41</v>
      </c>
      <c r="H157" s="20" t="str">
        <f>IFERROR(TEXT(Table47[[#This Row],[Shipping Date (SD-14)]],"yyyy-mm"),"TBD")</f>
        <v>2025-10</v>
      </c>
      <c r="I157" s="13" t="s">
        <v>19</v>
      </c>
      <c r="J157" s="20" t="str">
        <f>IFERROR(VLOOKUP(Table47[[#This Row],[ToSite-UPSName]],Table1[[#All],[Company or Name]:[Delivery Address]],15,FALSE),"")</f>
        <v>Munich WWTP</v>
      </c>
      <c r="K157" s="20" t="str">
        <f>IFERROR(VLOOKUP(Table47[[#This Row],[ToSite-UPSName]],Table1[[#All],[Company or Name]:[Delivery Address]],16,FALSE),"")</f>
        <v>Munich Airport</v>
      </c>
      <c r="L157" s="20"/>
      <c r="M157" s="20" t="str">
        <f>IFERROR(VLOOKUP(Table47[[#This Row],[ToSite-UPSName]],Table1[[#All],[Company or Name]:[Delivery Address]],18,FALSE),"")</f>
        <v>-</v>
      </c>
      <c r="N157" s="20" t="str">
        <f>IFERROR(VLOOKUP(Table47[[#This Row],[ToSite-UPSName]],Table1[[#All],[Company or Name]:[Delivery Address]],19,FALSE),"")</f>
        <v>-</v>
      </c>
      <c r="O157" s="13"/>
      <c r="P157" s="20" t="s">
        <v>692</v>
      </c>
      <c r="Q157" s="20"/>
      <c r="R157" s="20"/>
      <c r="S157" s="20" t="s">
        <v>813</v>
      </c>
      <c r="T157" s="20" t="s">
        <v>1928</v>
      </c>
      <c r="U157" s="20" t="s">
        <v>125</v>
      </c>
      <c r="V157" s="13" t="s">
        <v>856</v>
      </c>
      <c r="X157" s="13"/>
      <c r="Y157" s="20" t="str">
        <f>TEXT(Table47[[#This Row],[Confirmed Sampling Date]], "yyyy") &amp; "_" &amp; TEXT(Table47[[#This Row],[Confirmed Sampling Date]], "mm") &amp; "_" &amp; TEXT(Table47[[#This Row],[Confirmed Sampling Date]], "dd")</f>
        <v>2025_10_21</v>
      </c>
      <c r="Z157" s="20" t="str">
        <f>IFERROR(LEFT(J157, FIND(" ", J157) - 1), J157)</f>
        <v>Munich</v>
      </c>
      <c r="AA157" s="20" t="str">
        <f>VLOOKUP(Table47[[#This Row],[ToSite-UPSName]],Table1[[Company or Name]:[NOTES]],2,FALSE)</f>
        <v>Germany</v>
      </c>
      <c r="AB157" s="20" t="str">
        <f>IFERROR(VLOOKUP(Table47[[#This Row],[ToSite-UPSName]], Table1[[#All],[Company or Name]:[Delivery Address]],20,FALSE),"")</f>
        <v>Leopoldstrasse 5, Institut fuer Infektions- und Tropenmedizin, Munich, 80802, Germany</v>
      </c>
      <c r="AC157" s="20" t="str">
        <f>TEXT(Table47[[#This Row],[Shipping Date (SD-14)]]+3,"YYYY-MM-DD")</f>
        <v>2025-10-10</v>
      </c>
      <c r="AD157" s="20" t="str">
        <f>_xlfn.XLOOKUP(Table47[[#This Row],[Type]],kits!C:C,kits!D:D,"",0)</f>
        <v>boxcontentlabel_template_outbound1.docx</v>
      </c>
    </row>
    <row r="158" spans="2:30" ht="14.1" customHeight="1" x14ac:dyDescent="0.25">
      <c r="B158" s="13">
        <v>106</v>
      </c>
      <c r="C158" s="14" t="s">
        <v>1271</v>
      </c>
      <c r="D158" s="13">
        <v>4</v>
      </c>
      <c r="E158" s="83">
        <v>45951</v>
      </c>
      <c r="F158" s="34">
        <f>_xlfn.LET(
    _xlpm.baseDate, Table47[[#This Row],[Confirmed Sampling Date]] - 14,
    _xlpm.weekdayNum, WEEKDAY(_xlpm.baseDate, 2),
    IF(_xlpm.weekdayNum = 6, _xlpm.baseDate + 2, IF(_xlpm.weekdayNum = 7, _xlpm.baseDate + 1, _xlpm.baseDate))
)</f>
        <v>45937</v>
      </c>
      <c r="G158" s="20">
        <f>IFERROR(WEEKNUM(Table47[[#This Row],[Shipping Date (SD-14)]]),"TBD")</f>
        <v>41</v>
      </c>
      <c r="H158" s="20" t="str">
        <f>IFERROR(TEXT(Table47[[#This Row],[Shipping Date (SD-14)]],"yyyy-mm"),"TBD")</f>
        <v>2025-10</v>
      </c>
      <c r="I158" s="13" t="s">
        <v>877</v>
      </c>
      <c r="J158" s="20" t="str">
        <f>IFERROR(VLOOKUP(Table47[[#This Row],[ToSite-UPSName]],Table1[[#All],[Company or Name]:[Delivery Address]],15,FALSE),"")</f>
        <v>Prague National Institute</v>
      </c>
      <c r="K158" s="20" t="str">
        <f>IFERROR(VLOOKUP(Table47[[#This Row],[ToSite-UPSName]],Table1[[#All],[Company or Name]:[Delivery Address]],16,FALSE),"")</f>
        <v>Prague WWTP FLOW 1</v>
      </c>
      <c r="L158" s="13" t="str">
        <f>IFERROR(VLOOKUP(Table47[[#This Row],[ToSite-UPSName]],Table1[[#All],[Company or Name]:[Delivery Address]],17,FALSE),"")</f>
        <v>Prague WWTP FLOW 2</v>
      </c>
      <c r="M158" s="20" t="str">
        <f>IFERROR(VLOOKUP(Table47[[#This Row],[ToSite-UPSName]],Table1[[#All],[Company or Name]:[Delivery Address]],18,FALSE),"")</f>
        <v>Prague Airport</v>
      </c>
      <c r="N158" s="20" t="str">
        <f>IFERROR(VLOOKUP(Table47[[#This Row],[ToSite-UPSName]],Table1[[#All],[Company or Name]:[Delivery Address]],19,FALSE),"")</f>
        <v>Prague Hospital</v>
      </c>
      <c r="O158" s="13"/>
      <c r="P158" s="20" t="s">
        <v>692</v>
      </c>
      <c r="Q158" s="20"/>
      <c r="R158" s="20"/>
      <c r="S158" s="100" t="s">
        <v>813</v>
      </c>
      <c r="T158" s="100" t="s">
        <v>1786</v>
      </c>
      <c r="U158" s="13" t="s">
        <v>125</v>
      </c>
      <c r="V158" s="13" t="s">
        <v>856</v>
      </c>
      <c r="X158" s="13"/>
      <c r="Y158" s="20" t="str">
        <f>TEXT(Table47[[#This Row],[Confirmed Sampling Date]], "yyyy") &amp; "_" &amp; TEXT(Table47[[#This Row],[Confirmed Sampling Date]], "mm") &amp; "_" &amp; TEXT(Table47[[#This Row],[Confirmed Sampling Date]], "dd")</f>
        <v>2025_10_21</v>
      </c>
      <c r="Z158" s="20" t="str">
        <f>IFERROR(LEFT(J158, FIND(" ", J158) - 1), J158)</f>
        <v>Prague</v>
      </c>
      <c r="AA158" s="20" t="str">
        <f>VLOOKUP(Table47[[#This Row],[ToSite-UPSName]],Table1[[Company or Name]:[NOTES]],2,FALSE)</f>
        <v>Czech Republic</v>
      </c>
      <c r="AB158" s="20" t="str">
        <f>IFERROR(VLOOKUP(Table47[[#This Row],[ToSite-UPSName]], Table1[[#All],[Company or Name]:[Delivery Address]],20,FALSE),"")</f>
        <v>Šrobárova 49/48, Státní zdravotní ústav, Praha, 100 00, Czech Republic</v>
      </c>
      <c r="AC158" s="20" t="str">
        <f>TEXT(Table47[[#This Row],[Shipping Date (SD-14)]]+3,"YYYY-MM-DD")</f>
        <v>2025-10-10</v>
      </c>
      <c r="AD158" s="20" t="str">
        <f>_xlfn.XLOOKUP(Table47[[#This Row],[Type]],kits!C:C,kits!D:D,"",0)</f>
        <v>boxcontentlabel_template_outbound1.docx</v>
      </c>
    </row>
    <row r="159" spans="2:30" ht="14.1" customHeight="1" x14ac:dyDescent="0.25">
      <c r="B159" s="13">
        <v>143</v>
      </c>
      <c r="C159" s="14" t="s">
        <v>1271</v>
      </c>
      <c r="D159" s="13">
        <v>3</v>
      </c>
      <c r="E159" s="83">
        <v>45951</v>
      </c>
      <c r="F159" s="34">
        <f>_xlfn.LET(
    _xlpm.baseDate, Table47[[#This Row],[Confirmed Sampling Date]] - 14,
    _xlpm.weekdayNum, WEEKDAY(_xlpm.baseDate, 2),
    IF(_xlpm.weekdayNum = 6, _xlpm.baseDate + 2, IF(_xlpm.weekdayNum = 7, _xlpm.baseDate + 1, _xlpm.baseDate))
)</f>
        <v>45937</v>
      </c>
      <c r="G159" s="20">
        <f>IFERROR(WEEKNUM(Table47[[#This Row],[Shipping Date (SD-14)]]),"TBD")</f>
        <v>41</v>
      </c>
      <c r="H159" s="20" t="str">
        <f>IFERROR(TEXT(Table47[[#This Row],[Shipping Date (SD-14)]],"yyyy-mm"),"TBD")</f>
        <v>2025-10</v>
      </c>
      <c r="I159" s="13" t="s">
        <v>975</v>
      </c>
      <c r="J159" s="20" t="str">
        <f>IFERROR(VLOOKUP(Table47[[#This Row],[ToSite-UPSName]],Table1[[#All],[Company or Name]:[Delivery Address]],15,FALSE),"")</f>
        <v>Vilnius WWTP</v>
      </c>
      <c r="K159" s="20" t="str">
        <f>IFERROR(VLOOKUP(Table47[[#This Row],[ToSite-UPSName]],Table1[[#All],[Company or Name]:[Delivery Address]],16,FALSE),"")</f>
        <v>Vilnius Bus Terminal</v>
      </c>
      <c r="L159" s="20"/>
      <c r="M159" s="20">
        <f>IFERROR(VLOOKUP(Table47[[#This Row],[ToSite-UPSName]],Table1[[#All],[Company or Name]:[Delivery Address]],18,FALSE),"")</f>
        <v>0</v>
      </c>
      <c r="N159" s="20">
        <f>IFERROR(VLOOKUP(Table47[[#This Row],[ToSite-UPSName]],Table1[[#All],[Company or Name]:[Delivery Address]],19,FALSE),"")</f>
        <v>0</v>
      </c>
      <c r="O159" s="13"/>
      <c r="P159" s="20" t="s">
        <v>692</v>
      </c>
      <c r="Q159" s="20"/>
      <c r="R159" s="20"/>
      <c r="S159" s="64" t="s">
        <v>813</v>
      </c>
      <c r="T159" s="64" t="s">
        <v>1794</v>
      </c>
      <c r="U159" s="13" t="s">
        <v>125</v>
      </c>
      <c r="V159" s="13" t="s">
        <v>856</v>
      </c>
      <c r="X159" s="13"/>
      <c r="Y159" s="20" t="str">
        <f>TEXT(Table47[[#This Row],[Confirmed Sampling Date]], "yyyy") &amp; "_" &amp; TEXT(Table47[[#This Row],[Confirmed Sampling Date]], "mm") &amp; "_" &amp; TEXT(Table47[[#This Row],[Confirmed Sampling Date]], "dd")</f>
        <v>2025_10_21</v>
      </c>
      <c r="Z159" s="20" t="str">
        <f>IFERROR(LEFT(J159, FIND(" ", J159) - 1), J159)</f>
        <v>Vilnius</v>
      </c>
      <c r="AA159" s="20" t="str">
        <f>VLOOKUP(Table47[[#This Row],[ToSite-UPSName]],Table1[[Company or Name]:[NOTES]],2,FALSE)</f>
        <v>Lithuania</v>
      </c>
      <c r="AB159" s="20" t="str">
        <f>IFERROR(VLOOKUP(Table47[[#This Row],[ToSite-UPSName]], Table1[[#All],[Company or Name]:[Delivery Address]],20,FALSE),"")</f>
        <v>Zolyno 36 gatve, Vilnius, 10210, Lithuania</v>
      </c>
      <c r="AC159" s="20" t="str">
        <f>TEXT(Table47[[#This Row],[Shipping Date (SD-14)]]+3,"YYYY-MM-DD")</f>
        <v>2025-10-10</v>
      </c>
      <c r="AD159" s="20" t="str">
        <f>_xlfn.XLOOKUP(Table47[[#This Row],[Type]],kits!C:C,kits!D:D,"",0)</f>
        <v>boxcontentlabel_template_outbound1.docx</v>
      </c>
    </row>
    <row r="160" spans="2:30" ht="14.1" customHeight="1" x14ac:dyDescent="0.25">
      <c r="B160" s="13">
        <v>222</v>
      </c>
      <c r="C160" s="14" t="s">
        <v>1271</v>
      </c>
      <c r="D160" s="13">
        <v>2</v>
      </c>
      <c r="E160" s="83">
        <v>45952</v>
      </c>
      <c r="F160" s="34">
        <f>_xlfn.LET(
    _xlpm.baseDate, Table47[[#This Row],[Confirmed Sampling Date]] - 14,
    _xlpm.weekdayNum, WEEKDAY(_xlpm.baseDate, 2),
    IF(_xlpm.weekdayNum = 6, _xlpm.baseDate + 2, IF(_xlpm.weekdayNum = 7, _xlpm.baseDate + 1, _xlpm.baseDate))
)</f>
        <v>45938</v>
      </c>
      <c r="G160" s="20">
        <f>IFERROR(WEEKNUM(Table47[[#This Row],[Shipping Date (SD-14)]]),"TBD")</f>
        <v>41</v>
      </c>
      <c r="H160" s="20" t="str">
        <f>IFERROR(TEXT(Table47[[#This Row],[Shipping Date (SD-14)]],"yyyy-mm"),"TBD")</f>
        <v>2025-10</v>
      </c>
      <c r="I160" s="13" t="s">
        <v>1590</v>
      </c>
      <c r="J160" s="20" t="str">
        <f>IFERROR(VLOOKUP(Table47[[#This Row],[ToSite-UPSName]],Table1[[#All],[Company or Name]:[Delivery Address]],15,FALSE),"")</f>
        <v>Àthens WWTP</v>
      </c>
      <c r="K160" s="20" t="str">
        <f>IFERROR(VLOOKUP(Table47[[#This Row],[ToSite-UPSName]],Table1[[#All],[Company or Name]:[Delivery Address]],16,FALSE),"")</f>
        <v>Athens Airport</v>
      </c>
      <c r="L160" s="20"/>
      <c r="M160" s="20" t="str">
        <f>IFERROR(VLOOKUP(Table47[[#This Row],[ToSite-UPSName]],Table1[[#All],[Company or Name]:[Delivery Address]],18,FALSE),"")</f>
        <v>-</v>
      </c>
      <c r="N160" s="20" t="str">
        <f>IFERROR(VLOOKUP(Table47[[#This Row],[ToSite-UPSName]],Table1[[#All],[Company or Name]:[Delivery Address]],19,FALSE),"")</f>
        <v>-</v>
      </c>
      <c r="O160" s="13"/>
      <c r="P160" s="20" t="s">
        <v>692</v>
      </c>
      <c r="Q160" s="20"/>
      <c r="R160" s="20"/>
      <c r="S160" s="100" t="s">
        <v>813</v>
      </c>
      <c r="T160" s="100" t="s">
        <v>1781</v>
      </c>
      <c r="U160" s="13" t="s">
        <v>125</v>
      </c>
      <c r="V160" s="13" t="s">
        <v>856</v>
      </c>
      <c r="X160" s="13"/>
      <c r="Y160" s="20" t="str">
        <f>TEXT(Table47[[#This Row],[Confirmed Sampling Date]], "yyyy") &amp; "_" &amp; TEXT(Table47[[#This Row],[Confirmed Sampling Date]], "mm") &amp; "_" &amp; TEXT(Table47[[#This Row],[Confirmed Sampling Date]], "dd")</f>
        <v>2025_10_22</v>
      </c>
      <c r="Z160" s="20" t="str">
        <f>IFERROR(LEFT(J160, FIND(" ", J160) - 1), J160)</f>
        <v>Àthens</v>
      </c>
      <c r="AA160" s="20" t="str">
        <f>VLOOKUP(Table47[[#This Row],[ToSite-UPSName]],Table1[[Company or Name]:[NOTES]],2,FALSE)</f>
        <v>Greece</v>
      </c>
      <c r="AB160" s="20" t="str">
        <f>IFERROR(VLOOKUP(Table47[[#This Row],[ToSite-UPSName]], Table1[[#All],[Company or Name]:[Delivery Address]],20,FALSE),"")</f>
        <v>Zografou, 4ος όροφος, εργαστήριο αριθμός 8, Athens,  157 71, Greece</v>
      </c>
      <c r="AC160" s="20" t="str">
        <f>TEXT(Table47[[#This Row],[Shipping Date (SD-14)]]+3,"YYYY-MM-DD")</f>
        <v>2025-10-11</v>
      </c>
      <c r="AD160" s="20" t="str">
        <f>_xlfn.XLOOKUP(Table47[[#This Row],[Type]],kits!C:C,kits!D:D,"",0)</f>
        <v>boxcontentlabel_template_outbound1.docx</v>
      </c>
    </row>
    <row r="161" spans="2:30" ht="13.5" customHeight="1" x14ac:dyDescent="0.25">
      <c r="B161" s="13">
        <v>153</v>
      </c>
      <c r="C161" s="14" t="s">
        <v>1271</v>
      </c>
      <c r="D161" s="13">
        <v>20</v>
      </c>
      <c r="E161" s="80">
        <v>45952</v>
      </c>
      <c r="F161" s="34">
        <f>_xlfn.LET(
    _xlpm.baseDate, Table47[[#This Row],[Confirmed Sampling Date]] - 14,
    _xlpm.weekdayNum, WEEKDAY(_xlpm.baseDate, 2),
    IF(_xlpm.weekdayNum = 6, _xlpm.baseDate + 2, IF(_xlpm.weekdayNum = 7, _xlpm.baseDate + 1, _xlpm.baseDate))
)</f>
        <v>45938</v>
      </c>
      <c r="G161" s="20">
        <f>IFERROR(WEEKNUM(Table47[[#This Row],[Shipping Date (SD-14)]]),"TBD")</f>
        <v>41</v>
      </c>
      <c r="H161" s="20" t="str">
        <f>IFERROR(TEXT(Table47[[#This Row],[Shipping Date (SD-14)]],"yyyy-mm"),"TBD")</f>
        <v>2025-10</v>
      </c>
      <c r="I161" s="78" t="s">
        <v>1628</v>
      </c>
      <c r="J161" s="20" t="str">
        <f>IFERROR(VLOOKUP(Table47[[#This Row],[ToSite-UPSName]],Table1[[#All],[Company or Name]:[Delivery Address]],15,FALSE),"")</f>
        <v>Funchal WWTP</v>
      </c>
      <c r="K161" s="20" t="str">
        <f>IFERROR(VLOOKUP(Table47[[#This Row],[ToSite-UPSName]],Table1[[#All],[Company or Name]:[Delivery Address]],16,FALSE),"")</f>
        <v>Madeira, 10 locations</v>
      </c>
      <c r="L161" s="20"/>
      <c r="M161" s="20">
        <f>IFERROR(VLOOKUP(Table47[[#This Row],[ToSite-UPSName]],Table1[[#All],[Company or Name]:[Delivery Address]],18,FALSE),"")</f>
        <v>0</v>
      </c>
      <c r="N161" s="20">
        <f>IFERROR(VLOOKUP(Table47[[#This Row],[ToSite-UPSName]],Table1[[#All],[Company or Name]:[Delivery Address]],19,FALSE),"")</f>
        <v>0</v>
      </c>
      <c r="O161" s="13"/>
      <c r="P161" s="13" t="s">
        <v>692</v>
      </c>
      <c r="Q161" s="20"/>
      <c r="R161" s="20"/>
      <c r="S161" s="100" t="s">
        <v>813</v>
      </c>
      <c r="T161" s="100" t="s">
        <v>1930</v>
      </c>
      <c r="U161" s="13" t="s">
        <v>125</v>
      </c>
      <c r="V161" s="13" t="s">
        <v>856</v>
      </c>
      <c r="X161" s="13" t="s">
        <v>1934</v>
      </c>
      <c r="Y161" s="20" t="str">
        <f>TEXT(Table47[[#This Row],[Confirmed Sampling Date]], "yyyy") &amp; "_" &amp; TEXT(Table47[[#This Row],[Confirmed Sampling Date]], "mm") &amp; "_" &amp; TEXT(Table47[[#This Row],[Confirmed Sampling Date]], "dd")</f>
        <v>2025_10_22</v>
      </c>
      <c r="Z161" s="20" t="str">
        <f>IFERROR(LEFT(J161, FIND(" ", J161) - 1), J161)</f>
        <v>Funchal</v>
      </c>
      <c r="AA161" s="20" t="str">
        <f>VLOOKUP(Table47[[#This Row],[ToSite-UPSName]],Table1[[Company or Name]:[NOTES]],2,FALSE)</f>
        <v>Portugal</v>
      </c>
      <c r="AB161" s="20" t="str">
        <f>IFERROR(VLOOKUP(Table47[[#This Row],[ToSite-UPSName]], Table1[[#All],[Company or Name]:[Delivery Address]],20,FALSE),"")</f>
        <v>R. do Matadouro 4, Funchal, 9050-100, Portugal</v>
      </c>
      <c r="AC161" s="20" t="str">
        <f>TEXT(Table47[[#This Row],[Shipping Date (SD-14)]]+3,"YYYY-MM-DD")</f>
        <v>2025-10-11</v>
      </c>
      <c r="AD161" s="20" t="str">
        <f>_xlfn.XLOOKUP(Table47[[#This Row],[Type]],kits!C:C,kits!D:D,"",0)</f>
        <v>boxcontentlabel_template_outbound1.docx</v>
      </c>
    </row>
    <row r="162" spans="2:30" ht="14.1" customHeight="1" x14ac:dyDescent="0.25">
      <c r="B162" s="13">
        <v>197</v>
      </c>
      <c r="C162" s="85" t="s">
        <v>1272</v>
      </c>
      <c r="D162" s="13">
        <v>4</v>
      </c>
      <c r="E162" s="83">
        <v>45952</v>
      </c>
      <c r="F162" s="34">
        <f>_xlfn.LET(
    _xlpm.baseDate, Table47[[#This Row],[Confirmed Sampling Date]] - 14,
    _xlpm.weekdayNum, WEEKDAY(_xlpm.baseDate, 2),
    IF(_xlpm.weekdayNum = 6, _xlpm.baseDate + 2, IF(_xlpm.weekdayNum = 7, _xlpm.baseDate + 1, _xlpm.baseDate))
)</f>
        <v>45938</v>
      </c>
      <c r="G162" s="20">
        <f>IFERROR(WEEKNUM(Table47[[#This Row],[Shipping Date (SD-14)]]),"TBD")</f>
        <v>41</v>
      </c>
      <c r="H162" s="20" t="str">
        <f>IFERROR(TEXT(Table47[[#This Row],[Shipping Date (SD-14)]],"yyyy-mm"),"TBD")</f>
        <v>2025-10</v>
      </c>
      <c r="I162" s="13" t="s">
        <v>1628</v>
      </c>
      <c r="J162" s="20" t="str">
        <f>IFERROR(VLOOKUP(Table47[[#This Row],[ToSite-UPSName]],Table1[[#All],[Company or Name]:[Delivery Address]],15,FALSE),"")</f>
        <v>Funchal WWTP</v>
      </c>
      <c r="K162" s="20" t="str">
        <f>IFERROR(VLOOKUP(Table47[[#This Row],[ToSite-UPSName]],Table1[[#All],[Company or Name]:[Delivery Address]],16,FALSE),"")</f>
        <v>Madeira, 10 locations</v>
      </c>
      <c r="L162" s="20"/>
      <c r="M162" s="20">
        <f>IFERROR(VLOOKUP(Table47[[#This Row],[ToSite-UPSName]],Table1[[#All],[Company or Name]:[Delivery Address]],18,FALSE),"")</f>
        <v>0</v>
      </c>
      <c r="N162" s="20">
        <f>IFERROR(VLOOKUP(Table47[[#This Row],[ToSite-UPSName]],Table1[[#All],[Company or Name]:[Delivery Address]],19,FALSE),"")</f>
        <v>0</v>
      </c>
      <c r="O162" s="13"/>
      <c r="P162" s="20" t="s">
        <v>692</v>
      </c>
      <c r="Q162" s="20"/>
      <c r="R162" s="20"/>
      <c r="S162" s="64" t="s">
        <v>813</v>
      </c>
      <c r="T162" s="64" t="s">
        <v>1780</v>
      </c>
      <c r="U162" s="13" t="s">
        <v>125</v>
      </c>
      <c r="V162" s="13" t="s">
        <v>856</v>
      </c>
      <c r="X162" s="13"/>
      <c r="Y162" s="20" t="str">
        <f>TEXT(Table47[[#This Row],[Confirmed Sampling Date]], "yyyy") &amp; "_" &amp; TEXT(Table47[[#This Row],[Confirmed Sampling Date]], "mm") &amp; "_" &amp; TEXT(Table47[[#This Row],[Confirmed Sampling Date]], "dd")</f>
        <v>2025_10_22</v>
      </c>
      <c r="Z162" s="20" t="str">
        <f>IFERROR(LEFT(J162, FIND(" ", J162) - 1), J162)</f>
        <v>Funchal</v>
      </c>
      <c r="AA162" s="20" t="str">
        <f>VLOOKUP(Table47[[#This Row],[ToSite-UPSName]],Table1[[Company or Name]:[NOTES]],2,FALSE)</f>
        <v>Portugal</v>
      </c>
      <c r="AB162" s="20" t="str">
        <f>IFERROR(VLOOKUP(Table47[[#This Row],[ToSite-UPSName]], Table1[[#All],[Company or Name]:[Delivery Address]],20,FALSE),"")</f>
        <v>R. do Matadouro 4, Funchal, 9050-100, Portugal</v>
      </c>
      <c r="AC162" s="20" t="str">
        <f>TEXT(Table47[[#This Row],[Shipping Date (SD-14)]]+3,"YYYY-MM-DD")</f>
        <v>2025-10-11</v>
      </c>
      <c r="AD162" s="20" t="str">
        <f>_xlfn.XLOOKUP(Table47[[#This Row],[Type]],kits!C:C,kits!D:D,"",0)</f>
        <v>boxcontentlabel_template_outbound2.docx</v>
      </c>
    </row>
    <row r="163" spans="2:30" ht="13.5" customHeight="1" x14ac:dyDescent="0.25">
      <c r="B163" s="13">
        <v>251</v>
      </c>
      <c r="C163" s="14" t="s">
        <v>1271</v>
      </c>
      <c r="D163" s="13">
        <v>1</v>
      </c>
      <c r="E163" s="83">
        <v>45952</v>
      </c>
      <c r="F163" s="34">
        <f>_xlfn.LET(
    _xlpm.baseDate, Table47[[#This Row],[Confirmed Sampling Date]] - 14,
    _xlpm.weekdayNum, WEEKDAY(_xlpm.baseDate, 2),
    IF(_xlpm.weekdayNum = 6, _xlpm.baseDate + 2, IF(_xlpm.weekdayNum = 7, _xlpm.baseDate + 1, _xlpm.baseDate))
)</f>
        <v>45938</v>
      </c>
      <c r="G163" s="20">
        <f>IFERROR(WEEKNUM(Table47[[#This Row],[Shipping Date (SD-14)]]),"TBD")</f>
        <v>41</v>
      </c>
      <c r="H163" s="20" t="str">
        <f>IFERROR(TEXT(Table47[[#This Row],[Shipping Date (SD-14)]],"yyyy-mm"),"TBD")</f>
        <v>2025-10</v>
      </c>
      <c r="I163" s="13" t="s">
        <v>1628</v>
      </c>
      <c r="J163" s="20" t="str">
        <f>IFERROR(VLOOKUP(Table47[[#This Row],[ToSite-UPSName]],Table1[[#All],[Company or Name]:[Delivery Address]],15,FALSE),"")</f>
        <v>Funchal WWTP</v>
      </c>
      <c r="K163" s="20" t="str">
        <f>IFERROR(VLOOKUP(Table47[[#This Row],[ToSite-UPSName]],Table1[[#All],[Company or Name]:[Delivery Address]],16,FALSE),"")</f>
        <v>Madeira, 10 locations</v>
      </c>
      <c r="L163" s="20"/>
      <c r="M163" s="20">
        <f>IFERROR(VLOOKUP(Table47[[#This Row],[ToSite-UPSName]],Table1[[#All],[Company or Name]:[Delivery Address]],18,FALSE),"")</f>
        <v>0</v>
      </c>
      <c r="N163" s="20">
        <f>IFERROR(VLOOKUP(Table47[[#This Row],[ToSite-UPSName]],Table1[[#All],[Company or Name]:[Delivery Address]],19,FALSE),"")</f>
        <v>0</v>
      </c>
      <c r="O163" s="13"/>
      <c r="P163" s="13" t="s">
        <v>692</v>
      </c>
      <c r="Q163" s="20" t="s">
        <v>639</v>
      </c>
      <c r="R163" s="20"/>
      <c r="S163" s="65" t="s">
        <v>134</v>
      </c>
      <c r="T163" s="119" t="s">
        <v>1931</v>
      </c>
      <c r="U163" s="20" t="s">
        <v>125</v>
      </c>
      <c r="V163" s="13" t="s">
        <v>856</v>
      </c>
      <c r="X163" s="13"/>
      <c r="Y163" s="20" t="str">
        <f>TEXT(Table47[[#This Row],[Confirmed Sampling Date]], "yyyy") &amp; "_" &amp; TEXT(Table47[[#This Row],[Confirmed Sampling Date]], "mm") &amp; "_" &amp; TEXT(Table47[[#This Row],[Confirmed Sampling Date]], "dd")</f>
        <v>2025_10_22</v>
      </c>
      <c r="Z163" s="20" t="str">
        <f>IFERROR(LEFT(J163, FIND(" ", J163) - 1), J163)</f>
        <v>Funchal</v>
      </c>
      <c r="AA163" s="20" t="str">
        <f>VLOOKUP(Table47[[#This Row],[ToSite-UPSName]],Table1[[Company or Name]:[NOTES]],2,FALSE)</f>
        <v>Portugal</v>
      </c>
      <c r="AB163" s="20" t="str">
        <f>IFERROR(VLOOKUP(Table47[[#This Row],[ToSite-UPSName]], Table1[[#All],[Company or Name]:[Delivery Address]],20,FALSE),"")</f>
        <v>R. do Matadouro 4, Funchal, 9050-100, Portugal</v>
      </c>
      <c r="AC163" s="20" t="str">
        <f>TEXT(Table47[[#This Row],[Shipping Date (SD-14)]]+3,"YYYY-MM-DD")</f>
        <v>2025-10-11</v>
      </c>
      <c r="AD163" s="20" t="str">
        <f>_xlfn.XLOOKUP(Table47[[#This Row],[Type]],kits!C:C,kits!D:D,"",0)</f>
        <v>boxcontentlabel_template_outbound1.docx</v>
      </c>
    </row>
    <row r="164" spans="2:30" ht="14.1" customHeight="1" x14ac:dyDescent="0.25">
      <c r="B164" s="13">
        <v>79</v>
      </c>
      <c r="C164" s="14" t="s">
        <v>1271</v>
      </c>
      <c r="D164" s="13">
        <v>1</v>
      </c>
      <c r="E164" s="22">
        <v>45952</v>
      </c>
      <c r="F164" s="34">
        <f>_xlfn.LET(
    _xlpm.baseDate, Table47[[#This Row],[Confirmed Sampling Date]] - 14,
    _xlpm.weekdayNum, WEEKDAY(_xlpm.baseDate, 2),
    IF(_xlpm.weekdayNum = 6, _xlpm.baseDate + 2, IF(_xlpm.weekdayNum = 7, _xlpm.baseDate + 1, _xlpm.baseDate))
)</f>
        <v>45938</v>
      </c>
      <c r="G164" s="20">
        <f>IFERROR(WEEKNUM(Table47[[#This Row],[Shipping Date (SD-14)]]),"TBD")</f>
        <v>41</v>
      </c>
      <c r="H164" s="20" t="str">
        <f>IFERROR(TEXT(Table47[[#This Row],[Shipping Date (SD-14)]],"yyyy-mm"),"TBD")</f>
        <v>2025-10</v>
      </c>
      <c r="I164" s="13" t="s">
        <v>680</v>
      </c>
      <c r="J164" s="13" t="str">
        <f>IFERROR(VLOOKUP(Table47[[#This Row],[ToSite-UPSName]],Table1[[#All],[Company or Name]:[Delivery Address]],15,FALSE),"")</f>
        <v>Rome WWTP</v>
      </c>
      <c r="K164" s="20" t="str">
        <f>IFERROR(VLOOKUP(Table47[[#This Row],[ToSite-UPSName]],Table1[[#All],[Company or Name]:[Delivery Address]],16,FALSE),"")</f>
        <v>-</v>
      </c>
      <c r="L164" s="13" t="str">
        <f>IFERROR(VLOOKUP(Table47[[#This Row],[ToSite-UPSName]],Table1[[#All],[Company or Name]:[Delivery Address]],17,FALSE),"")</f>
        <v>-</v>
      </c>
      <c r="M164" s="20" t="str">
        <f>IFERROR(VLOOKUP(Table47[[#This Row],[ToSite-UPSName]],Table1[[#All],[Company or Name]:[Delivery Address]],18,FALSE),"")</f>
        <v>-</v>
      </c>
      <c r="N164" s="20" t="str">
        <f>IFERROR(VLOOKUP(Table47[[#This Row],[ToSite-UPSName]],Table1[[#All],[Company or Name]:[Delivery Address]],19,FALSE),"")</f>
        <v>-</v>
      </c>
      <c r="O164" s="13"/>
      <c r="P164" s="20" t="s">
        <v>692</v>
      </c>
      <c r="Q164" s="20"/>
      <c r="R164" s="20"/>
      <c r="S164" s="64" t="s">
        <v>813</v>
      </c>
      <c r="T164" s="64" t="s">
        <v>1787</v>
      </c>
      <c r="U164" s="13" t="s">
        <v>125</v>
      </c>
      <c r="V164" s="13" t="s">
        <v>856</v>
      </c>
      <c r="X164" s="13"/>
      <c r="Y164" s="20" t="str">
        <f>TEXT(Table47[[#This Row],[Confirmed Sampling Date]], "yyyy") &amp; "_" &amp; TEXT(Table47[[#This Row],[Confirmed Sampling Date]], "mm") &amp; "_" &amp; TEXT(Table47[[#This Row],[Confirmed Sampling Date]], "dd")</f>
        <v>2025_10_22</v>
      </c>
      <c r="Z164" s="20" t="str">
        <f>IFERROR(LEFT(J164, FIND(" ", J164) - 1), J164)</f>
        <v>Rome</v>
      </c>
      <c r="AA164" s="20" t="str">
        <f>VLOOKUP(Table47[[#This Row],[ToSite-UPSName]],Table1[[Company or Name]:[NOTES]],2,FALSE)</f>
        <v>Italy</v>
      </c>
      <c r="AB164" s="20" t="str">
        <f>IFERROR(VLOOKUP(Table47[[#This Row],[ToSite-UPSName]], Table1[[#All],[Company or Name]:[Delivery Address]],20,FALSE),"")</f>
        <v>Via dell'Equitazione 10, Rome, 00144, Italy</v>
      </c>
      <c r="AC164" s="20" t="str">
        <f>TEXT(Table47[[#This Row],[Shipping Date (SD-14)]]+3,"YYYY-MM-DD")</f>
        <v>2025-10-11</v>
      </c>
      <c r="AD164" s="20" t="str">
        <f>_xlfn.XLOOKUP(Table47[[#This Row],[Type]],kits!C:C,kits!D:D,"",0)</f>
        <v>boxcontentlabel_template_outbound1.docx</v>
      </c>
    </row>
    <row r="165" spans="2:30" ht="14.1" customHeight="1" x14ac:dyDescent="0.25">
      <c r="B165" s="13">
        <v>93</v>
      </c>
      <c r="C165" s="14" t="s">
        <v>1271</v>
      </c>
      <c r="D165" s="13">
        <v>1</v>
      </c>
      <c r="E165" s="22">
        <v>45952</v>
      </c>
      <c r="F165" s="34">
        <f>_xlfn.LET(
    _xlpm.baseDate, Table47[[#This Row],[Confirmed Sampling Date]] - 14,
    _xlpm.weekdayNum, WEEKDAY(_xlpm.baseDate, 2),
    IF(_xlpm.weekdayNum = 6, _xlpm.baseDate + 2, IF(_xlpm.weekdayNum = 7, _xlpm.baseDate + 1, _xlpm.baseDate))
)</f>
        <v>45938</v>
      </c>
      <c r="G165" s="20">
        <f>IFERROR(WEEKNUM(Table47[[#This Row],[Shipping Date (SD-14)]]),"TBD")</f>
        <v>41</v>
      </c>
      <c r="H165" s="20" t="str">
        <f>IFERROR(TEXT(Table47[[#This Row],[Shipping Date (SD-14)]],"yyyy-mm"),"TBD")</f>
        <v>2025-10</v>
      </c>
      <c r="I165" s="13" t="s">
        <v>771</v>
      </c>
      <c r="J165" s="20" t="str">
        <f>IFERROR(VLOOKUP(Table47[[#This Row],[ToSite-UPSName]],Table1[[#All],[Company or Name]:[Delivery Address]],15,FALSE),"")</f>
        <v>RomeAirport</v>
      </c>
      <c r="K165" s="20" t="str">
        <f>IFERROR(VLOOKUP(Table47[[#This Row],[ToSite-UPSName]],Table1[[#All],[Company or Name]:[Delivery Address]],16,FALSE),"")</f>
        <v>-</v>
      </c>
      <c r="L165" s="13" t="str">
        <f>IFERROR(VLOOKUP(Table47[[#This Row],[ToSite-UPSName]],Table1[[#All],[Company or Name]:[Delivery Address]],17,FALSE),"")</f>
        <v>-</v>
      </c>
      <c r="M165" s="20" t="str">
        <f>IFERROR(VLOOKUP(Table47[[#This Row],[ToSite-UPSName]],Table1[[#All],[Company or Name]:[Delivery Address]],18,FALSE),"")</f>
        <v>-</v>
      </c>
      <c r="N165" s="20" t="str">
        <f>IFERROR(VLOOKUP(Table47[[#This Row],[ToSite-UPSName]],Table1[[#All],[Company or Name]:[Delivery Address]],19,FALSE),"")</f>
        <v>-</v>
      </c>
      <c r="O165" s="13"/>
      <c r="P165" s="20" t="s">
        <v>692</v>
      </c>
      <c r="Q165" s="20"/>
      <c r="R165" s="20"/>
      <c r="S165" s="99" t="s">
        <v>813</v>
      </c>
      <c r="T165" s="99" t="s">
        <v>1782</v>
      </c>
      <c r="U165" s="13" t="s">
        <v>125</v>
      </c>
      <c r="V165" s="13" t="s">
        <v>856</v>
      </c>
      <c r="X165" s="13"/>
      <c r="Y165" s="20" t="str">
        <f>TEXT(Table47[[#This Row],[Confirmed Sampling Date]], "yyyy") &amp; "_" &amp; TEXT(Table47[[#This Row],[Confirmed Sampling Date]], "mm") &amp; "_" &amp; TEXT(Table47[[#This Row],[Confirmed Sampling Date]], "dd")</f>
        <v>2025_10_22</v>
      </c>
      <c r="Z165" s="20" t="str">
        <f>IFERROR(LEFT(J165, FIND(" ", J165) - 1), J165)</f>
        <v>RomeAirport</v>
      </c>
      <c r="AA165" s="20" t="str">
        <f>VLOOKUP(Table47[[#This Row],[ToSite-UPSName]],Table1[[Company or Name]:[NOTES]],2,FALSE)</f>
        <v>Italy</v>
      </c>
      <c r="AB165" s="20" t="str">
        <f>IFERROR(VLOOKUP(Table47[[#This Row],[ToSite-UPSName]], Table1[[#All],[Company or Name]:[Delivery Address]],20,FALSE),"")</f>
        <v>VIA FRATELLI WRIGHT (DEPURATORE BIOLOGICO), FIUMICINO, 00054, Italy</v>
      </c>
      <c r="AC165" s="20" t="str">
        <f>TEXT(Table47[[#This Row],[Shipping Date (SD-14)]]+3,"YYYY-MM-DD")</f>
        <v>2025-10-11</v>
      </c>
      <c r="AD165" s="20" t="str">
        <f>_xlfn.XLOOKUP(Table47[[#This Row],[Type]],kits!C:C,kits!D:D,"",0)</f>
        <v>boxcontentlabel_template_outbound1.docx</v>
      </c>
    </row>
    <row r="166" spans="2:30" ht="14.1" customHeight="1" x14ac:dyDescent="0.25">
      <c r="B166" s="13">
        <v>229</v>
      </c>
      <c r="C166" s="14" t="s">
        <v>1271</v>
      </c>
      <c r="D166" s="13">
        <v>2</v>
      </c>
      <c r="E166" s="83">
        <v>45953</v>
      </c>
      <c r="F166" s="34">
        <f>_xlfn.LET(
    _xlpm.baseDate, Table47[[#This Row],[Confirmed Sampling Date]] - 14,
    _xlpm.weekdayNum, WEEKDAY(_xlpm.baseDate, 2),
    IF(_xlpm.weekdayNum = 6, _xlpm.baseDate + 2, IF(_xlpm.weekdayNum = 7, _xlpm.baseDate + 1, _xlpm.baseDate))
)</f>
        <v>45939</v>
      </c>
      <c r="G166" s="20">
        <f>IFERROR(WEEKNUM(Table47[[#This Row],[Shipping Date (SD-14)]]),"TBD")</f>
        <v>41</v>
      </c>
      <c r="H166" s="20" t="str">
        <f>IFERROR(TEXT(Table47[[#This Row],[Shipping Date (SD-14)]],"yyyy-mm"),"TBD")</f>
        <v>2025-10</v>
      </c>
      <c r="I166" s="13" t="s">
        <v>1598</v>
      </c>
      <c r="J166" s="20" t="str">
        <f>IFERROR(VLOOKUP(Table47[[#This Row],[ToSite-UPSName]],Table1[[#All],[Company or Name]:[Delivery Address]],15,FALSE),"")</f>
        <v>Heraklion WWTP</v>
      </c>
      <c r="K166" s="20" t="str">
        <f>IFERROR(VLOOKUP(Table47[[#This Row],[ToSite-UPSName]],Table1[[#All],[Company or Name]:[Delivery Address]],16,FALSE),"")</f>
        <v>Heraklion Airport</v>
      </c>
      <c r="L166" s="20"/>
      <c r="M166" s="20" t="str">
        <f>IFERROR(VLOOKUP(Table47[[#This Row],[ToSite-UPSName]],Table1[[#All],[Company or Name]:[Delivery Address]],18,FALSE),"")</f>
        <v>-</v>
      </c>
      <c r="N166" s="20" t="str">
        <f>IFERROR(VLOOKUP(Table47[[#This Row],[ToSite-UPSName]],Table1[[#All],[Company or Name]:[Delivery Address]],19,FALSE),"")</f>
        <v>-</v>
      </c>
      <c r="O166" s="13"/>
      <c r="P166" s="20" t="s">
        <v>692</v>
      </c>
      <c r="Q166" s="20"/>
      <c r="R166" s="20"/>
      <c r="S166" s="99" t="s">
        <v>813</v>
      </c>
      <c r="T166" s="64">
        <v>6696852702</v>
      </c>
      <c r="U166" s="13" t="s">
        <v>125</v>
      </c>
      <c r="V166" s="13" t="s">
        <v>856</v>
      </c>
      <c r="X166" s="13"/>
      <c r="Y166" s="20" t="str">
        <f>TEXT(Table47[[#This Row],[Confirmed Sampling Date]], "yyyy") &amp; "_" &amp; TEXT(Table47[[#This Row],[Confirmed Sampling Date]], "mm") &amp; "_" &amp; TEXT(Table47[[#This Row],[Confirmed Sampling Date]], "dd")</f>
        <v>2025_10_23</v>
      </c>
      <c r="Z166" s="20" t="str">
        <f>IFERROR(LEFT(J166, FIND(" ", J166) - 1), J166)</f>
        <v>Heraklion</v>
      </c>
      <c r="AA166" s="20" t="str">
        <f>VLOOKUP(Table47[[#This Row],[ToSite-UPSName]],Table1[[Company or Name]:[NOTES]],2,FALSE)</f>
        <v>Greece</v>
      </c>
      <c r="AB166" s="20" t="str">
        <f>IFERROR(VLOOKUP(Table47[[#This Row],[ToSite-UPSName]], Table1[[#All],[Company or Name]:[Delivery Address]],20,FALSE),"")</f>
        <v>Andrea Kalokerinou 13, Pteryga 3D, Giofirakia, 715 00, Greece</v>
      </c>
      <c r="AC166" s="20" t="str">
        <f>TEXT(Table47[[#This Row],[Shipping Date (SD-14)]]+3,"YYYY-MM-DD")</f>
        <v>2025-10-12</v>
      </c>
      <c r="AD166" s="20" t="str">
        <f>_xlfn.XLOOKUP(Table47[[#This Row],[Type]],kits!C:C,kits!D:D,"",0)</f>
        <v>boxcontentlabel_template_outbound1.docx</v>
      </c>
    </row>
    <row r="167" spans="2:30" ht="14.1" customHeight="1" x14ac:dyDescent="0.25">
      <c r="B167" s="13">
        <v>61</v>
      </c>
      <c r="C167" s="14" t="s">
        <v>1271</v>
      </c>
      <c r="D167" s="13">
        <v>1</v>
      </c>
      <c r="E167" s="130">
        <v>45955</v>
      </c>
      <c r="F167" s="34">
        <f>_xlfn.LET(
    _xlpm.baseDate, Table47[[#This Row],[Confirmed Sampling Date]] - 14,
    _xlpm.weekdayNum, WEEKDAY(_xlpm.baseDate, 2),
    IF(_xlpm.weekdayNum = 6, _xlpm.baseDate + 2, IF(_xlpm.weekdayNum = 7, _xlpm.baseDate + 1, _xlpm.baseDate))
)</f>
        <v>45943</v>
      </c>
      <c r="G167" s="13">
        <f>IFERROR(WEEKNUM(Table47[[#This Row],[Shipping Date (SD-14)]]),"TBD")</f>
        <v>42</v>
      </c>
      <c r="H167" s="13" t="str">
        <f>IFERROR(TEXT(Table47[[#This Row],[Shipping Date (SD-14)]],"yyyy-mm"),"TBD")</f>
        <v>2025-10</v>
      </c>
      <c r="I167" s="13" t="s">
        <v>33</v>
      </c>
      <c r="J167" s="13" t="str">
        <f>IFERROR(VLOOKUP(Table47[[#This Row],[ToSite-UPSName]],Table1[[#All],[Company or Name]:[Delivery Address]],15,FALSE),"")</f>
        <v>Osaka Expo</v>
      </c>
      <c r="K167" s="13" t="str">
        <f>IFERROR(VLOOKUP(Table47[[#This Row],[ToSite-UPSName]],Table1[[#All],[Company or Name]:[Delivery Address]],16,FALSE),"")</f>
        <v>-</v>
      </c>
      <c r="L167" s="13" t="str">
        <f>IFERROR(VLOOKUP(Table47[[#This Row],[ToSite-UPSName]],Table1[[#All],[Company or Name]:[Delivery Address]],17,FALSE),"")</f>
        <v>-</v>
      </c>
      <c r="M167" s="13" t="str">
        <f>IFERROR(VLOOKUP(Table47[[#This Row],[ToSite-UPSName]],Table1[[#All],[Company or Name]:[Delivery Address]],18,FALSE),"")</f>
        <v>-</v>
      </c>
      <c r="N167" s="13" t="str">
        <f>IFERROR(VLOOKUP(Table47[[#This Row],[ToSite-UPSName]],Table1[[#All],[Company or Name]:[Delivery Address]],19,FALSE),"")</f>
        <v>-</v>
      </c>
      <c r="O167" s="13"/>
      <c r="P167" s="20" t="s">
        <v>692</v>
      </c>
      <c r="Q167" s="13"/>
      <c r="R167" s="13"/>
      <c r="S167" s="99" t="s">
        <v>892</v>
      </c>
      <c r="T167" s="136" t="s">
        <v>1822</v>
      </c>
      <c r="U167" s="13" t="s">
        <v>125</v>
      </c>
      <c r="V167" s="13" t="s">
        <v>856</v>
      </c>
      <c r="X167" s="13"/>
      <c r="Y167" s="20" t="str">
        <f>TEXT(Table47[[#This Row],[Confirmed Sampling Date]], "yyyy") &amp; "_" &amp; TEXT(Table47[[#This Row],[Confirmed Sampling Date]], "mm") &amp; "_" &amp; TEXT(Table47[[#This Row],[Confirmed Sampling Date]], "dd")</f>
        <v>2025_10_25</v>
      </c>
      <c r="Z167" s="20" t="str">
        <f>IFERROR(LEFT(J167, FIND(" ", J167) - 1), J167)</f>
        <v>Osaka</v>
      </c>
      <c r="AA167" s="20" t="str">
        <f>VLOOKUP(Table47[[#This Row],[ToSite-UPSName]],Table1[[Company or Name]:[NOTES]],2,FALSE)</f>
        <v>Japan</v>
      </c>
      <c r="AB167" s="20" t="str">
        <f>IFERROR(VLOOKUP(Table47[[#This Row],[ToSite-UPSName]], Table1[[#All],[Company or Name]:[Delivery Address]],20,FALSE),"")</f>
        <v>1-3-3 Nakamichi, Higashinari-ku, Osaka, 537-0025, Japan</v>
      </c>
      <c r="AC167" s="20" t="str">
        <f>TEXT(Table47[[#This Row],[Shipping Date (SD-14)]]+3,"YYYY-MM-DD")</f>
        <v>2025-10-16</v>
      </c>
      <c r="AD167" s="20" t="str">
        <f>_xlfn.XLOOKUP(Table47[[#This Row],[Type]],kits!C:C,kits!D:D,"",0)</f>
        <v>boxcontentlabel_template_outbound1.docx</v>
      </c>
    </row>
    <row r="168" spans="2:30" ht="14.1" customHeight="1" x14ac:dyDescent="0.25">
      <c r="B168" s="13">
        <v>253</v>
      </c>
      <c r="C168" s="14" t="s">
        <v>1271</v>
      </c>
      <c r="D168" s="13">
        <v>1</v>
      </c>
      <c r="E168" s="34">
        <v>45957</v>
      </c>
      <c r="F168" s="34">
        <f>_xlfn.LET(
    _xlpm.baseDate, Table47[[#This Row],[Confirmed Sampling Date]] - 14,
    _xlpm.weekdayNum, WEEKDAY(_xlpm.baseDate, 2),
    IF(_xlpm.weekdayNum = 6, _xlpm.baseDate + 2, IF(_xlpm.weekdayNum = 7, _xlpm.baseDate + 1, _xlpm.baseDate))
)</f>
        <v>45943</v>
      </c>
      <c r="G168" s="20">
        <f>IFERROR(WEEKNUM(Table47[[#This Row],[Shipping Date (SD-14)]]),"TBD")</f>
        <v>42</v>
      </c>
      <c r="H168" s="20" t="str">
        <f>IFERROR(TEXT(Table47[[#This Row],[Shipping Date (SD-14)]],"yyyy-mm"),"TBD")</f>
        <v>2025-10</v>
      </c>
      <c r="I168" s="13" t="s">
        <v>1813</v>
      </c>
      <c r="J168" s="20" t="str">
        <f>IFERROR(VLOOKUP(Table47[[#This Row],[ToSite-UPSName]],Table1[[#All],[Company or Name]:[Delivery Address]],15,FALSE),"")</f>
        <v>Riga WWTP</v>
      </c>
      <c r="K168" s="20" t="str">
        <f>IFERROR(VLOOKUP(Table47[[#This Row],[ToSite-UPSName]],Table1[[#All],[Company or Name]:[Delivery Address]],16,FALSE),"")</f>
        <v>-</v>
      </c>
      <c r="L168" s="20"/>
      <c r="M168" s="20" t="str">
        <f>IFERROR(VLOOKUP(Table47[[#This Row],[ToSite-UPSName]],Table1[[#All],[Company or Name]:[Delivery Address]],18,FALSE),"")</f>
        <v>-</v>
      </c>
      <c r="N168" s="20" t="str">
        <f>IFERROR(VLOOKUP(Table47[[#This Row],[ToSite-UPSName]],Table1[[#All],[Company or Name]:[Delivery Address]],19,FALSE),"")</f>
        <v>-</v>
      </c>
      <c r="O168" s="13"/>
      <c r="P168" s="13"/>
      <c r="Q168" s="20"/>
      <c r="R168" s="20"/>
      <c r="S168" s="101" t="s">
        <v>134</v>
      </c>
      <c r="T168" s="20" t="s">
        <v>1938</v>
      </c>
      <c r="U168" s="20" t="s">
        <v>125</v>
      </c>
      <c r="V168" s="13" t="s">
        <v>856</v>
      </c>
      <c r="X168" s="13"/>
      <c r="Y168" s="20" t="str">
        <f>TEXT(Table47[[#This Row],[Confirmed Sampling Date]], "yyyy") &amp; "_" &amp; TEXT(Table47[[#This Row],[Confirmed Sampling Date]], "mm") &amp; "_" &amp; TEXT(Table47[[#This Row],[Confirmed Sampling Date]], "dd")</f>
        <v>2025_10_27</v>
      </c>
      <c r="Z168" s="20" t="str">
        <f>IFERROR(LEFT(J168, FIND(" ", J168) - 1), J168)</f>
        <v>Riga</v>
      </c>
      <c r="AA168" s="20" t="str">
        <f>VLOOKUP(Table47[[#This Row],[ToSite-UPSName]],Table1[[Company or Name]:[NOTES]],2,FALSE)</f>
        <v>Latvia</v>
      </c>
      <c r="AB168" s="20" t="str">
        <f>IFERROR(VLOOKUP(Table47[[#This Row],[ToSite-UPSName]], Table1[[#All],[Company or Name]:[Delivery Address]],20,FALSE),"")</f>
        <v>Pilsonu iela 13, Zemgales priekšpilsēta, Rīga, LV-1002, Latvia</v>
      </c>
      <c r="AC168" s="20" t="str">
        <f>TEXT(Table47[[#This Row],[Shipping Date (SD-14)]]+3,"YYYY-MM-DD")</f>
        <v>2025-10-16</v>
      </c>
      <c r="AD168" s="20" t="str">
        <f>_xlfn.XLOOKUP(Table47[[#This Row],[Type]],kits!C:C,kits!D:D,"",0)</f>
        <v>boxcontentlabel_template_outbound1.docx</v>
      </c>
    </row>
    <row r="169" spans="2:30" ht="14.1" customHeight="1" x14ac:dyDescent="0.25">
      <c r="B169" s="13">
        <v>11</v>
      </c>
      <c r="C169" s="14" t="s">
        <v>1271</v>
      </c>
      <c r="D169" s="13">
        <v>2</v>
      </c>
      <c r="E169" s="34">
        <v>45963</v>
      </c>
      <c r="F169" s="34">
        <f>_xlfn.LET(
    _xlpm.baseDate, Table47[[#This Row],[Confirmed Sampling Date]] - 14,
    _xlpm.weekdayNum, WEEKDAY(_xlpm.baseDate, 2),
    IF(_xlpm.weekdayNum = 6, _xlpm.baseDate + 2, IF(_xlpm.weekdayNum = 7, _xlpm.baseDate + 1, _xlpm.baseDate))
)</f>
        <v>45950</v>
      </c>
      <c r="G169" s="13">
        <f>IFERROR(WEEKNUM(Table47[[#This Row],[Shipping Date (SD-14)]]),"TBD")</f>
        <v>43</v>
      </c>
      <c r="H169" s="13" t="str">
        <f>IFERROR(TEXT(Table47[[#This Row],[Shipping Date (SD-14)]],"yyyy-mm"),"TBD")</f>
        <v>2025-10</v>
      </c>
      <c r="I169" s="13" t="s">
        <v>13</v>
      </c>
      <c r="J169" s="114" t="str">
        <f>IFERROR(VLOOKUP(Table47[[#This Row],[ToSite-UPSName]],Table1[[#All],[Company or Name]:[Delivery Address]],15,FALSE),"")</f>
        <v>Berlin (Schoenefeld) WWTP</v>
      </c>
      <c r="K169" s="13" t="str">
        <f>IFERROR(VLOOKUP(Table47[[#This Row],[ToSite-UPSName]],Table1[[#All],[Company or Name]:[Delivery Address]],16,FALSE),"")</f>
        <v>Berlin Airport</v>
      </c>
      <c r="L169" s="13" t="str">
        <f>IFERROR(VLOOKUP(Table47[[#This Row],[ToSite-UPSName]],Table1[[#All],[Company or Name]:[Delivery Address]],17,FALSE),"")</f>
        <v>-</v>
      </c>
      <c r="M169" s="13" t="str">
        <f>IFERROR(VLOOKUP(Table47[[#This Row],[ToSite-UPSName]],Table1[[#All],[Company or Name]:[Delivery Address]],18,FALSE),"")</f>
        <v>-</v>
      </c>
      <c r="N169" s="13" t="str">
        <f>IFERROR(VLOOKUP(Table47[[#This Row],[ToSite-UPSName]],Table1[[#All],[Company or Name]:[Delivery Address]],19,FALSE),"")</f>
        <v>-</v>
      </c>
      <c r="O169" s="13"/>
      <c r="P169" s="13"/>
      <c r="Q169" s="13"/>
      <c r="R169" s="13"/>
      <c r="S169" s="99" t="s">
        <v>892</v>
      </c>
      <c r="T169" s="13" t="s">
        <v>1866</v>
      </c>
      <c r="U169" s="13" t="s">
        <v>125</v>
      </c>
      <c r="X169" s="13"/>
      <c r="Y169" s="20" t="str">
        <f>TEXT(Table47[[#This Row],[Confirmed Sampling Date]], "yyyy") &amp; "_" &amp; TEXT(Table47[[#This Row],[Confirmed Sampling Date]], "mm") &amp; "_" &amp; TEXT(Table47[[#This Row],[Confirmed Sampling Date]], "dd")</f>
        <v>2025_11_02</v>
      </c>
      <c r="Z169" s="20" t="str">
        <f>IFERROR(LEFT(J169, FIND(" ", J169) - 1), J169)</f>
        <v>Berlin</v>
      </c>
      <c r="AA169" s="20" t="str">
        <f>VLOOKUP(Table47[[#This Row],[ToSite-UPSName]],Table1[[Company or Name]:[NOTES]],2,FALSE)</f>
        <v>Germany</v>
      </c>
      <c r="AB169" s="20" t="str">
        <f>IFERROR(VLOOKUP(Table47[[#This Row],[ToSite-UPSName]], Table1[[#All],[Company or Name]:[Delivery Address]],20,FALSE),"")</f>
        <v>Strasse am Klarwerk 4, Klarwerk Wassmannsdorf, Schoenefeld, 12529, Germany</v>
      </c>
      <c r="AC169" s="20" t="str">
        <f>TEXT(Table47[[#This Row],[Shipping Date (SD-14)]]+3,"YYYY-MM-DD")</f>
        <v>2025-10-23</v>
      </c>
      <c r="AD169" s="20" t="str">
        <f>_xlfn.XLOOKUP(Table47[[#This Row],[Type]],kits!C:C,kits!D:D,"",0)</f>
        <v>boxcontentlabel_template_outbound1.docx</v>
      </c>
    </row>
    <row r="170" spans="2:30" ht="14.1" customHeight="1" x14ac:dyDescent="0.25">
      <c r="B170" s="13">
        <v>206</v>
      </c>
      <c r="C170" s="85" t="s">
        <v>1272</v>
      </c>
      <c r="D170" s="13">
        <v>2</v>
      </c>
      <c r="E170" s="83">
        <v>45963</v>
      </c>
      <c r="F170" s="34">
        <f>_xlfn.LET(
    _xlpm.baseDate, Table47[[#This Row],[Confirmed Sampling Date]] - 14,
    _xlpm.weekdayNum, WEEKDAY(_xlpm.baseDate, 2),
    IF(_xlpm.weekdayNum = 6, _xlpm.baseDate + 2, IF(_xlpm.weekdayNum = 7, _xlpm.baseDate + 1, _xlpm.baseDate))
)</f>
        <v>45950</v>
      </c>
      <c r="G170" s="20">
        <f>IFERROR(WEEKNUM(Table47[[#This Row],[Shipping Date (SD-14)]]),"TBD")</f>
        <v>43</v>
      </c>
      <c r="H170" s="20" t="str">
        <f>IFERROR(TEXT(Table47[[#This Row],[Shipping Date (SD-14)]],"yyyy-mm"),"TBD")</f>
        <v>2025-10</v>
      </c>
      <c r="I170" s="13" t="s">
        <v>13</v>
      </c>
      <c r="J170" s="97" t="str">
        <f>IFERROR(VLOOKUP(Table47[[#This Row],[ToSite-UPSName]],Table1[[#All],[Company or Name]:[Delivery Address]],15,FALSE),"")</f>
        <v>Berlin (Schoenefeld) WWTP</v>
      </c>
      <c r="K170" s="20" t="str">
        <f>IFERROR(VLOOKUP(Table47[[#This Row],[ToSite-UPSName]],Table1[[#All],[Company or Name]:[Delivery Address]],16,FALSE),"")</f>
        <v>Berlin Airport</v>
      </c>
      <c r="L170" s="20"/>
      <c r="M170" s="20" t="str">
        <f>IFERROR(VLOOKUP(Table47[[#This Row],[ToSite-UPSName]],Table1[[#All],[Company or Name]:[Delivery Address]],18,FALSE),"")</f>
        <v>-</v>
      </c>
      <c r="N170" s="20" t="str">
        <f>IFERROR(VLOOKUP(Table47[[#This Row],[ToSite-UPSName]],Table1[[#All],[Company or Name]:[Delivery Address]],19,FALSE),"")</f>
        <v>-</v>
      </c>
      <c r="O170" s="13"/>
      <c r="P170" s="20"/>
      <c r="Q170" s="20"/>
      <c r="R170" s="20"/>
      <c r="S170" s="99" t="s">
        <v>892</v>
      </c>
      <c r="T170" s="64" t="s">
        <v>1867</v>
      </c>
      <c r="U170" s="13" t="s">
        <v>125</v>
      </c>
      <c r="X170" s="13"/>
      <c r="Y170" s="20" t="str">
        <f>TEXT(Table47[[#This Row],[Confirmed Sampling Date]], "yyyy") &amp; "_" &amp; TEXT(Table47[[#This Row],[Confirmed Sampling Date]], "mm") &amp; "_" &amp; TEXT(Table47[[#This Row],[Confirmed Sampling Date]], "dd")</f>
        <v>2025_11_02</v>
      </c>
      <c r="Z170" s="20" t="str">
        <f>IFERROR(LEFT(J170, FIND(" ", J170) - 1), J170)</f>
        <v>Berlin</v>
      </c>
      <c r="AA170" s="20" t="str">
        <f>VLOOKUP(Table47[[#This Row],[ToSite-UPSName]],Table1[[Company or Name]:[NOTES]],2,FALSE)</f>
        <v>Germany</v>
      </c>
      <c r="AB170" s="20" t="str">
        <f>IFERROR(VLOOKUP(Table47[[#This Row],[ToSite-UPSName]], Table1[[#All],[Company or Name]:[Delivery Address]],20,FALSE),"")</f>
        <v>Strasse am Klarwerk 4, Klarwerk Wassmannsdorf, Schoenefeld, 12529, Germany</v>
      </c>
      <c r="AC170" s="20" t="str">
        <f>TEXT(Table47[[#This Row],[Shipping Date (SD-14)]]+3,"YYYY-MM-DD")</f>
        <v>2025-10-23</v>
      </c>
      <c r="AD170" s="20" t="str">
        <f>_xlfn.XLOOKUP(Table47[[#This Row],[Type]],kits!C:C,kits!D:D,"",0)</f>
        <v>boxcontentlabel_template_outbound2.docx</v>
      </c>
    </row>
    <row r="171" spans="2:30" ht="14.1" customHeight="1" x14ac:dyDescent="0.25">
      <c r="B171" s="13">
        <v>190</v>
      </c>
      <c r="C171" s="14" t="s">
        <v>1271</v>
      </c>
      <c r="D171" s="13">
        <v>2</v>
      </c>
      <c r="E171" s="34">
        <v>45964</v>
      </c>
      <c r="F171" s="34">
        <f>_xlfn.LET(
    _xlpm.baseDate, Table47[[#This Row],[Confirmed Sampling Date]] - 14,
    _xlpm.weekdayNum, WEEKDAY(_xlpm.baseDate, 2),
    IF(_xlpm.weekdayNum = 6, _xlpm.baseDate + 2, IF(_xlpm.weekdayNum = 7, _xlpm.baseDate + 1, _xlpm.baseDate))
)</f>
        <v>45950</v>
      </c>
      <c r="G171" s="20">
        <f>IFERROR(WEEKNUM(Table47[[#This Row],[Shipping Date (SD-14)]]),"TBD")</f>
        <v>43</v>
      </c>
      <c r="H171" s="20" t="str">
        <f>IFERROR(TEXT(Table47[[#This Row],[Shipping Date (SD-14)]],"yyyy-mm"),"TBD")</f>
        <v>2025-10</v>
      </c>
      <c r="I171" s="78" t="s">
        <v>1187</v>
      </c>
      <c r="J171" s="97" t="str">
        <f>IFERROR(VLOOKUP(Table47[[#This Row],[ToSite-UPSName]],Table1[[#All],[Company or Name]:[Delivery Address]],15,FALSE),"")</f>
        <v>Aachen WWTP</v>
      </c>
      <c r="K171" s="20" t="str">
        <f>IFERROR(VLOOKUP(Table47[[#This Row],[ToSite-UPSName]],Table1[[#All],[Company or Name]:[Delivery Address]],16,FALSE),"")</f>
        <v>Aachen Hospital</v>
      </c>
      <c r="L171" s="20"/>
      <c r="M171" s="20">
        <f>IFERROR(VLOOKUP(Table47[[#This Row],[ToSite-UPSName]],Table1[[#All],[Company or Name]:[Delivery Address]],18,FALSE),"")</f>
        <v>0</v>
      </c>
      <c r="N171" s="20">
        <f>IFERROR(VLOOKUP(Table47[[#This Row],[ToSite-UPSName]],Table1[[#All],[Company or Name]:[Delivery Address]],19,FALSE),"")</f>
        <v>0</v>
      </c>
      <c r="O171" s="13"/>
      <c r="P171" s="20"/>
      <c r="Q171" s="20"/>
      <c r="R171" s="20"/>
      <c r="S171" s="99" t="s">
        <v>892</v>
      </c>
      <c r="T171" s="13" t="s">
        <v>1872</v>
      </c>
      <c r="U171" s="13" t="s">
        <v>125</v>
      </c>
      <c r="X171" s="13"/>
      <c r="Y171" s="20" t="str">
        <f>TEXT(Table47[[#This Row],[Confirmed Sampling Date]], "yyyy") &amp; "_" &amp; TEXT(Table47[[#This Row],[Confirmed Sampling Date]], "mm") &amp; "_" &amp; TEXT(Table47[[#This Row],[Confirmed Sampling Date]], "dd")</f>
        <v>2025_11_03</v>
      </c>
      <c r="Z171" s="20" t="str">
        <f>IFERROR(LEFT(J171, FIND(" ", J171) - 1), J171)</f>
        <v>Aachen</v>
      </c>
      <c r="AA171" s="20" t="str">
        <f>VLOOKUP(Table47[[#This Row],[ToSite-UPSName]],Table1[[Company or Name]:[NOTES]],2,FALSE)</f>
        <v>Germany</v>
      </c>
      <c r="AB171" s="20" t="str">
        <f>IFERROR(VLOOKUP(Table47[[#This Row],[ToSite-UPSName]], Table1[[#All],[Company or Name]:[Delivery Address]],20,FALSE),"")</f>
        <v>Krefelder Str. 299, Aachen, 52070, Germany</v>
      </c>
      <c r="AC171" s="20" t="str">
        <f>TEXT(Table47[[#This Row],[Shipping Date (SD-14)]]+3,"YYYY-MM-DD")</f>
        <v>2025-10-23</v>
      </c>
      <c r="AD171" s="20" t="str">
        <f>_xlfn.XLOOKUP(Table47[[#This Row],[Type]],kits!C:C,kits!D:D,"",0)</f>
        <v>boxcontentlabel_template_outbound1.docx</v>
      </c>
    </row>
    <row r="172" spans="2:30" ht="14.1" customHeight="1" x14ac:dyDescent="0.25">
      <c r="B172" s="13">
        <v>214</v>
      </c>
      <c r="C172" s="14" t="s">
        <v>1271</v>
      </c>
      <c r="D172" s="13">
        <v>1</v>
      </c>
      <c r="E172" s="34">
        <v>45964</v>
      </c>
      <c r="F172" s="34">
        <f>_xlfn.LET(
    _xlpm.baseDate, Table47[[#This Row],[Confirmed Sampling Date]] - 14,
    _xlpm.weekdayNum, WEEKDAY(_xlpm.baseDate, 2),
    IF(_xlpm.weekdayNum = 6, _xlpm.baseDate + 2, IF(_xlpm.weekdayNum = 7, _xlpm.baseDate + 1, _xlpm.baseDate))
)</f>
        <v>45950</v>
      </c>
      <c r="G172" s="20">
        <f>IFERROR(WEEKNUM(Table47[[#This Row],[Shipping Date (SD-14)]]),"TBD")</f>
        <v>43</v>
      </c>
      <c r="H172" s="20" t="str">
        <f>IFERROR(TEXT(Table47[[#This Row],[Shipping Date (SD-14)]],"yyyy-mm"),"TBD")</f>
        <v>2025-10</v>
      </c>
      <c r="I172" s="48" t="s">
        <v>1292</v>
      </c>
      <c r="J172" s="97" t="str">
        <f>IFERROR(VLOOKUP(Table47[[#This Row],[ToSite-UPSName]],Table1[[#All],[Company or Name]:[Delivery Address]],15,FALSE),"")</f>
        <v>Bologna WWTP</v>
      </c>
      <c r="K172" s="20">
        <f>IFERROR(VLOOKUP(Table47[[#This Row],[ToSite-UPSName]],Table1[[#All],[Company or Name]:[Delivery Address]],16,FALSE),"")</f>
        <v>0</v>
      </c>
      <c r="L172" s="20"/>
      <c r="M172" s="20">
        <f>IFERROR(VLOOKUP(Table47[[#This Row],[ToSite-UPSName]],Table1[[#All],[Company or Name]:[Delivery Address]],18,FALSE),"")</f>
        <v>0</v>
      </c>
      <c r="N172" s="20">
        <f>IFERROR(VLOOKUP(Table47[[#This Row],[ToSite-UPSName]],Table1[[#All],[Company or Name]:[Delivery Address]],19,FALSE),"")</f>
        <v>0</v>
      </c>
      <c r="O172" s="13"/>
      <c r="P172" s="20"/>
      <c r="Q172" s="20"/>
      <c r="R172" s="20"/>
      <c r="S172" s="99" t="s">
        <v>892</v>
      </c>
      <c r="T172" s="64" t="s">
        <v>1869</v>
      </c>
      <c r="U172" s="13" t="s">
        <v>125</v>
      </c>
      <c r="X172" s="13"/>
      <c r="Y172" s="20" t="str">
        <f>TEXT(Table47[[#This Row],[Confirmed Sampling Date]], "yyyy") &amp; "_" &amp; TEXT(Table47[[#This Row],[Confirmed Sampling Date]], "mm") &amp; "_" &amp; TEXT(Table47[[#This Row],[Confirmed Sampling Date]], "dd")</f>
        <v>2025_11_03</v>
      </c>
      <c r="Z172" s="20" t="str">
        <f>IFERROR(LEFT(J172, FIND(" ", J172) - 1), J172)</f>
        <v>Bologna</v>
      </c>
      <c r="AA172" s="20" t="str">
        <f>VLOOKUP(Table47[[#This Row],[ToSite-UPSName]],Table1[[Company or Name]:[NOTES]],2,FALSE)</f>
        <v>Italy</v>
      </c>
      <c r="AB172" s="20" t="str">
        <f>IFERROR(VLOOKUP(Table47[[#This Row],[ToSite-UPSName]], Table1[[#All],[Company or Name]:[Delivery Address]],20,FALSE),"")</f>
        <v>VIA SHAKESPEARE 29, Bologna, 40128, Italy</v>
      </c>
      <c r="AC172" s="20" t="str">
        <f>TEXT(Table47[[#This Row],[Shipping Date (SD-14)]]+3,"YYYY-MM-DD")</f>
        <v>2025-10-23</v>
      </c>
      <c r="AD172" s="20" t="str">
        <f>_xlfn.XLOOKUP(Table47[[#This Row],[Type]],kits!C:C,kits!D:D,"",0)</f>
        <v>boxcontentlabel_template_outbound1.docx</v>
      </c>
    </row>
    <row r="173" spans="2:30" ht="14.1" customHeight="1" x14ac:dyDescent="0.25">
      <c r="B173" s="13">
        <v>52</v>
      </c>
      <c r="C173" s="14" t="s">
        <v>1271</v>
      </c>
      <c r="D173" s="13">
        <v>2</v>
      </c>
      <c r="E173" s="34">
        <v>45964</v>
      </c>
      <c r="F173" s="34">
        <f>_xlfn.LET(
    _xlpm.baseDate, Table47[[#This Row],[Confirmed Sampling Date]] - 14,
    _xlpm.weekdayNum, WEEKDAY(_xlpm.baseDate, 2),
    IF(_xlpm.weekdayNum = 6, _xlpm.baseDate + 2, IF(_xlpm.weekdayNum = 7, _xlpm.baseDate + 1, _xlpm.baseDate))
)</f>
        <v>45950</v>
      </c>
      <c r="G173" s="13">
        <f>IFERROR(WEEKNUM(Table47[[#This Row],[Shipping Date (SD-14)]]),"TBD")</f>
        <v>43</v>
      </c>
      <c r="H173" s="13" t="str">
        <f>IFERROR(TEXT(Table47[[#This Row],[Shipping Date (SD-14)]],"yyyy-mm"),"TBD")</f>
        <v>2025-10</v>
      </c>
      <c r="I173" s="13" t="s">
        <v>364</v>
      </c>
      <c r="J173" s="114" t="str">
        <f>IFERROR(VLOOKUP(Table47[[#This Row],[ToSite-UPSName]],Table1[[#All],[Company or Name]:[Delivery Address]],15,FALSE),"")</f>
        <v>Brussels WWTP</v>
      </c>
      <c r="K173" s="13" t="str">
        <f>IFERROR(VLOOKUP(Table47[[#This Row],[ToSite-UPSName]],Table1[[#All],[Company or Name]:[Delivery Address]],16,FALSE),"")</f>
        <v>Brussels Airport</v>
      </c>
      <c r="L173" s="13" t="str">
        <f>IFERROR(VLOOKUP(Table47[[#This Row],[ToSite-UPSName]],Table1[[#All],[Company or Name]:[Delivery Address]],17,FALSE),"")</f>
        <v>-</v>
      </c>
      <c r="M173" s="13" t="str">
        <f>IFERROR(VLOOKUP(Table47[[#This Row],[ToSite-UPSName]],Table1[[#All],[Company or Name]:[Delivery Address]],18,FALSE),"")</f>
        <v>-</v>
      </c>
      <c r="N173" s="13" t="str">
        <f>IFERROR(VLOOKUP(Table47[[#This Row],[ToSite-UPSName]],Table1[[#All],[Company or Name]:[Delivery Address]],19,FALSE),"")</f>
        <v>-</v>
      </c>
      <c r="O173" s="13"/>
      <c r="P173" s="13"/>
      <c r="Q173" s="13"/>
      <c r="R173" s="13"/>
      <c r="S173" s="99" t="s">
        <v>892</v>
      </c>
      <c r="T173" s="13" t="s">
        <v>1870</v>
      </c>
      <c r="U173" s="13" t="s">
        <v>125</v>
      </c>
      <c r="X173" s="13"/>
      <c r="Y173" s="20" t="str">
        <f>TEXT(Table47[[#This Row],[Confirmed Sampling Date]], "yyyy") &amp; "_" &amp; TEXT(Table47[[#This Row],[Confirmed Sampling Date]], "mm") &amp; "_" &amp; TEXT(Table47[[#This Row],[Confirmed Sampling Date]], "dd")</f>
        <v>2025_11_03</v>
      </c>
      <c r="Z173" s="20" t="str">
        <f>IFERROR(LEFT(J173, FIND(" ", J173) - 1), J173)</f>
        <v>Brussels</v>
      </c>
      <c r="AA173" s="20" t="str">
        <f>VLOOKUP(Table47[[#This Row],[ToSite-UPSName]],Table1[[Company or Name]:[NOTES]],2,FALSE)</f>
        <v>Belgium</v>
      </c>
      <c r="AB173" s="20" t="str">
        <f>IFERROR(VLOOKUP(Table47[[#This Row],[ToSite-UPSName]], Table1[[#All],[Company or Name]:[Delivery Address]],20,FALSE),"")</f>
        <v>Rue Juliette Wytsmanstraat 14, Brussels, 1050, Belgium</v>
      </c>
      <c r="AC173" s="20" t="str">
        <f>TEXT(Table47[[#This Row],[Shipping Date (SD-14)]]+3,"YYYY-MM-DD")</f>
        <v>2025-10-23</v>
      </c>
      <c r="AD173" s="20" t="str">
        <f>_xlfn.XLOOKUP(Table47[[#This Row],[Type]],kits!C:C,kits!D:D,"",0)</f>
        <v>boxcontentlabel_template_outbound1.docx</v>
      </c>
    </row>
    <row r="174" spans="2:30" ht="14.1" customHeight="1" x14ac:dyDescent="0.25">
      <c r="B174" s="13">
        <v>163</v>
      </c>
      <c r="C174" s="14" t="s">
        <v>1271</v>
      </c>
      <c r="D174" s="13">
        <v>1</v>
      </c>
      <c r="E174" s="34">
        <v>45964</v>
      </c>
      <c r="F174" s="34">
        <f>_xlfn.LET(
    _xlpm.baseDate, Table47[[#This Row],[Confirmed Sampling Date]] - 14,
    _xlpm.weekdayNum, WEEKDAY(_xlpm.baseDate, 2),
    IF(_xlpm.weekdayNum = 6, _xlpm.baseDate + 2, IF(_xlpm.weekdayNum = 7, _xlpm.baseDate + 1, _xlpm.baseDate))
)</f>
        <v>45950</v>
      </c>
      <c r="G174" s="20">
        <f>IFERROR(WEEKNUM(Table47[[#This Row],[Shipping Date (SD-14)]]),"TBD")</f>
        <v>43</v>
      </c>
      <c r="H174" s="20" t="str">
        <f>IFERROR(TEXT(Table47[[#This Row],[Shipping Date (SD-14)]],"yyyy-mm"),"TBD")</f>
        <v>2025-10</v>
      </c>
      <c r="I174" s="78" t="s">
        <v>1114</v>
      </c>
      <c r="J174" s="97" t="str">
        <f>IFERROR(VLOOKUP(Table47[[#This Row],[ToSite-UPSName]],Table1[[#All],[Company or Name]:[Delivery Address]],15,FALSE),"")</f>
        <v>Uppsala WWTP</v>
      </c>
      <c r="K174" s="20" t="str">
        <f>IFERROR(VLOOKUP(Table47[[#This Row],[ToSite-UPSName]],Table1[[#All],[Company or Name]:[Delivery Address]],16,FALSE),"")</f>
        <v>-</v>
      </c>
      <c r="L174" s="20"/>
      <c r="M174" s="20" t="str">
        <f>IFERROR(VLOOKUP(Table47[[#This Row],[ToSite-UPSName]],Table1[[#All],[Company or Name]:[Delivery Address]],18,FALSE),"")</f>
        <v>-</v>
      </c>
      <c r="N174" s="20" t="str">
        <f>IFERROR(VLOOKUP(Table47[[#This Row],[ToSite-UPSName]],Table1[[#All],[Company or Name]:[Delivery Address]],19,FALSE),"")</f>
        <v>-</v>
      </c>
      <c r="O174" s="13"/>
      <c r="P174" s="20"/>
      <c r="Q174" s="20"/>
      <c r="R174" s="20"/>
      <c r="S174" s="99" t="s">
        <v>892</v>
      </c>
      <c r="T174" s="99" t="s">
        <v>1871</v>
      </c>
      <c r="U174" s="13" t="s">
        <v>125</v>
      </c>
      <c r="X174" s="13"/>
      <c r="Y174" s="20" t="str">
        <f>TEXT(Table47[[#This Row],[Confirmed Sampling Date]], "yyyy") &amp; "_" &amp; TEXT(Table47[[#This Row],[Confirmed Sampling Date]], "mm") &amp; "_" &amp; TEXT(Table47[[#This Row],[Confirmed Sampling Date]], "dd")</f>
        <v>2025_11_03</v>
      </c>
      <c r="Z174" s="20" t="str">
        <f>IFERROR(LEFT(J174, FIND(" ", J174) - 1), J174)</f>
        <v>Uppsala</v>
      </c>
      <c r="AA174" s="20" t="str">
        <f>VLOOKUP(Table47[[#This Row],[ToSite-UPSName]],Table1[[Company or Name]:[NOTES]],2,FALSE)</f>
        <v>Sweden</v>
      </c>
      <c r="AB174" s="20" t="str">
        <f>IFERROR(VLOOKUP(Table47[[#This Row],[ToSite-UPSName]], Table1[[#All],[Company or Name]:[Delivery Address]],20,FALSE),"")</f>
        <v>Gerda Nilssons väg 5, Uppsala, 756 51, Sweden</v>
      </c>
      <c r="AC174" s="20" t="str">
        <f>TEXT(Table47[[#This Row],[Shipping Date (SD-14)]]+3,"YYYY-MM-DD")</f>
        <v>2025-10-23</v>
      </c>
      <c r="AD174" s="20" t="str">
        <f>_xlfn.XLOOKUP(Table47[[#This Row],[Type]],kits!C:C,kits!D:D,"",0)</f>
        <v>boxcontentlabel_template_outbound1.docx</v>
      </c>
    </row>
    <row r="175" spans="2:30" ht="14.1" customHeight="1" x14ac:dyDescent="0.25">
      <c r="B175" s="13">
        <v>237</v>
      </c>
      <c r="C175" s="14" t="s">
        <v>1271</v>
      </c>
      <c r="D175" s="13">
        <v>1</v>
      </c>
      <c r="E175" s="34">
        <v>45964</v>
      </c>
      <c r="F175" s="34">
        <f>_xlfn.LET(
    _xlpm.baseDate, Table47[[#This Row],[Confirmed Sampling Date]] - 14,
    _xlpm.weekdayNum, WEEKDAY(_xlpm.baseDate, 2),
    IF(_xlpm.weekdayNum = 6, _xlpm.baseDate + 2, IF(_xlpm.weekdayNum = 7, _xlpm.baseDate + 1, _xlpm.baseDate))
)</f>
        <v>45950</v>
      </c>
      <c r="G175" s="20">
        <f>IFERROR(WEEKNUM(Table47[[#This Row],[Shipping Date (SD-14)]]),"TBD")</f>
        <v>43</v>
      </c>
      <c r="H175" s="20" t="str">
        <f>IFERROR(TEXT(Table47[[#This Row],[Shipping Date (SD-14)]],"yyyy-mm"),"TBD")</f>
        <v>2025-10</v>
      </c>
      <c r="I175" s="13" t="s">
        <v>1802</v>
      </c>
      <c r="J175" s="97" t="str">
        <f>IFERROR(VLOOKUP(Table47[[#This Row],[ToSite-UPSName]],Table1[[#All],[Company or Name]:[Delivery Address]],15,FALSE),"")</f>
        <v>Wien WWTP</v>
      </c>
      <c r="K175" s="20" t="str">
        <f>IFERROR(VLOOKUP(Table47[[#This Row],[ToSite-UPSName]],Table1[[#All],[Company or Name]:[Delivery Address]],16,FALSE),"")</f>
        <v>-</v>
      </c>
      <c r="L175" s="20"/>
      <c r="M175" s="20" t="str">
        <f>IFERROR(VLOOKUP(Table47[[#This Row],[ToSite-UPSName]],Table1[[#All],[Company or Name]:[Delivery Address]],18,FALSE),"")</f>
        <v>-</v>
      </c>
      <c r="N175" s="20" t="str">
        <f>IFERROR(VLOOKUP(Table47[[#This Row],[ToSite-UPSName]],Table1[[#All],[Company or Name]:[Delivery Address]],19,FALSE),"")</f>
        <v>-</v>
      </c>
      <c r="O175" s="13"/>
      <c r="P175" s="20"/>
      <c r="Q175" s="20"/>
      <c r="R175" s="20"/>
      <c r="S175" s="99" t="s">
        <v>892</v>
      </c>
      <c r="T175" s="13" t="s">
        <v>1868</v>
      </c>
      <c r="U175" s="13" t="s">
        <v>125</v>
      </c>
      <c r="X175" s="13"/>
      <c r="Y175" s="20" t="str">
        <f>TEXT(Table47[[#This Row],[Confirmed Sampling Date]], "yyyy") &amp; "_" &amp; TEXT(Table47[[#This Row],[Confirmed Sampling Date]], "mm") &amp; "_" &amp; TEXT(Table47[[#This Row],[Confirmed Sampling Date]], "dd")</f>
        <v>2025_11_03</v>
      </c>
      <c r="Z175" s="20" t="str">
        <f>IFERROR(LEFT(J175, FIND(" ", J175) - 1), J175)</f>
        <v>Wien</v>
      </c>
      <c r="AA175" s="20" t="str">
        <f>VLOOKUP(Table47[[#This Row],[ToSite-UPSName]],Table1[[Company or Name]:[NOTES]],2,FALSE)</f>
        <v>Austria</v>
      </c>
      <c r="AB175" s="20" t="str">
        <f>IFERROR(VLOOKUP(Table47[[#This Row],[ToSite-UPSName]], Table1[[#All],[Company or Name]:[Delivery Address]],20,FALSE),"")</f>
        <v>Währinger Gürtel 18-20, Wien, 1090, Austria</v>
      </c>
      <c r="AC175" s="20" t="str">
        <f>TEXT(Table47[[#This Row],[Shipping Date (SD-14)]]+3,"YYYY-MM-DD")</f>
        <v>2025-10-23</v>
      </c>
      <c r="AD175" s="20" t="str">
        <f>_xlfn.XLOOKUP(Table47[[#This Row],[Type]],kits!C:C,kits!D:D,"",0)</f>
        <v>boxcontentlabel_template_outbound1.docx</v>
      </c>
    </row>
    <row r="176" spans="2:30" ht="14.1" customHeight="1" x14ac:dyDescent="0.25">
      <c r="B176" s="13">
        <v>181</v>
      </c>
      <c r="C176" s="14" t="s">
        <v>1271</v>
      </c>
      <c r="D176" s="13">
        <v>1</v>
      </c>
      <c r="E176" s="34">
        <v>45965</v>
      </c>
      <c r="F176" s="34">
        <f>_xlfn.LET(
    _xlpm.baseDate, Table47[[#This Row],[Confirmed Sampling Date]] - 14,
    _xlpm.weekdayNum, WEEKDAY(_xlpm.baseDate, 2),
    IF(_xlpm.weekdayNum = 6, _xlpm.baseDate + 2, IF(_xlpm.weekdayNum = 7, _xlpm.baseDate + 1, _xlpm.baseDate))
)</f>
        <v>45951</v>
      </c>
      <c r="G176" s="20">
        <f>IFERROR(WEEKNUM(Table47[[#This Row],[Shipping Date (SD-14)]]),"TBD")</f>
        <v>43</v>
      </c>
      <c r="H176" s="20" t="str">
        <f>IFERROR(TEXT(Table47[[#This Row],[Shipping Date (SD-14)]],"yyyy-mm"),"TBD")</f>
        <v>2025-10</v>
      </c>
      <c r="I176" s="78" t="s">
        <v>1132</v>
      </c>
      <c r="J176" s="97" t="str">
        <f>IFERROR(VLOOKUP(Table47[[#This Row],[ToSite-UPSName]],Table1[[#All],[Company or Name]:[Delivery Address]],15,FALSE),"")</f>
        <v>Cluj-MNC</v>
      </c>
      <c r="K176" s="20" t="str">
        <f>IFERROR(VLOOKUP(Table47[[#This Row],[ToSite-UPSName]],Table1[[#All],[Company or Name]:[Delivery Address]],16,FALSE),"")</f>
        <v>-</v>
      </c>
      <c r="L176" s="20"/>
      <c r="M176" s="20" t="str">
        <f>IFERROR(VLOOKUP(Table47[[#This Row],[ToSite-UPSName]],Table1[[#All],[Company or Name]:[Delivery Address]],18,FALSE),"")</f>
        <v>-</v>
      </c>
      <c r="N176" s="20" t="str">
        <f>IFERROR(VLOOKUP(Table47[[#This Row],[ToSite-UPSName]],Table1[[#All],[Company or Name]:[Delivery Address]],19,FALSE),"")</f>
        <v>-</v>
      </c>
      <c r="O176" s="13"/>
      <c r="P176" s="20"/>
      <c r="Q176" s="20"/>
      <c r="R176" s="20"/>
      <c r="S176" s="99" t="s">
        <v>892</v>
      </c>
      <c r="T176" s="64" t="s">
        <v>1877</v>
      </c>
      <c r="U176" s="13" t="s">
        <v>125</v>
      </c>
      <c r="X176" s="13"/>
      <c r="Y176" s="20" t="str">
        <f>TEXT(Table47[[#This Row],[Confirmed Sampling Date]], "yyyy") &amp; "_" &amp; TEXT(Table47[[#This Row],[Confirmed Sampling Date]], "mm") &amp; "_" &amp; TEXT(Table47[[#This Row],[Confirmed Sampling Date]], "dd")</f>
        <v>2025_11_04</v>
      </c>
      <c r="Z176" s="20" t="str">
        <f>IFERROR(LEFT(J176, FIND(" ", J176) - 1), J176)</f>
        <v>Cluj-MNC</v>
      </c>
      <c r="AA176" s="20" t="str">
        <f>VLOOKUP(Table47[[#This Row],[ToSite-UPSName]],Table1[[Company or Name]:[NOTES]],2,FALSE)</f>
        <v>Romania</v>
      </c>
      <c r="AB176" s="20" t="str">
        <f>IFERROR(VLOOKUP(Table47[[#This Row],[ToSite-UPSName]], Table1[[#All],[Company or Name]:[Delivery Address]],20,FALSE),"")</f>
        <v>Strada Tăbăcarilor 11, Cluj-Napoca, 400139, Romania</v>
      </c>
      <c r="AC176" s="20" t="str">
        <f>TEXT(Table47[[#This Row],[Shipping Date (SD-14)]]+3,"YYYY-MM-DD")</f>
        <v>2025-10-24</v>
      </c>
      <c r="AD176" s="20" t="str">
        <f>_xlfn.XLOOKUP(Table47[[#This Row],[Type]],kits!C:C,kits!D:D,"",0)</f>
        <v>boxcontentlabel_template_outbound1.docx</v>
      </c>
    </row>
    <row r="177" spans="2:30" ht="14.1" customHeight="1" x14ac:dyDescent="0.25">
      <c r="B177" s="13">
        <v>172</v>
      </c>
      <c r="C177" s="14" t="s">
        <v>1271</v>
      </c>
      <c r="D177" s="13">
        <v>1</v>
      </c>
      <c r="E177" s="83">
        <v>45965</v>
      </c>
      <c r="F177" s="34">
        <f>_xlfn.LET(
    _xlpm.baseDate, Table47[[#This Row],[Confirmed Sampling Date]] - 14,
    _xlpm.weekdayNum, WEEKDAY(_xlpm.baseDate, 2),
    IF(_xlpm.weekdayNum = 6, _xlpm.baseDate + 2, IF(_xlpm.weekdayNum = 7, _xlpm.baseDate + 1, _xlpm.baseDate))
)</f>
        <v>45951</v>
      </c>
      <c r="G177" s="20">
        <f>IFERROR(WEEKNUM(Table47[[#This Row],[Shipping Date (SD-14)]]),"TBD")</f>
        <v>43</v>
      </c>
      <c r="H177" s="20" t="str">
        <f>IFERROR(TEXT(Table47[[#This Row],[Shipping Date (SD-14)]],"yyyy-mm"),"TBD")</f>
        <v>2025-10</v>
      </c>
      <c r="I177" s="78" t="s">
        <v>1125</v>
      </c>
      <c r="J177" s="97" t="str">
        <f>IFERROR(VLOOKUP(Table47[[#This Row],[ToSite-UPSName]],Table1[[#All],[Company or Name]:[Delivery Address]],15,FALSE),"")</f>
        <v>Cluj-SCBI</v>
      </c>
      <c r="K177" s="20" t="str">
        <f>IFERROR(VLOOKUP(Table47[[#This Row],[ToSite-UPSName]],Table1[[#All],[Company or Name]:[Delivery Address]],16,FALSE),"")</f>
        <v>-</v>
      </c>
      <c r="L177" s="20"/>
      <c r="M177" s="20" t="str">
        <f>IFERROR(VLOOKUP(Table47[[#This Row],[ToSite-UPSName]],Table1[[#All],[Company or Name]:[Delivery Address]],18,FALSE),"")</f>
        <v>-</v>
      </c>
      <c r="N177" s="20" t="str">
        <f>IFERROR(VLOOKUP(Table47[[#This Row],[ToSite-UPSName]],Table1[[#All],[Company or Name]:[Delivery Address]],19,FALSE),"")</f>
        <v>-</v>
      </c>
      <c r="O177" s="13"/>
      <c r="P177" s="20"/>
      <c r="Q177" s="20"/>
      <c r="R177" s="20"/>
      <c r="S177" s="99" t="s">
        <v>892</v>
      </c>
      <c r="T177" s="64" t="s">
        <v>1876</v>
      </c>
      <c r="U177" s="13" t="s">
        <v>125</v>
      </c>
      <c r="X177" s="13"/>
      <c r="Y177" s="20" t="str">
        <f>TEXT(Table47[[#This Row],[Confirmed Sampling Date]], "yyyy") &amp; "_" &amp; TEXT(Table47[[#This Row],[Confirmed Sampling Date]], "mm") &amp; "_" &amp; TEXT(Table47[[#This Row],[Confirmed Sampling Date]], "dd")</f>
        <v>2025_11_04</v>
      </c>
      <c r="Z177" s="20" t="str">
        <f>IFERROR(LEFT(J177, FIND(" ", J177) - 1), J177)</f>
        <v>Cluj-SCBI</v>
      </c>
      <c r="AA177" s="20" t="str">
        <f>VLOOKUP(Table47[[#This Row],[ToSite-UPSName]],Table1[[Company or Name]:[NOTES]],2,FALSE)</f>
        <v>Romania</v>
      </c>
      <c r="AB177" s="20" t="str">
        <f>IFERROR(VLOOKUP(Table47[[#This Row],[ToSite-UPSName]], Table1[[#All],[Company or Name]:[Delivery Address]],20,FALSE),"")</f>
        <v>Strada Iuliu Moldovan 23, Cluj-Napoca, 400003, Romania</v>
      </c>
      <c r="AC177" s="20" t="str">
        <f>TEXT(Table47[[#This Row],[Shipping Date (SD-14)]]+3,"YYYY-MM-DD")</f>
        <v>2025-10-24</v>
      </c>
      <c r="AD177" s="20" t="str">
        <f>_xlfn.XLOOKUP(Table47[[#This Row],[Type]],kits!C:C,kits!D:D,"",0)</f>
        <v>boxcontentlabel_template_outbound1.docx</v>
      </c>
    </row>
    <row r="178" spans="2:30" ht="13.5" customHeight="1" x14ac:dyDescent="0.25">
      <c r="B178" s="13">
        <v>132</v>
      </c>
      <c r="C178" s="14" t="s">
        <v>1271</v>
      </c>
      <c r="D178" s="13">
        <v>2</v>
      </c>
      <c r="E178" s="34">
        <v>45965</v>
      </c>
      <c r="F178" s="34">
        <f>_xlfn.LET(
    _xlpm.baseDate, Table47[[#This Row],[Confirmed Sampling Date]] - 14,
    _xlpm.weekdayNum, WEEKDAY(_xlpm.baseDate, 2),
    IF(_xlpm.weekdayNum = 6, _xlpm.baseDate + 2, IF(_xlpm.weekdayNum = 7, _xlpm.baseDate + 1, _xlpm.baseDate))
)</f>
        <v>45951</v>
      </c>
      <c r="G178" s="20">
        <f>IFERROR(WEEKNUM(Table47[[#This Row],[Shipping Date (SD-14)]]),"TBD")</f>
        <v>43</v>
      </c>
      <c r="H178" s="20" t="str">
        <f>IFERROR(TEXT(Table47[[#This Row],[Shipping Date (SD-14)]],"yyyy-mm"),"TBD")</f>
        <v>2025-10</v>
      </c>
      <c r="I178" s="13" t="s">
        <v>863</v>
      </c>
      <c r="J178" s="97" t="str">
        <f>IFERROR(VLOOKUP(Table47[[#This Row],[ToSite-UPSName]],Table1[[#All],[Company or Name]:[Delivery Address]],15,FALSE),"")</f>
        <v>Dusseldorf WWTP 2101</v>
      </c>
      <c r="K178" s="20" t="str">
        <f>IFERROR(VLOOKUP(Table47[[#This Row],[ToSite-UPSName]],Table1[[#All],[Company or Name]:[Delivery Address]],16,FALSE),"")</f>
        <v>Dusseldorf WWTP 601</v>
      </c>
      <c r="L178" s="20"/>
      <c r="M178" s="20">
        <f>IFERROR(VLOOKUP(Table47[[#This Row],[ToSite-UPSName]],Table1[[#All],[Company or Name]:[Delivery Address]],18,FALSE),"")</f>
        <v>0</v>
      </c>
      <c r="N178" s="20">
        <f>IFERROR(VLOOKUP(Table47[[#This Row],[ToSite-UPSName]],Table1[[#All],[Company or Name]:[Delivery Address]],19,FALSE),"")</f>
        <v>0</v>
      </c>
      <c r="O178" s="13"/>
      <c r="P178" s="20"/>
      <c r="Q178" s="20"/>
      <c r="R178" s="20"/>
      <c r="S178" s="99" t="s">
        <v>892</v>
      </c>
      <c r="T178" s="13" t="s">
        <v>1878</v>
      </c>
      <c r="U178" s="13" t="s">
        <v>125</v>
      </c>
      <c r="X178" s="13"/>
      <c r="Y178" s="20" t="str">
        <f>TEXT(Table47[[#This Row],[Confirmed Sampling Date]], "yyyy") &amp; "_" &amp; TEXT(Table47[[#This Row],[Confirmed Sampling Date]], "mm") &amp; "_" &amp; TEXT(Table47[[#This Row],[Confirmed Sampling Date]], "dd")</f>
        <v>2025_11_04</v>
      </c>
      <c r="Z178" s="20" t="str">
        <f>IFERROR(LEFT(J178, FIND(" ", J178) - 1), J178)</f>
        <v>Dusseldorf</v>
      </c>
      <c r="AA178" s="20" t="str">
        <f>VLOOKUP(Table47[[#This Row],[ToSite-UPSName]],Table1[[Company or Name]:[NOTES]],2,FALSE)</f>
        <v>Germany</v>
      </c>
      <c r="AB178" s="20" t="str">
        <f>IFERROR(VLOOKUP(Table47[[#This Row],[ToSite-UPSName]], Table1[[#All],[Company or Name]:[Delivery Address]],20,FALSE),"")</f>
        <v>Auf dem Draap 15, Chemisch-Biologische Laboratorien, Dusseldorf, 40221, Germany</v>
      </c>
      <c r="AC178" s="20" t="str">
        <f>TEXT(Table47[[#This Row],[Shipping Date (SD-14)]]+3,"YYYY-MM-DD")</f>
        <v>2025-10-24</v>
      </c>
      <c r="AD178" s="20" t="str">
        <f>_xlfn.XLOOKUP(Table47[[#This Row],[Type]],kits!C:C,kits!D:D,"",0)</f>
        <v>boxcontentlabel_template_outbound1.docx</v>
      </c>
    </row>
    <row r="179" spans="2:30" ht="14.1" customHeight="1" x14ac:dyDescent="0.25">
      <c r="B179" s="13">
        <v>39</v>
      </c>
      <c r="C179" s="14" t="s">
        <v>1271</v>
      </c>
      <c r="D179" s="13">
        <v>1</v>
      </c>
      <c r="E179" s="83">
        <v>45965</v>
      </c>
      <c r="F179" s="34">
        <f>_xlfn.LET(
    _xlpm.baseDate, Table47[[#This Row],[Confirmed Sampling Date]] - 14,
    _xlpm.weekdayNum, WEEKDAY(_xlpm.baseDate, 2),
    IF(_xlpm.weekdayNum = 6, _xlpm.baseDate + 2, IF(_xlpm.weekdayNum = 7, _xlpm.baseDate + 1, _xlpm.baseDate))
)</f>
        <v>45951</v>
      </c>
      <c r="G179" s="13">
        <f>IFERROR(WEEKNUM(Table47[[#This Row],[Shipping Date (SD-14)]]),"TBD")</f>
        <v>43</v>
      </c>
      <c r="H179" s="13" t="str">
        <f>IFERROR(TEXT(Table47[[#This Row],[Shipping Date (SD-14)]],"yyyy-mm"),"TBD")</f>
        <v>2025-10</v>
      </c>
      <c r="I179" s="13" t="s">
        <v>677</v>
      </c>
      <c r="J179" s="114" t="str">
        <f>IFERROR(VLOOKUP(Table47[[#This Row],[ToSite-UPSName]],Table1[[#All],[Company or Name]:[Delivery Address]],15,FALSE),"")</f>
        <v>Frankfurt WWTP</v>
      </c>
      <c r="K179" s="13" t="str">
        <f>IFERROR(VLOOKUP(Table47[[#This Row],[ToSite-UPSName]],Table1[[#All],[Company or Name]:[Delivery Address]],16,FALSE),"")</f>
        <v>Frankfurt Airport</v>
      </c>
      <c r="L179" s="13" t="str">
        <f>IFERROR(VLOOKUP(Table47[[#This Row],[ToSite-UPSName]],Table1[[#All],[Company or Name]:[Delivery Address]],17,FALSE),"")</f>
        <v>-</v>
      </c>
      <c r="M179" s="13" t="str">
        <f>IFERROR(VLOOKUP(Table47[[#This Row],[ToSite-UPSName]],Table1[[#All],[Company or Name]:[Delivery Address]],18,FALSE),"")</f>
        <v>-</v>
      </c>
      <c r="N179" s="13" t="str">
        <f>IFERROR(VLOOKUP(Table47[[#This Row],[ToSite-UPSName]],Table1[[#All],[Company or Name]:[Delivery Address]],19,FALSE),"")</f>
        <v>-</v>
      </c>
      <c r="O179" s="13"/>
      <c r="P179" s="13"/>
      <c r="Q179" s="13"/>
      <c r="R179" s="13"/>
      <c r="S179" s="64" t="s">
        <v>892</v>
      </c>
      <c r="T179" s="13" t="s">
        <v>1879</v>
      </c>
      <c r="U179" s="13" t="s">
        <v>125</v>
      </c>
      <c r="X179" s="13"/>
      <c r="Y179" s="20" t="str">
        <f>TEXT(Table47[[#This Row],[Confirmed Sampling Date]], "yyyy") &amp; "_" &amp; TEXT(Table47[[#This Row],[Confirmed Sampling Date]], "mm") &amp; "_" &amp; TEXT(Table47[[#This Row],[Confirmed Sampling Date]], "dd")</f>
        <v>2025_11_04</v>
      </c>
      <c r="Z179" s="20" t="str">
        <f>IFERROR(LEFT(J179, FIND(" ", J179) - 1), J179)</f>
        <v>Frankfurt</v>
      </c>
      <c r="AA179" s="20" t="str">
        <f>VLOOKUP(Table47[[#This Row],[ToSite-UPSName]],Table1[[Company or Name]:[NOTES]],2,FALSE)</f>
        <v>Germany</v>
      </c>
      <c r="AB179" s="20" t="str">
        <f>IFERROR(VLOOKUP(Table47[[#This Row],[ToSite-UPSName]], Table1[[#All],[Company or Name]:[Delivery Address]],20,FALSE),"")</f>
        <v>Goldsteinstraße 160, Gebäude 71 , Frankfurt am Main , 60528, Germany</v>
      </c>
      <c r="AC179" s="20" t="str">
        <f>TEXT(Table47[[#This Row],[Shipping Date (SD-14)]]+3,"YYYY-MM-DD")</f>
        <v>2025-10-24</v>
      </c>
      <c r="AD179" s="20" t="str">
        <f>_xlfn.XLOOKUP(Table47[[#This Row],[Type]],kits!C:C,kits!D:D,"",0)</f>
        <v>boxcontentlabel_template_outbound1.docx</v>
      </c>
    </row>
    <row r="180" spans="2:30" ht="13.5" customHeight="1" x14ac:dyDescent="0.25">
      <c r="B180" s="13">
        <v>120</v>
      </c>
      <c r="C180" s="14" t="s">
        <v>1271</v>
      </c>
      <c r="D180" s="13">
        <v>2</v>
      </c>
      <c r="E180" s="34">
        <v>45965</v>
      </c>
      <c r="F180" s="34">
        <f>_xlfn.LET(
    _xlpm.baseDate, Table47[[#This Row],[Confirmed Sampling Date]] - 14,
    _xlpm.weekdayNum, WEEKDAY(_xlpm.baseDate, 2),
    IF(_xlpm.weekdayNum = 6, _xlpm.baseDate + 2, IF(_xlpm.weekdayNum = 7, _xlpm.baseDate + 1, _xlpm.baseDate))
)</f>
        <v>45951</v>
      </c>
      <c r="G180" s="20">
        <f>IFERROR(WEEKNUM(Table47[[#This Row],[Shipping Date (SD-14)]]),"TBD")</f>
        <v>43</v>
      </c>
      <c r="H180" s="20" t="str">
        <f>IFERROR(TEXT(Table47[[#This Row],[Shipping Date (SD-14)]],"yyyy-mm"),"TBD")</f>
        <v>2025-10</v>
      </c>
      <c r="I180" s="13" t="s">
        <v>779</v>
      </c>
      <c r="J180" s="97" t="str">
        <f>IFERROR(VLOOKUP(Table47[[#This Row],[ToSite-UPSName]],Table1[[#All],[Company or Name]:[Delivery Address]],15,FALSE),"")</f>
        <v>Larnaca WWTP</v>
      </c>
      <c r="K180" s="20" t="str">
        <f>IFERROR(VLOOKUP(Table47[[#This Row],[ToSite-UPSName]],Table1[[#All],[Company or Name]:[Delivery Address]],16,FALSE),"")</f>
        <v>Larnaca Airport</v>
      </c>
      <c r="L180" s="20"/>
      <c r="M180" s="20">
        <f>IFERROR(VLOOKUP(Table47[[#This Row],[ToSite-UPSName]],Table1[[#All],[Company or Name]:[Delivery Address]],18,FALSE),"")</f>
        <v>0</v>
      </c>
      <c r="N180" s="20">
        <f>IFERROR(VLOOKUP(Table47[[#This Row],[ToSite-UPSName]],Table1[[#All],[Company or Name]:[Delivery Address]],19,FALSE),"")</f>
        <v>0</v>
      </c>
      <c r="O180" s="13"/>
      <c r="P180" s="20"/>
      <c r="Q180" s="20"/>
      <c r="R180" s="20"/>
      <c r="S180" s="64" t="s">
        <v>892</v>
      </c>
      <c r="T180" s="13" t="s">
        <v>1873</v>
      </c>
      <c r="U180" s="13" t="s">
        <v>125</v>
      </c>
      <c r="X180" s="13"/>
      <c r="Y180" s="20" t="str">
        <f>TEXT(Table47[[#This Row],[Confirmed Sampling Date]], "yyyy") &amp; "_" &amp; TEXT(Table47[[#This Row],[Confirmed Sampling Date]], "mm") &amp; "_" &amp; TEXT(Table47[[#This Row],[Confirmed Sampling Date]], "dd")</f>
        <v>2025_11_04</v>
      </c>
      <c r="Z180" s="20" t="str">
        <f>IFERROR(LEFT(J180, FIND(" ", J180) - 1), J180)</f>
        <v>Larnaca</v>
      </c>
      <c r="AA180" s="20" t="str">
        <f>VLOOKUP(Table47[[#This Row],[ToSite-UPSName]],Table1[[Company or Name]:[NOTES]],2,FALSE)</f>
        <v>Cyprus</v>
      </c>
      <c r="AB180" s="20" t="str">
        <f>IFERROR(VLOOKUP(Table47[[#This Row],[ToSite-UPSName]], Table1[[#All],[Company or Name]:[Delivery Address]],20,FALSE),"")</f>
        <v>Adamantiou Korai street 12, Larnaca District Local Government Organization offices, Larnaca, 6010, Cyprus</v>
      </c>
      <c r="AC180" s="20" t="str">
        <f>TEXT(Table47[[#This Row],[Shipping Date (SD-14)]]+3,"YYYY-MM-DD")</f>
        <v>2025-10-24</v>
      </c>
      <c r="AD180" s="20" t="str">
        <f>_xlfn.XLOOKUP(Table47[[#This Row],[Type]],kits!C:C,kits!D:D,"",0)</f>
        <v>boxcontentlabel_template_outbound1.docx</v>
      </c>
    </row>
    <row r="181" spans="2:30" ht="14.1" customHeight="1" x14ac:dyDescent="0.25">
      <c r="B181" s="13">
        <v>25</v>
      </c>
      <c r="C181" s="14" t="s">
        <v>1271</v>
      </c>
      <c r="D181" s="13">
        <v>2</v>
      </c>
      <c r="E181" s="34">
        <v>45965</v>
      </c>
      <c r="F181" s="34">
        <f>_xlfn.LET(
    _xlpm.baseDate, Table47[[#This Row],[Confirmed Sampling Date]] - 14,
    _xlpm.weekdayNum, WEEKDAY(_xlpm.baseDate, 2),
    IF(_xlpm.weekdayNum = 6, _xlpm.baseDate + 2, IF(_xlpm.weekdayNum = 7, _xlpm.baseDate + 1, _xlpm.baseDate))
)</f>
        <v>45951</v>
      </c>
      <c r="G181" s="13">
        <f>IFERROR(WEEKNUM(Table47[[#This Row],[Shipping Date (SD-14)]]),"TBD")</f>
        <v>43</v>
      </c>
      <c r="H181" s="13" t="str">
        <f>IFERROR(TEXT(Table47[[#This Row],[Shipping Date (SD-14)]],"yyyy-mm"),"TBD")</f>
        <v>2025-10</v>
      </c>
      <c r="I181" s="13" t="s">
        <v>19</v>
      </c>
      <c r="J181" s="114" t="str">
        <f>IFERROR(VLOOKUP(Table47[[#This Row],[ToSite-UPSName]],Table1[[#All],[Company or Name]:[Delivery Address]],15,FALSE),"")</f>
        <v>Munich WWTP</v>
      </c>
      <c r="K181" s="13" t="str">
        <f>IFERROR(VLOOKUP(Table47[[#This Row],[ToSite-UPSName]],Table1[[#All],[Company or Name]:[Delivery Address]],16,FALSE),"")</f>
        <v>Munich Airport</v>
      </c>
      <c r="L181" s="13" t="str">
        <f>IFERROR(VLOOKUP(Table47[[#This Row],[ToSite-UPSName]],Table1[[#All],[Company or Name]:[Delivery Address]],17,FALSE),"")</f>
        <v>-</v>
      </c>
      <c r="M181" s="13" t="str">
        <f>IFERROR(VLOOKUP(Table47[[#This Row],[ToSite-UPSName]],Table1[[#All],[Company or Name]:[Delivery Address]],18,FALSE),"")</f>
        <v>-</v>
      </c>
      <c r="N181" s="13" t="str">
        <f>IFERROR(VLOOKUP(Table47[[#This Row],[ToSite-UPSName]],Table1[[#All],[Company or Name]:[Delivery Address]],19,FALSE),"")</f>
        <v>-</v>
      </c>
      <c r="O181" s="13"/>
      <c r="P181" s="13"/>
      <c r="Q181" s="13"/>
      <c r="R181" s="13"/>
      <c r="S181" s="64" t="s">
        <v>892</v>
      </c>
      <c r="T181" s="64" t="s">
        <v>1874</v>
      </c>
      <c r="U181" s="13" t="s">
        <v>125</v>
      </c>
      <c r="X181" s="13"/>
      <c r="Y181" s="20" t="str">
        <f>TEXT(Table47[[#This Row],[Confirmed Sampling Date]], "yyyy") &amp; "_" &amp; TEXT(Table47[[#This Row],[Confirmed Sampling Date]], "mm") &amp; "_" &amp; TEXT(Table47[[#This Row],[Confirmed Sampling Date]], "dd")</f>
        <v>2025_11_04</v>
      </c>
      <c r="Z181" s="20" t="str">
        <f>IFERROR(LEFT(J181, FIND(" ", J181) - 1), J181)</f>
        <v>Munich</v>
      </c>
      <c r="AA181" s="20" t="str">
        <f>VLOOKUP(Table47[[#This Row],[ToSite-UPSName]],Table1[[Company or Name]:[NOTES]],2,FALSE)</f>
        <v>Germany</v>
      </c>
      <c r="AB181" s="20" t="str">
        <f>IFERROR(VLOOKUP(Table47[[#This Row],[ToSite-UPSName]], Table1[[#All],[Company or Name]:[Delivery Address]],20,FALSE),"")</f>
        <v>Leopoldstrasse 5, Institut fuer Infektions- und Tropenmedizin, Munich, 80802, Germany</v>
      </c>
      <c r="AC181" s="20" t="str">
        <f>TEXT(Table47[[#This Row],[Shipping Date (SD-14)]]+3,"YYYY-MM-DD")</f>
        <v>2025-10-24</v>
      </c>
      <c r="AD181" s="20" t="str">
        <f>_xlfn.XLOOKUP(Table47[[#This Row],[Type]],kits!C:C,kits!D:D,"",0)</f>
        <v>boxcontentlabel_template_outbound1.docx</v>
      </c>
    </row>
    <row r="182" spans="2:30" ht="14.1" customHeight="1" x14ac:dyDescent="0.25">
      <c r="B182" s="13">
        <v>107</v>
      </c>
      <c r="C182" s="14" t="s">
        <v>1271</v>
      </c>
      <c r="D182" s="13">
        <v>4</v>
      </c>
      <c r="E182" s="34">
        <v>45965</v>
      </c>
      <c r="F182" s="34">
        <f>_xlfn.LET(
    _xlpm.baseDate, Table47[[#This Row],[Confirmed Sampling Date]] - 14,
    _xlpm.weekdayNum, WEEKDAY(_xlpm.baseDate, 2),
    IF(_xlpm.weekdayNum = 6, _xlpm.baseDate + 2, IF(_xlpm.weekdayNum = 7, _xlpm.baseDate + 1, _xlpm.baseDate))
)</f>
        <v>45951</v>
      </c>
      <c r="G182" s="20">
        <f>IFERROR(WEEKNUM(Table47[[#This Row],[Shipping Date (SD-14)]]),"TBD")</f>
        <v>43</v>
      </c>
      <c r="H182" s="20" t="str">
        <f>IFERROR(TEXT(Table47[[#This Row],[Shipping Date (SD-14)]],"yyyy-mm"),"TBD")</f>
        <v>2025-10</v>
      </c>
      <c r="I182" s="13" t="s">
        <v>877</v>
      </c>
      <c r="J182" s="97" t="str">
        <f>IFERROR(VLOOKUP(Table47[[#This Row],[ToSite-UPSName]],Table1[[#All],[Company or Name]:[Delivery Address]],15,FALSE),"")</f>
        <v>Prague National Institute</v>
      </c>
      <c r="K182" s="20" t="str">
        <f>IFERROR(VLOOKUP(Table47[[#This Row],[ToSite-UPSName]],Table1[[#All],[Company or Name]:[Delivery Address]],16,FALSE),"")</f>
        <v>Prague WWTP FLOW 1</v>
      </c>
      <c r="L182" s="13" t="str">
        <f>IFERROR(VLOOKUP(Table47[[#This Row],[ToSite-UPSName]],Table1[[#All],[Company or Name]:[Delivery Address]],17,FALSE),"")</f>
        <v>Prague WWTP FLOW 2</v>
      </c>
      <c r="M182" s="20" t="str">
        <f>IFERROR(VLOOKUP(Table47[[#This Row],[ToSite-UPSName]],Table1[[#All],[Company or Name]:[Delivery Address]],18,FALSE),"")</f>
        <v>Prague Airport</v>
      </c>
      <c r="N182" s="20" t="str">
        <f>IFERROR(VLOOKUP(Table47[[#This Row],[ToSite-UPSName]],Table1[[#All],[Company or Name]:[Delivery Address]],19,FALSE),"")</f>
        <v>Prague Hospital</v>
      </c>
      <c r="O182" s="13"/>
      <c r="P182" s="20"/>
      <c r="Q182" s="20"/>
      <c r="R182" s="20"/>
      <c r="S182" s="64" t="s">
        <v>892</v>
      </c>
      <c r="T182" s="13" t="s">
        <v>1875</v>
      </c>
      <c r="U182" s="13" t="s">
        <v>125</v>
      </c>
      <c r="X182" s="13"/>
      <c r="Y182" s="20" t="str">
        <f>TEXT(Table47[[#This Row],[Confirmed Sampling Date]], "yyyy") &amp; "_" &amp; TEXT(Table47[[#This Row],[Confirmed Sampling Date]], "mm") &amp; "_" &amp; TEXT(Table47[[#This Row],[Confirmed Sampling Date]], "dd")</f>
        <v>2025_11_04</v>
      </c>
      <c r="Z182" s="20" t="str">
        <f>IFERROR(LEFT(J182, FIND(" ", J182) - 1), J182)</f>
        <v>Prague</v>
      </c>
      <c r="AA182" s="20" t="str">
        <f>VLOOKUP(Table47[[#This Row],[ToSite-UPSName]],Table1[[Company or Name]:[NOTES]],2,FALSE)</f>
        <v>Czech Republic</v>
      </c>
      <c r="AB182" s="20" t="str">
        <f>IFERROR(VLOOKUP(Table47[[#This Row],[ToSite-UPSName]], Table1[[#All],[Company or Name]:[Delivery Address]],20,FALSE),"")</f>
        <v>Šrobárova 49/48, Státní zdravotní ústav, Praha, 100 00, Czech Republic</v>
      </c>
      <c r="AC182" s="20" t="str">
        <f>TEXT(Table47[[#This Row],[Shipping Date (SD-14)]]+3,"YYYY-MM-DD")</f>
        <v>2025-10-24</v>
      </c>
      <c r="AD182" s="20" t="str">
        <f>_xlfn.XLOOKUP(Table47[[#This Row],[Type]],kits!C:C,kits!D:D,"",0)</f>
        <v>boxcontentlabel_template_outbound1.docx</v>
      </c>
    </row>
    <row r="183" spans="2:30" ht="14.1" customHeight="1" x14ac:dyDescent="0.25">
      <c r="B183" s="13">
        <v>144</v>
      </c>
      <c r="C183" s="14" t="s">
        <v>1271</v>
      </c>
      <c r="D183" s="13">
        <v>3</v>
      </c>
      <c r="E183" s="83">
        <v>45965</v>
      </c>
      <c r="F183" s="34">
        <f>_xlfn.LET(
    _xlpm.baseDate, Table47[[#This Row],[Confirmed Sampling Date]] - 14,
    _xlpm.weekdayNum, WEEKDAY(_xlpm.baseDate, 2),
    IF(_xlpm.weekdayNum = 6, _xlpm.baseDate + 2, IF(_xlpm.weekdayNum = 7, _xlpm.baseDate + 1, _xlpm.baseDate))
)</f>
        <v>45951</v>
      </c>
      <c r="G183" s="20">
        <f>IFERROR(WEEKNUM(Table47[[#This Row],[Shipping Date (SD-14)]]),"TBD")</f>
        <v>43</v>
      </c>
      <c r="H183" s="20" t="str">
        <f>IFERROR(TEXT(Table47[[#This Row],[Shipping Date (SD-14)]],"yyyy-mm"),"TBD")</f>
        <v>2025-10</v>
      </c>
      <c r="I183" s="13" t="s">
        <v>975</v>
      </c>
      <c r="J183" s="97" t="str">
        <f>IFERROR(VLOOKUP(Table47[[#This Row],[ToSite-UPSName]],Table1[[#All],[Company or Name]:[Delivery Address]],15,FALSE),"")</f>
        <v>Vilnius WWTP</v>
      </c>
      <c r="K183" s="20" t="str">
        <f>IFERROR(VLOOKUP(Table47[[#This Row],[ToSite-UPSName]],Table1[[#All],[Company or Name]:[Delivery Address]],16,FALSE),"")</f>
        <v>Vilnius Bus Terminal</v>
      </c>
      <c r="L183" s="20"/>
      <c r="M183" s="20">
        <f>IFERROR(VLOOKUP(Table47[[#This Row],[ToSite-UPSName]],Table1[[#All],[Company or Name]:[Delivery Address]],18,FALSE),"")</f>
        <v>0</v>
      </c>
      <c r="N183" s="20">
        <f>IFERROR(VLOOKUP(Table47[[#This Row],[ToSite-UPSName]],Table1[[#All],[Company or Name]:[Delivery Address]],19,FALSE),"")</f>
        <v>0</v>
      </c>
      <c r="O183" s="13"/>
      <c r="P183" s="20"/>
      <c r="Q183" s="20"/>
      <c r="R183" s="20"/>
      <c r="S183" s="64" t="s">
        <v>892</v>
      </c>
      <c r="T183" s="99" t="s">
        <v>1880</v>
      </c>
      <c r="U183" s="13" t="s">
        <v>125</v>
      </c>
      <c r="X183" s="13"/>
      <c r="Y183" s="20" t="str">
        <f>TEXT(Table47[[#This Row],[Confirmed Sampling Date]], "yyyy") &amp; "_" &amp; TEXT(Table47[[#This Row],[Confirmed Sampling Date]], "mm") &amp; "_" &amp; TEXT(Table47[[#This Row],[Confirmed Sampling Date]], "dd")</f>
        <v>2025_11_04</v>
      </c>
      <c r="Z183" s="20" t="str">
        <f>IFERROR(LEFT(J183, FIND(" ", J183) - 1), J183)</f>
        <v>Vilnius</v>
      </c>
      <c r="AA183" s="20" t="str">
        <f>VLOOKUP(Table47[[#This Row],[ToSite-UPSName]],Table1[[Company or Name]:[NOTES]],2,FALSE)</f>
        <v>Lithuania</v>
      </c>
      <c r="AB183" s="20" t="str">
        <f>IFERROR(VLOOKUP(Table47[[#This Row],[ToSite-UPSName]], Table1[[#All],[Company or Name]:[Delivery Address]],20,FALSE),"")</f>
        <v>Zolyno 36 gatve, Vilnius, 10210, Lithuania</v>
      </c>
      <c r="AC183" s="20" t="str">
        <f>TEXT(Table47[[#This Row],[Shipping Date (SD-14)]]+3,"YYYY-MM-DD")</f>
        <v>2025-10-24</v>
      </c>
      <c r="AD183" s="20" t="str">
        <f>_xlfn.XLOOKUP(Table47[[#This Row],[Type]],kits!C:C,kits!D:D,"",0)</f>
        <v>boxcontentlabel_template_outbound1.docx</v>
      </c>
    </row>
    <row r="184" spans="2:30" ht="14.1" customHeight="1" x14ac:dyDescent="0.25">
      <c r="B184" s="13">
        <v>223</v>
      </c>
      <c r="C184" s="14" t="s">
        <v>1271</v>
      </c>
      <c r="D184" s="13">
        <v>2</v>
      </c>
      <c r="E184" s="83">
        <v>45966</v>
      </c>
      <c r="F184" s="34">
        <f>_xlfn.LET(
    _xlpm.baseDate, Table47[[#This Row],[Confirmed Sampling Date]] - 14,
    _xlpm.weekdayNum, WEEKDAY(_xlpm.baseDate, 2),
    IF(_xlpm.weekdayNum = 6, _xlpm.baseDate + 2, IF(_xlpm.weekdayNum = 7, _xlpm.baseDate + 1, _xlpm.baseDate))
)</f>
        <v>45952</v>
      </c>
      <c r="G184" s="20">
        <f>IFERROR(WEEKNUM(Table47[[#This Row],[Shipping Date (SD-14)]]),"TBD")</f>
        <v>43</v>
      </c>
      <c r="H184" s="20" t="str">
        <f>IFERROR(TEXT(Table47[[#This Row],[Shipping Date (SD-14)]],"yyyy-mm"),"TBD")</f>
        <v>2025-10</v>
      </c>
      <c r="I184" s="13" t="s">
        <v>1590</v>
      </c>
      <c r="J184" s="20" t="str">
        <f>IFERROR(VLOOKUP(Table47[[#This Row],[ToSite-UPSName]],Table1[[#All],[Company or Name]:[Delivery Address]],15,FALSE),"")</f>
        <v>Àthens WWTP</v>
      </c>
      <c r="K184" s="20" t="str">
        <f>IFERROR(VLOOKUP(Table47[[#This Row],[ToSite-UPSName]],Table1[[#All],[Company or Name]:[Delivery Address]],16,FALSE),"")</f>
        <v>Athens Airport</v>
      </c>
      <c r="L184" s="20"/>
      <c r="M184" s="20" t="str">
        <f>IFERROR(VLOOKUP(Table47[[#This Row],[ToSite-UPSName]],Table1[[#All],[Company or Name]:[Delivery Address]],18,FALSE),"")</f>
        <v>-</v>
      </c>
      <c r="N184" s="20" t="str">
        <f>IFERROR(VLOOKUP(Table47[[#This Row],[ToSite-UPSName]],Table1[[#All],[Company or Name]:[Delivery Address]],19,FALSE),"")</f>
        <v>-</v>
      </c>
      <c r="O184" s="13"/>
      <c r="P184" s="20"/>
      <c r="Q184" s="20"/>
      <c r="R184" s="20"/>
      <c r="S184" s="64" t="s">
        <v>892</v>
      </c>
      <c r="T184" s="13" t="s">
        <v>1924</v>
      </c>
      <c r="U184" s="13" t="s">
        <v>125</v>
      </c>
      <c r="X184" s="13"/>
      <c r="Y184" s="20" t="str">
        <f>TEXT(Table47[[#This Row],[Confirmed Sampling Date]], "yyyy") &amp; "_" &amp; TEXT(Table47[[#This Row],[Confirmed Sampling Date]], "mm") &amp; "_" &amp; TEXT(Table47[[#This Row],[Confirmed Sampling Date]], "dd")</f>
        <v>2025_11_05</v>
      </c>
      <c r="Z184" s="20" t="str">
        <f>IFERROR(LEFT(J184, FIND(" ", J184) - 1), J184)</f>
        <v>Àthens</v>
      </c>
      <c r="AA184" s="20" t="str">
        <f>VLOOKUP(Table47[[#This Row],[ToSite-UPSName]],Table1[[Company or Name]:[NOTES]],2,FALSE)</f>
        <v>Greece</v>
      </c>
      <c r="AB184" s="20" t="str">
        <f>IFERROR(VLOOKUP(Table47[[#This Row],[ToSite-UPSName]], Table1[[#All],[Company or Name]:[Delivery Address]],20,FALSE),"")</f>
        <v>Zografou, 4ος όροφος, εργαστήριο αριθμός 8, Athens,  157 71, Greece</v>
      </c>
      <c r="AC184" s="20" t="str">
        <f>TEXT(Table47[[#This Row],[Shipping Date (SD-14)]]+3,"YYYY-MM-DD")</f>
        <v>2025-10-25</v>
      </c>
      <c r="AD184" s="20" t="str">
        <f>_xlfn.XLOOKUP(Table47[[#This Row],[Type]],kits!C:C,kits!D:D,"",0)</f>
        <v>boxcontentlabel_template_outbound1.docx</v>
      </c>
    </row>
    <row r="185" spans="2:30" ht="14.1" customHeight="1" x14ac:dyDescent="0.25">
      <c r="B185" s="13">
        <v>154</v>
      </c>
      <c r="C185" s="14" t="s">
        <v>1271</v>
      </c>
      <c r="D185" s="13">
        <v>20</v>
      </c>
      <c r="E185" s="80">
        <v>45966</v>
      </c>
      <c r="F185" s="34">
        <f>_xlfn.LET(
    _xlpm.baseDate, Table47[[#This Row],[Confirmed Sampling Date]] - 14,
    _xlpm.weekdayNum, WEEKDAY(_xlpm.baseDate, 2),
    IF(_xlpm.weekdayNum = 6, _xlpm.baseDate + 2, IF(_xlpm.weekdayNum = 7, _xlpm.baseDate + 1, _xlpm.baseDate))
)</f>
        <v>45952</v>
      </c>
      <c r="G185" s="20">
        <f>IFERROR(WEEKNUM(Table47[[#This Row],[Shipping Date (SD-14)]]),"TBD")</f>
        <v>43</v>
      </c>
      <c r="H185" s="20" t="str">
        <f>IFERROR(TEXT(Table47[[#This Row],[Shipping Date (SD-14)]],"yyyy-mm"),"TBD")</f>
        <v>2025-10</v>
      </c>
      <c r="I185" s="78" t="s">
        <v>1628</v>
      </c>
      <c r="J185" s="20" t="str">
        <f>IFERROR(VLOOKUP(Table47[[#This Row],[ToSite-UPSName]],Table1[[#All],[Company or Name]:[Delivery Address]],15,FALSE),"")</f>
        <v>Funchal WWTP</v>
      </c>
      <c r="K185" s="20" t="str">
        <f>IFERROR(VLOOKUP(Table47[[#This Row],[ToSite-UPSName]],Table1[[#All],[Company or Name]:[Delivery Address]],16,FALSE),"")</f>
        <v>Madeira, 10 locations</v>
      </c>
      <c r="L185" s="20"/>
      <c r="M185" s="20">
        <f>IFERROR(VLOOKUP(Table47[[#This Row],[ToSite-UPSName]],Table1[[#All],[Company or Name]:[Delivery Address]],18,FALSE),"")</f>
        <v>0</v>
      </c>
      <c r="N185" s="20">
        <f>IFERROR(VLOOKUP(Table47[[#This Row],[ToSite-UPSName]],Table1[[#All],[Company or Name]:[Delivery Address]],19,FALSE),"")</f>
        <v>0</v>
      </c>
      <c r="O185" s="13"/>
      <c r="P185" s="20"/>
      <c r="Q185" s="20"/>
      <c r="R185" s="20"/>
      <c r="S185" s="64" t="s">
        <v>892</v>
      </c>
      <c r="T185" s="13" t="s">
        <v>1922</v>
      </c>
      <c r="U185" s="13" t="s">
        <v>125</v>
      </c>
      <c r="X185" s="13"/>
      <c r="Y185" s="20" t="str">
        <f>TEXT(Table47[[#This Row],[Confirmed Sampling Date]], "yyyy") &amp; "_" &amp; TEXT(Table47[[#This Row],[Confirmed Sampling Date]], "mm") &amp; "_" &amp; TEXT(Table47[[#This Row],[Confirmed Sampling Date]], "dd")</f>
        <v>2025_11_05</v>
      </c>
      <c r="Z185" s="20" t="str">
        <f>IFERROR(LEFT(J185, FIND(" ", J185) - 1), J185)</f>
        <v>Funchal</v>
      </c>
      <c r="AA185" s="20" t="str">
        <f>VLOOKUP(Table47[[#This Row],[ToSite-UPSName]],Table1[[Company or Name]:[NOTES]],2,FALSE)</f>
        <v>Portugal</v>
      </c>
      <c r="AB185" s="20" t="str">
        <f>IFERROR(VLOOKUP(Table47[[#This Row],[ToSite-UPSName]], Table1[[#All],[Company or Name]:[Delivery Address]],20,FALSE),"")</f>
        <v>R. do Matadouro 4, Funchal, 9050-100, Portugal</v>
      </c>
      <c r="AC185" s="20" t="str">
        <f>TEXT(Table47[[#This Row],[Shipping Date (SD-14)]]+3,"YYYY-MM-DD")</f>
        <v>2025-10-25</v>
      </c>
      <c r="AD185" s="20" t="str">
        <f>_xlfn.XLOOKUP(Table47[[#This Row],[Type]],kits!C:C,kits!D:D,"",0)</f>
        <v>boxcontentlabel_template_outbound1.docx</v>
      </c>
    </row>
    <row r="186" spans="2:30" ht="14.1" customHeight="1" x14ac:dyDescent="0.25">
      <c r="B186" s="13">
        <v>198</v>
      </c>
      <c r="C186" s="85" t="s">
        <v>1272</v>
      </c>
      <c r="D186" s="13">
        <v>4</v>
      </c>
      <c r="E186" s="83">
        <v>45966</v>
      </c>
      <c r="F186" s="34">
        <f>_xlfn.LET(
    _xlpm.baseDate, Table47[[#This Row],[Confirmed Sampling Date]] - 14,
    _xlpm.weekdayNum, WEEKDAY(_xlpm.baseDate, 2),
    IF(_xlpm.weekdayNum = 6, _xlpm.baseDate + 2, IF(_xlpm.weekdayNum = 7, _xlpm.baseDate + 1, _xlpm.baseDate))
)</f>
        <v>45952</v>
      </c>
      <c r="G186" s="20">
        <f>IFERROR(WEEKNUM(Table47[[#This Row],[Shipping Date (SD-14)]]),"TBD")</f>
        <v>43</v>
      </c>
      <c r="H186" s="20" t="str">
        <f>IFERROR(TEXT(Table47[[#This Row],[Shipping Date (SD-14)]],"yyyy-mm"),"TBD")</f>
        <v>2025-10</v>
      </c>
      <c r="I186" s="13" t="s">
        <v>1628</v>
      </c>
      <c r="J186" s="20" t="str">
        <f>IFERROR(VLOOKUP(Table47[[#This Row],[ToSite-UPSName]],Table1[[#All],[Company or Name]:[Delivery Address]],15,FALSE),"")</f>
        <v>Funchal WWTP</v>
      </c>
      <c r="K186" s="20" t="str">
        <f>IFERROR(VLOOKUP(Table47[[#This Row],[ToSite-UPSName]],Table1[[#All],[Company or Name]:[Delivery Address]],16,FALSE),"")</f>
        <v>Madeira, 10 locations</v>
      </c>
      <c r="L186" s="20"/>
      <c r="M186" s="20">
        <f>IFERROR(VLOOKUP(Table47[[#This Row],[ToSite-UPSName]],Table1[[#All],[Company or Name]:[Delivery Address]],18,FALSE),"")</f>
        <v>0</v>
      </c>
      <c r="N186" s="20">
        <f>IFERROR(VLOOKUP(Table47[[#This Row],[ToSite-UPSName]],Table1[[#All],[Company or Name]:[Delivery Address]],19,FALSE),"")</f>
        <v>0</v>
      </c>
      <c r="O186" s="13"/>
      <c r="P186" s="20"/>
      <c r="Q186" s="20"/>
      <c r="R186" s="20"/>
      <c r="S186" s="64" t="s">
        <v>892</v>
      </c>
      <c r="T186" s="13" t="s">
        <v>1923</v>
      </c>
      <c r="U186" s="13" t="s">
        <v>125</v>
      </c>
      <c r="X186" s="13"/>
      <c r="Y186" s="20" t="str">
        <f>TEXT(Table47[[#This Row],[Confirmed Sampling Date]], "yyyy") &amp; "_" &amp; TEXT(Table47[[#This Row],[Confirmed Sampling Date]], "mm") &amp; "_" &amp; TEXT(Table47[[#This Row],[Confirmed Sampling Date]], "dd")</f>
        <v>2025_11_05</v>
      </c>
      <c r="Z186" s="20" t="str">
        <f>IFERROR(LEFT(J186, FIND(" ", J186) - 1), J186)</f>
        <v>Funchal</v>
      </c>
      <c r="AA186" s="20" t="str">
        <f>VLOOKUP(Table47[[#This Row],[ToSite-UPSName]],Table1[[Company or Name]:[NOTES]],2,FALSE)</f>
        <v>Portugal</v>
      </c>
      <c r="AB186" s="20" t="str">
        <f>IFERROR(VLOOKUP(Table47[[#This Row],[ToSite-UPSName]], Table1[[#All],[Company or Name]:[Delivery Address]],20,FALSE),"")</f>
        <v>R. do Matadouro 4, Funchal, 9050-100, Portugal</v>
      </c>
      <c r="AC186" s="20" t="str">
        <f>TEXT(Table47[[#This Row],[Shipping Date (SD-14)]]+3,"YYYY-MM-DD")</f>
        <v>2025-10-25</v>
      </c>
      <c r="AD186" s="20" t="str">
        <f>_xlfn.XLOOKUP(Table47[[#This Row],[Type]],kits!C:C,kits!D:D,"",0)</f>
        <v>boxcontentlabel_template_outbound2.docx</v>
      </c>
    </row>
    <row r="187" spans="2:30" ht="14.1" customHeight="1" x14ac:dyDescent="0.25">
      <c r="B187" s="13">
        <v>80</v>
      </c>
      <c r="C187" s="14" t="s">
        <v>1271</v>
      </c>
      <c r="D187" s="13">
        <v>1</v>
      </c>
      <c r="E187" s="34">
        <v>45966</v>
      </c>
      <c r="F187" s="34">
        <f>_xlfn.LET(
    _xlpm.baseDate, Table47[[#This Row],[Confirmed Sampling Date]] - 14,
    _xlpm.weekdayNum, WEEKDAY(_xlpm.baseDate, 2),
    IF(_xlpm.weekdayNum = 6, _xlpm.baseDate + 2, IF(_xlpm.weekdayNum = 7, _xlpm.baseDate + 1, _xlpm.baseDate))
)</f>
        <v>45952</v>
      </c>
      <c r="G187" s="20">
        <f>IFERROR(WEEKNUM(Table47[[#This Row],[Shipping Date (SD-14)]]),"TBD")</f>
        <v>43</v>
      </c>
      <c r="H187" s="20" t="str">
        <f>IFERROR(TEXT(Table47[[#This Row],[Shipping Date (SD-14)]],"yyyy-mm"),"TBD")</f>
        <v>2025-10</v>
      </c>
      <c r="I187" s="13" t="s">
        <v>680</v>
      </c>
      <c r="J187" s="13" t="str">
        <f>IFERROR(VLOOKUP(Table47[[#This Row],[ToSite-UPSName]],Table1[[#All],[Company or Name]:[Delivery Address]],15,FALSE),"")</f>
        <v>Rome WWTP</v>
      </c>
      <c r="K187" s="20" t="str">
        <f>IFERROR(VLOOKUP(Table47[[#This Row],[ToSite-UPSName]],Table1[[#All],[Company or Name]:[Delivery Address]],16,FALSE),"")</f>
        <v>-</v>
      </c>
      <c r="L187" s="13" t="str">
        <f>IFERROR(VLOOKUP(Table47[[#This Row],[ToSite-UPSName]],Table1[[#All],[Company or Name]:[Delivery Address]],17,FALSE),"")</f>
        <v>-</v>
      </c>
      <c r="M187" s="20" t="str">
        <f>IFERROR(VLOOKUP(Table47[[#This Row],[ToSite-UPSName]],Table1[[#All],[Company or Name]:[Delivery Address]],18,FALSE),"")</f>
        <v>-</v>
      </c>
      <c r="N187" s="20" t="str">
        <f>IFERROR(VLOOKUP(Table47[[#This Row],[ToSite-UPSName]],Table1[[#All],[Company or Name]:[Delivery Address]],19,FALSE),"")</f>
        <v>-</v>
      </c>
      <c r="O187" s="13"/>
      <c r="P187" s="20"/>
      <c r="Q187" s="20"/>
      <c r="R187" s="20"/>
      <c r="S187" s="13" t="s">
        <v>892</v>
      </c>
      <c r="T187" s="64" t="s">
        <v>1926</v>
      </c>
      <c r="U187" s="13" t="s">
        <v>125</v>
      </c>
      <c r="X187" s="13"/>
      <c r="Y187" s="20" t="str">
        <f>TEXT(Table47[[#This Row],[Confirmed Sampling Date]], "yyyy") &amp; "_" &amp; TEXT(Table47[[#This Row],[Confirmed Sampling Date]], "mm") &amp; "_" &amp; TEXT(Table47[[#This Row],[Confirmed Sampling Date]], "dd")</f>
        <v>2025_11_05</v>
      </c>
      <c r="Z187" s="20" t="str">
        <f>IFERROR(LEFT(J187, FIND(" ", J187) - 1), J187)</f>
        <v>Rome</v>
      </c>
      <c r="AA187" s="20" t="str">
        <f>VLOOKUP(Table47[[#This Row],[ToSite-UPSName]],Table1[[Company or Name]:[NOTES]],2,FALSE)</f>
        <v>Italy</v>
      </c>
      <c r="AB187" s="20" t="str">
        <f>IFERROR(VLOOKUP(Table47[[#This Row],[ToSite-UPSName]], Table1[[#All],[Company or Name]:[Delivery Address]],20,FALSE),"")</f>
        <v>Via dell'Equitazione 10, Rome, 00144, Italy</v>
      </c>
      <c r="AC187" s="20" t="str">
        <f>TEXT(Table47[[#This Row],[Shipping Date (SD-14)]]+3,"YYYY-MM-DD")</f>
        <v>2025-10-25</v>
      </c>
      <c r="AD187" s="20" t="str">
        <f>_xlfn.XLOOKUP(Table47[[#This Row],[Type]],kits!C:C,kits!D:D,"",0)</f>
        <v>boxcontentlabel_template_outbound1.docx</v>
      </c>
    </row>
    <row r="188" spans="2:30" ht="14.1" customHeight="1" x14ac:dyDescent="0.25">
      <c r="B188" s="13">
        <v>94</v>
      </c>
      <c r="C188" s="14" t="s">
        <v>1271</v>
      </c>
      <c r="D188" s="13">
        <v>1</v>
      </c>
      <c r="E188" s="34">
        <v>45966</v>
      </c>
      <c r="F188" s="34">
        <f>_xlfn.LET(
    _xlpm.baseDate, Table47[[#This Row],[Confirmed Sampling Date]] - 14,
    _xlpm.weekdayNum, WEEKDAY(_xlpm.baseDate, 2),
    IF(_xlpm.weekdayNum = 6, _xlpm.baseDate + 2, IF(_xlpm.weekdayNum = 7, _xlpm.baseDate + 1, _xlpm.baseDate))
)</f>
        <v>45952</v>
      </c>
      <c r="G188" s="20">
        <f>IFERROR(WEEKNUM(Table47[[#This Row],[Shipping Date (SD-14)]]),"TBD")</f>
        <v>43</v>
      </c>
      <c r="H188" s="20" t="str">
        <f>IFERROR(TEXT(Table47[[#This Row],[Shipping Date (SD-14)]],"yyyy-mm"),"TBD")</f>
        <v>2025-10</v>
      </c>
      <c r="I188" s="13" t="s">
        <v>771</v>
      </c>
      <c r="J188" s="20" t="str">
        <f>IFERROR(VLOOKUP(Table47[[#This Row],[ToSite-UPSName]],Table1[[#All],[Company or Name]:[Delivery Address]],15,FALSE),"")</f>
        <v>RomeAirport</v>
      </c>
      <c r="K188" s="20" t="str">
        <f>IFERROR(VLOOKUP(Table47[[#This Row],[ToSite-UPSName]],Table1[[#All],[Company or Name]:[Delivery Address]],16,FALSE),"")</f>
        <v>-</v>
      </c>
      <c r="L188" s="13" t="str">
        <f>IFERROR(VLOOKUP(Table47[[#This Row],[ToSite-UPSName]],Table1[[#All],[Company or Name]:[Delivery Address]],17,FALSE),"")</f>
        <v>-</v>
      </c>
      <c r="M188" s="20" t="str">
        <f>IFERROR(VLOOKUP(Table47[[#This Row],[ToSite-UPSName]],Table1[[#All],[Company or Name]:[Delivery Address]],18,FALSE),"")</f>
        <v>-</v>
      </c>
      <c r="N188" s="20" t="str">
        <f>IFERROR(VLOOKUP(Table47[[#This Row],[ToSite-UPSName]],Table1[[#All],[Company or Name]:[Delivery Address]],19,FALSE),"")</f>
        <v>-</v>
      </c>
      <c r="O188" s="13"/>
      <c r="P188" s="20"/>
      <c r="Q188" s="20"/>
      <c r="R188" s="20"/>
      <c r="S188" s="13" t="s">
        <v>892</v>
      </c>
      <c r="T188" s="64" t="s">
        <v>1925</v>
      </c>
      <c r="U188" s="13" t="s">
        <v>125</v>
      </c>
      <c r="X188" s="13"/>
      <c r="Y188" s="20" t="str">
        <f>TEXT(Table47[[#This Row],[Confirmed Sampling Date]], "yyyy") &amp; "_" &amp; TEXT(Table47[[#This Row],[Confirmed Sampling Date]], "mm") &amp; "_" &amp; TEXT(Table47[[#This Row],[Confirmed Sampling Date]], "dd")</f>
        <v>2025_11_05</v>
      </c>
      <c r="Z188" s="20" t="str">
        <f>IFERROR(LEFT(J188, FIND(" ", J188) - 1), J188)</f>
        <v>RomeAirport</v>
      </c>
      <c r="AA188" s="20" t="str">
        <f>VLOOKUP(Table47[[#This Row],[ToSite-UPSName]],Table1[[Company or Name]:[NOTES]],2,FALSE)</f>
        <v>Italy</v>
      </c>
      <c r="AB188" s="20" t="str">
        <f>IFERROR(VLOOKUP(Table47[[#This Row],[ToSite-UPSName]], Table1[[#All],[Company or Name]:[Delivery Address]],20,FALSE),"")</f>
        <v>VIA FRATELLI WRIGHT (DEPURATORE BIOLOGICO), FIUMICINO, 00054, Italy</v>
      </c>
      <c r="AC188" s="20" t="str">
        <f>TEXT(Table47[[#This Row],[Shipping Date (SD-14)]]+3,"YYYY-MM-DD")</f>
        <v>2025-10-25</v>
      </c>
      <c r="AD188" s="20" t="str">
        <f>_xlfn.XLOOKUP(Table47[[#This Row],[Type]],kits!C:C,kits!D:D,"",0)</f>
        <v>boxcontentlabel_template_outbound1.docx</v>
      </c>
    </row>
    <row r="189" spans="2:30" ht="14.1" customHeight="1" x14ac:dyDescent="0.25">
      <c r="B189" s="13">
        <v>230</v>
      </c>
      <c r="C189" s="14" t="s">
        <v>1271</v>
      </c>
      <c r="D189" s="13">
        <v>2</v>
      </c>
      <c r="E189" s="34">
        <v>45967</v>
      </c>
      <c r="F189" s="34">
        <f>_xlfn.LET(
    _xlpm.baseDate, Table47[[#This Row],[Confirmed Sampling Date]] - 14,
    _xlpm.weekdayNum, WEEKDAY(_xlpm.baseDate, 2),
    IF(_xlpm.weekdayNum = 6, _xlpm.baseDate + 2, IF(_xlpm.weekdayNum = 7, _xlpm.baseDate + 1, _xlpm.baseDate))
)</f>
        <v>45953</v>
      </c>
      <c r="G189" s="20">
        <f>IFERROR(WEEKNUM(Table47[[#This Row],[Shipping Date (SD-14)]]),"TBD")</f>
        <v>43</v>
      </c>
      <c r="H189" s="20" t="str">
        <f>IFERROR(TEXT(Table47[[#This Row],[Shipping Date (SD-14)]],"yyyy-mm"),"TBD")</f>
        <v>2025-10</v>
      </c>
      <c r="I189" s="13" t="s">
        <v>1598</v>
      </c>
      <c r="J189" s="20" t="str">
        <f>IFERROR(VLOOKUP(Table47[[#This Row],[ToSite-UPSName]],Table1[[#All],[Company or Name]:[Delivery Address]],15,FALSE),"")</f>
        <v>Heraklion WWTP</v>
      </c>
      <c r="K189" s="20" t="str">
        <f>IFERROR(VLOOKUP(Table47[[#This Row],[ToSite-UPSName]],Table1[[#All],[Company or Name]:[Delivery Address]],16,FALSE),"")</f>
        <v>Heraklion Airport</v>
      </c>
      <c r="L189" s="20"/>
      <c r="M189" s="20" t="str">
        <f>IFERROR(VLOOKUP(Table47[[#This Row],[ToSite-UPSName]],Table1[[#All],[Company or Name]:[Delivery Address]],18,FALSE),"")</f>
        <v>-</v>
      </c>
      <c r="N189" s="20" t="str">
        <f>IFERROR(VLOOKUP(Table47[[#This Row],[ToSite-UPSName]],Table1[[#All],[Company or Name]:[Delivery Address]],19,FALSE),"")</f>
        <v>-</v>
      </c>
      <c r="O189" s="13"/>
      <c r="P189" s="20"/>
      <c r="Q189" s="20"/>
      <c r="R189" s="20"/>
      <c r="S189" s="13" t="s">
        <v>813</v>
      </c>
      <c r="T189" s="13">
        <v>1094950861</v>
      </c>
      <c r="U189" s="13" t="s">
        <v>125</v>
      </c>
      <c r="X189" s="13"/>
      <c r="Y189" s="20" t="str">
        <f>TEXT(Table47[[#This Row],[Confirmed Sampling Date]], "yyyy") &amp; "_" &amp; TEXT(Table47[[#This Row],[Confirmed Sampling Date]], "mm") &amp; "_" &amp; TEXT(Table47[[#This Row],[Confirmed Sampling Date]], "dd")</f>
        <v>2025_11_06</v>
      </c>
      <c r="Z189" s="20" t="str">
        <f>IFERROR(LEFT(J189, FIND(" ", J189) - 1), J189)</f>
        <v>Heraklion</v>
      </c>
      <c r="AA189" s="20" t="str">
        <f>VLOOKUP(Table47[[#This Row],[ToSite-UPSName]],Table1[[Company or Name]:[NOTES]],2,FALSE)</f>
        <v>Greece</v>
      </c>
      <c r="AB189" s="20" t="str">
        <f>IFERROR(VLOOKUP(Table47[[#This Row],[ToSite-UPSName]], Table1[[#All],[Company or Name]:[Delivery Address]],20,FALSE),"")</f>
        <v>Andrea Kalokerinou 13, Pteryga 3D, Giofirakia, 715 00, Greece</v>
      </c>
      <c r="AC189" s="20" t="str">
        <f>TEXT(Table47[[#This Row],[Shipping Date (SD-14)]]+3,"YYYY-MM-DD")</f>
        <v>2025-10-26</v>
      </c>
      <c r="AD189" s="20" t="str">
        <f>_xlfn.XLOOKUP(Table47[[#This Row],[Type]],kits!C:C,kits!D:D,"",0)</f>
        <v>boxcontentlabel_template_outbound1.docx</v>
      </c>
    </row>
    <row r="190" spans="2:30" ht="14.1" customHeight="1" x14ac:dyDescent="0.25">
      <c r="B190" s="13">
        <v>243</v>
      </c>
      <c r="C190" s="14" t="s">
        <v>1271</v>
      </c>
      <c r="D190" s="13">
        <v>2</v>
      </c>
      <c r="E190" s="34">
        <v>45967</v>
      </c>
      <c r="F190" s="34">
        <f>_xlfn.LET(
    _xlpm.baseDate, Table47[[#This Row],[Confirmed Sampling Date]] - 14,
    _xlpm.weekdayNum, WEEKDAY(_xlpm.baseDate, 2),
    IF(_xlpm.weekdayNum = 6, _xlpm.baseDate + 2, IF(_xlpm.weekdayNum = 7, _xlpm.baseDate + 1, _xlpm.baseDate))
)</f>
        <v>45953</v>
      </c>
      <c r="G190" s="20">
        <f>IFERROR(WEEKNUM(Table47[[#This Row],[Shipping Date (SD-14)]]),"TBD")</f>
        <v>43</v>
      </c>
      <c r="H190" s="20" t="str">
        <f>IFERROR(TEXT(Table47[[#This Row],[Shipping Date (SD-14)]],"yyyy-mm"),"TBD")</f>
        <v>2025-10</v>
      </c>
      <c r="I190" s="13" t="s">
        <v>637</v>
      </c>
      <c r="J190" s="20" t="str">
        <f>IFERROR(VLOOKUP(Table47[[#This Row],[ToSite-UPSName]],Table1[[#All],[Company or Name]:[Delivery Address]],15,FALSE),"")</f>
        <v>Luxembourg (Beggen) WWTP</v>
      </c>
      <c r="K190" s="20" t="str">
        <f>IFERROR(VLOOKUP(Table47[[#This Row],[ToSite-UPSName]],Table1[[#All],[Company or Name]:[Delivery Address]],16,FALSE),"")</f>
        <v>Luxembourg Airport</v>
      </c>
      <c r="L190" s="20"/>
      <c r="M190" s="20" t="str">
        <f>IFERROR(VLOOKUP(Table47[[#This Row],[ToSite-UPSName]],Table1[[#All],[Company or Name]:[Delivery Address]],18,FALSE),"")</f>
        <v>-</v>
      </c>
      <c r="N190" s="20" t="str">
        <f>IFERROR(VLOOKUP(Table47[[#This Row],[ToSite-UPSName]],Table1[[#All],[Company or Name]:[Delivery Address]],19,FALSE),"")</f>
        <v>-</v>
      </c>
      <c r="O190" s="13"/>
      <c r="P190" s="20"/>
      <c r="Q190" s="20"/>
      <c r="R190" s="20"/>
      <c r="S190" s="13" t="s">
        <v>892</v>
      </c>
      <c r="T190" s="13" t="s">
        <v>1927</v>
      </c>
      <c r="U190" s="13" t="s">
        <v>125</v>
      </c>
      <c r="X190" s="13"/>
      <c r="Y190" s="20" t="str">
        <f>TEXT(Table47[[#This Row],[Confirmed Sampling Date]], "yyyy") &amp; "_" &amp; TEXT(Table47[[#This Row],[Confirmed Sampling Date]], "mm") &amp; "_" &amp; TEXT(Table47[[#This Row],[Confirmed Sampling Date]], "dd")</f>
        <v>2025_11_06</v>
      </c>
      <c r="Z190" s="20" t="str">
        <f>IFERROR(LEFT(J190, FIND(" ", J190) - 1), J190)</f>
        <v>Luxembourg</v>
      </c>
      <c r="AA190" s="20" t="str">
        <f>VLOOKUP(Table47[[#This Row],[ToSite-UPSName]],Table1[[Company or Name]:[NOTES]],2,FALSE)</f>
        <v>Luxembourg</v>
      </c>
      <c r="AB190" s="20" t="str">
        <f>IFERROR(VLOOKUP(Table47[[#This Row],[ToSite-UPSName]], Table1[[#All],[Company or Name]:[Delivery Address]],20,FALSE),"")</f>
        <v>41 rue du Brill, Luxembourg, L-4422 , Luxembourg</v>
      </c>
      <c r="AC190" s="20" t="str">
        <f>TEXT(Table47[[#This Row],[Shipping Date (SD-14)]]+3,"YYYY-MM-DD")</f>
        <v>2025-10-26</v>
      </c>
      <c r="AD190" s="20" t="str">
        <f>_xlfn.XLOOKUP(Table47[[#This Row],[Type]],kits!C:C,kits!D:D,"",0)</f>
        <v>boxcontentlabel_template_outbound1.docx</v>
      </c>
    </row>
    <row r="191" spans="2:30" ht="14.1" customHeight="1" x14ac:dyDescent="0.25">
      <c r="B191" s="13">
        <v>12</v>
      </c>
      <c r="C191" s="14" t="s">
        <v>1271</v>
      </c>
      <c r="D191" s="13">
        <v>2</v>
      </c>
      <c r="E191" s="83">
        <v>45977</v>
      </c>
      <c r="F191" s="83">
        <f>_xlfn.LET(
    _xlpm.baseDate, Table47[[#This Row],[Confirmed Sampling Date]] - 14,
    _xlpm.weekdayNum, WEEKDAY(_xlpm.baseDate, 2),
    IF(_xlpm.weekdayNum = 6, _xlpm.baseDate + 2, IF(_xlpm.weekdayNum = 7, _xlpm.baseDate + 1, _xlpm.baseDate))
)</f>
        <v>45964</v>
      </c>
      <c r="G191" s="13">
        <f>IFERROR(WEEKNUM(Table47[[#This Row],[Shipping Date (SD-14)]]),"TBD")</f>
        <v>45</v>
      </c>
      <c r="H191" s="13" t="str">
        <f>IFERROR(TEXT(Table47[[#This Row],[Shipping Date (SD-14)]],"yyyy-mm"),"TBD")</f>
        <v>2025-11</v>
      </c>
      <c r="I191" s="13" t="s">
        <v>13</v>
      </c>
      <c r="J191" s="13" t="str">
        <f>IFERROR(VLOOKUP(Table47[[#This Row],[ToSite-UPSName]],Table1[[#All],[Company or Name]:[Delivery Address]],15,FALSE),"")</f>
        <v>Berlin (Schoenefeld) WWTP</v>
      </c>
      <c r="K191" s="13" t="str">
        <f>IFERROR(VLOOKUP(Table47[[#This Row],[ToSite-UPSName]],Table1[[#All],[Company or Name]:[Delivery Address]],16,FALSE),"")</f>
        <v>Berlin Airport</v>
      </c>
      <c r="L191" s="13" t="str">
        <f>IFERROR(VLOOKUP(Table47[[#This Row],[ToSite-UPSName]],Table1[[#All],[Company or Name]:[Delivery Address]],17,FALSE),"")</f>
        <v>-</v>
      </c>
      <c r="M191" s="13" t="str">
        <f>IFERROR(VLOOKUP(Table47[[#This Row],[ToSite-UPSName]],Table1[[#All],[Company or Name]:[Delivery Address]],18,FALSE),"")</f>
        <v>-</v>
      </c>
      <c r="N191" s="13" t="str">
        <f>IFERROR(VLOOKUP(Table47[[#This Row],[ToSite-UPSName]],Table1[[#All],[Company or Name]:[Delivery Address]],19,FALSE),"")</f>
        <v>-</v>
      </c>
      <c r="O191" s="13"/>
      <c r="P191" s="13"/>
      <c r="Q191" s="13"/>
      <c r="R191" s="13"/>
      <c r="S191" s="13"/>
      <c r="U191" s="13" t="s">
        <v>126</v>
      </c>
      <c r="X191" s="13"/>
      <c r="Y191" s="20" t="str">
        <f>TEXT(Table47[[#This Row],[Confirmed Sampling Date]], "yyyy") &amp; "_" &amp; TEXT(Table47[[#This Row],[Confirmed Sampling Date]], "mm") &amp; "_" &amp; TEXT(Table47[[#This Row],[Confirmed Sampling Date]], "dd")</f>
        <v>2025_11_16</v>
      </c>
      <c r="Z191" s="20" t="str">
        <f>IFERROR(LEFT(J191, FIND(" ", J191) - 1), J191)</f>
        <v>Berlin</v>
      </c>
      <c r="AA191" s="20" t="str">
        <f>VLOOKUP(Table47[[#This Row],[ToSite-UPSName]],Table1[[Company or Name]:[NOTES]],2,FALSE)</f>
        <v>Germany</v>
      </c>
      <c r="AB191" s="20" t="str">
        <f>IFERROR(VLOOKUP(Table47[[#This Row],[ToSite-UPSName]], Table1[[#All],[Company or Name]:[Delivery Address]],20,FALSE),"")</f>
        <v>Strasse am Klarwerk 4, Klarwerk Wassmannsdorf, Schoenefeld, 12529, Germany</v>
      </c>
      <c r="AC191" s="20" t="str">
        <f>TEXT(Table47[[#This Row],[Shipping Date (SD-14)]]+3,"YYYY-MM-DD")</f>
        <v>2025-11-06</v>
      </c>
      <c r="AD191" s="20" t="str">
        <f>_xlfn.XLOOKUP(Table47[[#This Row],[Type]],kits!C:C,kits!D:D,"",0)</f>
        <v>boxcontentlabel_template_outbound1.docx</v>
      </c>
    </row>
    <row r="192" spans="2:30" ht="14.1" customHeight="1" x14ac:dyDescent="0.25">
      <c r="B192" s="13">
        <v>207</v>
      </c>
      <c r="C192" s="85" t="s">
        <v>1272</v>
      </c>
      <c r="D192" s="13">
        <v>2</v>
      </c>
      <c r="E192" s="34">
        <v>45977</v>
      </c>
      <c r="F192" s="34">
        <f>_xlfn.LET(
    _xlpm.baseDate, Table47[[#This Row],[Confirmed Sampling Date]] - 14,
    _xlpm.weekdayNum, WEEKDAY(_xlpm.baseDate, 2),
    IF(_xlpm.weekdayNum = 6, _xlpm.baseDate + 2, IF(_xlpm.weekdayNum = 7, _xlpm.baseDate + 1, _xlpm.baseDate))
)</f>
        <v>45964</v>
      </c>
      <c r="G192" s="20">
        <f>IFERROR(WEEKNUM(Table47[[#This Row],[Shipping Date (SD-14)]]),"TBD")</f>
        <v>45</v>
      </c>
      <c r="H192" s="20" t="str">
        <f>IFERROR(TEXT(Table47[[#This Row],[Shipping Date (SD-14)]],"yyyy-mm"),"TBD")</f>
        <v>2025-11</v>
      </c>
      <c r="I192" s="13" t="s">
        <v>13</v>
      </c>
      <c r="J192" s="20" t="str">
        <f>IFERROR(VLOOKUP(Table47[[#This Row],[ToSite-UPSName]],Table1[[#All],[Company or Name]:[Delivery Address]],15,FALSE),"")</f>
        <v>Berlin (Schoenefeld) WWTP</v>
      </c>
      <c r="K192" s="20" t="str">
        <f>IFERROR(VLOOKUP(Table47[[#This Row],[ToSite-UPSName]],Table1[[#All],[Company or Name]:[Delivery Address]],16,FALSE),"")</f>
        <v>Berlin Airport</v>
      </c>
      <c r="L192" s="20"/>
      <c r="M192" s="20" t="str">
        <f>IFERROR(VLOOKUP(Table47[[#This Row],[ToSite-UPSName]],Table1[[#All],[Company or Name]:[Delivery Address]],18,FALSE),"")</f>
        <v>-</v>
      </c>
      <c r="N192" s="20" t="str">
        <f>IFERROR(VLOOKUP(Table47[[#This Row],[ToSite-UPSName]],Table1[[#All],[Company or Name]:[Delivery Address]],19,FALSE),"")</f>
        <v>-</v>
      </c>
      <c r="O192" s="13"/>
      <c r="P192" s="20"/>
      <c r="Q192" s="20"/>
      <c r="R192" s="20"/>
      <c r="S192" s="101"/>
      <c r="T192" s="101"/>
      <c r="U192" s="13" t="s">
        <v>126</v>
      </c>
      <c r="X192" s="13"/>
      <c r="Y192" s="20" t="str">
        <f>TEXT(Table47[[#This Row],[Confirmed Sampling Date]], "yyyy") &amp; "_" &amp; TEXT(Table47[[#This Row],[Confirmed Sampling Date]], "mm") &amp; "_" &amp; TEXT(Table47[[#This Row],[Confirmed Sampling Date]], "dd")</f>
        <v>2025_11_16</v>
      </c>
      <c r="Z192" s="20" t="str">
        <f>IFERROR(LEFT(J192, FIND(" ", J192) - 1), J192)</f>
        <v>Berlin</v>
      </c>
      <c r="AA192" s="20" t="str">
        <f>VLOOKUP(Table47[[#This Row],[ToSite-UPSName]],Table1[[Company or Name]:[NOTES]],2,FALSE)</f>
        <v>Germany</v>
      </c>
      <c r="AB192" s="20" t="str">
        <f>IFERROR(VLOOKUP(Table47[[#This Row],[ToSite-UPSName]], Table1[[#All],[Company or Name]:[Delivery Address]],20,FALSE),"")</f>
        <v>Strasse am Klarwerk 4, Klarwerk Wassmannsdorf, Schoenefeld, 12529, Germany</v>
      </c>
      <c r="AC192" s="20" t="str">
        <f>TEXT(Table47[[#This Row],[Shipping Date (SD-14)]]+3,"YYYY-MM-DD")</f>
        <v>2025-11-06</v>
      </c>
      <c r="AD192" s="20" t="str">
        <f>_xlfn.XLOOKUP(Table47[[#This Row],[Type]],kits!C:C,kits!D:D,"",0)</f>
        <v>boxcontentlabel_template_outbound2.docx</v>
      </c>
    </row>
    <row r="193" spans="2:30" ht="14.1" customHeight="1" x14ac:dyDescent="0.25">
      <c r="B193" s="13">
        <v>53</v>
      </c>
      <c r="C193" s="14" t="s">
        <v>1271</v>
      </c>
      <c r="D193" s="13">
        <v>2</v>
      </c>
      <c r="E193" s="34">
        <v>45978</v>
      </c>
      <c r="F193" s="34">
        <f>_xlfn.LET(
    _xlpm.baseDate, Table47[[#This Row],[Confirmed Sampling Date]] - 14,
    _xlpm.weekdayNum, WEEKDAY(_xlpm.baseDate, 2),
    IF(_xlpm.weekdayNum = 6, _xlpm.baseDate + 2, IF(_xlpm.weekdayNum = 7, _xlpm.baseDate + 1, _xlpm.baseDate))
)</f>
        <v>45964</v>
      </c>
      <c r="G193" s="13">
        <f>IFERROR(WEEKNUM(Table47[[#This Row],[Shipping Date (SD-14)]]),"TBD")</f>
        <v>45</v>
      </c>
      <c r="H193" s="13" t="str">
        <f>IFERROR(TEXT(Table47[[#This Row],[Shipping Date (SD-14)]],"yyyy-mm"),"TBD")</f>
        <v>2025-11</v>
      </c>
      <c r="I193" s="13" t="s">
        <v>364</v>
      </c>
      <c r="J193" s="13" t="str">
        <f>IFERROR(VLOOKUP(Table47[[#This Row],[ToSite-UPSName]],Table1[[#All],[Company or Name]:[Delivery Address]],15,FALSE),"")</f>
        <v>Brussels WWTP</v>
      </c>
      <c r="K193" s="13" t="str">
        <f>IFERROR(VLOOKUP(Table47[[#This Row],[ToSite-UPSName]],Table1[[#All],[Company or Name]:[Delivery Address]],16,FALSE),"")</f>
        <v>Brussels Airport</v>
      </c>
      <c r="L193" s="13" t="str">
        <f>IFERROR(VLOOKUP(Table47[[#This Row],[ToSite-UPSName]],Table1[[#All],[Company or Name]:[Delivery Address]],17,FALSE),"")</f>
        <v>-</v>
      </c>
      <c r="M193" s="13" t="str">
        <f>IFERROR(VLOOKUP(Table47[[#This Row],[ToSite-UPSName]],Table1[[#All],[Company or Name]:[Delivery Address]],18,FALSE),"")</f>
        <v>-</v>
      </c>
      <c r="N193" s="13" t="str">
        <f>IFERROR(VLOOKUP(Table47[[#This Row],[ToSite-UPSName]],Table1[[#All],[Company or Name]:[Delivery Address]],19,FALSE),"")</f>
        <v>-</v>
      </c>
      <c r="O193" s="13"/>
      <c r="P193" s="13"/>
      <c r="Q193" s="13"/>
      <c r="R193" s="13"/>
      <c r="S193" s="13"/>
      <c r="U193" s="13" t="s">
        <v>126</v>
      </c>
      <c r="X193" s="13"/>
      <c r="Y193" s="20" t="str">
        <f>TEXT(Table47[[#This Row],[Confirmed Sampling Date]], "yyyy") &amp; "_" &amp; TEXT(Table47[[#This Row],[Confirmed Sampling Date]], "mm") &amp; "_" &amp; TEXT(Table47[[#This Row],[Confirmed Sampling Date]], "dd")</f>
        <v>2025_11_17</v>
      </c>
      <c r="Z193" s="20" t="str">
        <f>IFERROR(LEFT(J193, FIND(" ", J193) - 1), J193)</f>
        <v>Brussels</v>
      </c>
      <c r="AA193" s="20" t="str">
        <f>VLOOKUP(Table47[[#This Row],[ToSite-UPSName]],Table1[[Company or Name]:[NOTES]],2,FALSE)</f>
        <v>Belgium</v>
      </c>
      <c r="AB193" s="20" t="str">
        <f>IFERROR(VLOOKUP(Table47[[#This Row],[ToSite-UPSName]], Table1[[#All],[Company or Name]:[Delivery Address]],20,FALSE),"")</f>
        <v>Rue Juliette Wytsmanstraat 14, Brussels, 1050, Belgium</v>
      </c>
      <c r="AC193" s="20" t="str">
        <f>TEXT(Table47[[#This Row],[Shipping Date (SD-14)]]+3,"YYYY-MM-DD")</f>
        <v>2025-11-06</v>
      </c>
      <c r="AD193" s="20" t="str">
        <f>_xlfn.XLOOKUP(Table47[[#This Row],[Type]],kits!C:C,kits!D:D,"",0)</f>
        <v>boxcontentlabel_template_outbound1.docx</v>
      </c>
    </row>
    <row r="194" spans="2:30" ht="14.1" customHeight="1" x14ac:dyDescent="0.25">
      <c r="B194" s="13">
        <v>164</v>
      </c>
      <c r="C194" s="14" t="s">
        <v>1271</v>
      </c>
      <c r="D194" s="13">
        <v>1</v>
      </c>
      <c r="E194" s="34">
        <v>45978</v>
      </c>
      <c r="F194" s="34">
        <f>_xlfn.LET(
    _xlpm.baseDate, Table47[[#This Row],[Confirmed Sampling Date]] - 14,
    _xlpm.weekdayNum, WEEKDAY(_xlpm.baseDate, 2),
    IF(_xlpm.weekdayNum = 6, _xlpm.baseDate + 2, IF(_xlpm.weekdayNum = 7, _xlpm.baseDate + 1, _xlpm.baseDate))
)</f>
        <v>45964</v>
      </c>
      <c r="G194" s="20">
        <f>IFERROR(WEEKNUM(Table47[[#This Row],[Shipping Date (SD-14)]]),"TBD")</f>
        <v>45</v>
      </c>
      <c r="H194" s="20" t="str">
        <f>IFERROR(TEXT(Table47[[#This Row],[Shipping Date (SD-14)]],"yyyy-mm"),"TBD")</f>
        <v>2025-11</v>
      </c>
      <c r="I194" s="78" t="s">
        <v>1114</v>
      </c>
      <c r="J194" s="20" t="str">
        <f>IFERROR(VLOOKUP(Table47[[#This Row],[ToSite-UPSName]],Table1[[#All],[Company or Name]:[Delivery Address]],15,FALSE),"")</f>
        <v>Uppsala WWTP</v>
      </c>
      <c r="K194" s="20" t="str">
        <f>IFERROR(VLOOKUP(Table47[[#This Row],[ToSite-UPSName]],Table1[[#All],[Company or Name]:[Delivery Address]],16,FALSE),"")</f>
        <v>-</v>
      </c>
      <c r="L194" s="20"/>
      <c r="M194" s="20" t="str">
        <f>IFERROR(VLOOKUP(Table47[[#This Row],[ToSite-UPSName]],Table1[[#All],[Company or Name]:[Delivery Address]],18,FALSE),"")</f>
        <v>-</v>
      </c>
      <c r="N194" s="20" t="str">
        <f>IFERROR(VLOOKUP(Table47[[#This Row],[ToSite-UPSName]],Table1[[#All],[Company or Name]:[Delivery Address]],19,FALSE),"")</f>
        <v>-</v>
      </c>
      <c r="O194" s="13"/>
      <c r="P194" s="20"/>
      <c r="Q194" s="20"/>
      <c r="R194" s="20"/>
      <c r="S194" s="65"/>
      <c r="T194" s="65"/>
      <c r="U194" s="13" t="s">
        <v>126</v>
      </c>
      <c r="X194" s="13"/>
      <c r="Y194" s="20" t="str">
        <f>TEXT(Table47[[#This Row],[Confirmed Sampling Date]], "yyyy") &amp; "_" &amp; TEXT(Table47[[#This Row],[Confirmed Sampling Date]], "mm") &amp; "_" &amp; TEXT(Table47[[#This Row],[Confirmed Sampling Date]], "dd")</f>
        <v>2025_11_17</v>
      </c>
      <c r="Z194" s="20" t="str">
        <f>IFERROR(LEFT(J194, FIND(" ", J194) - 1), J194)</f>
        <v>Uppsala</v>
      </c>
      <c r="AA194" s="20" t="str">
        <f>VLOOKUP(Table47[[#This Row],[ToSite-UPSName]],Table1[[Company or Name]:[NOTES]],2,FALSE)</f>
        <v>Sweden</v>
      </c>
      <c r="AB194" s="20" t="str">
        <f>IFERROR(VLOOKUP(Table47[[#This Row],[ToSite-UPSName]], Table1[[#All],[Company or Name]:[Delivery Address]],20,FALSE),"")</f>
        <v>Gerda Nilssons väg 5, Uppsala, 756 51, Sweden</v>
      </c>
      <c r="AC194" s="20" t="str">
        <f>TEXT(Table47[[#This Row],[Shipping Date (SD-14)]]+3,"YYYY-MM-DD")</f>
        <v>2025-11-06</v>
      </c>
      <c r="AD194" s="20" t="str">
        <f>_xlfn.XLOOKUP(Table47[[#This Row],[Type]],kits!C:C,kits!D:D,"",0)</f>
        <v>boxcontentlabel_template_outbound1.docx</v>
      </c>
    </row>
    <row r="195" spans="2:30" ht="13.5" customHeight="1" x14ac:dyDescent="0.25">
      <c r="B195" s="13">
        <v>191</v>
      </c>
      <c r="C195" s="14" t="s">
        <v>1271</v>
      </c>
      <c r="D195" s="13">
        <v>2</v>
      </c>
      <c r="E195" s="34">
        <v>45978</v>
      </c>
      <c r="F195" s="34">
        <f>_xlfn.LET(
    _xlpm.baseDate, Table47[[#This Row],[Confirmed Sampling Date]] - 14,
    _xlpm.weekdayNum, WEEKDAY(_xlpm.baseDate, 2),
    IF(_xlpm.weekdayNum = 6, _xlpm.baseDate + 2, IF(_xlpm.weekdayNum = 7, _xlpm.baseDate + 1, _xlpm.baseDate))
)</f>
        <v>45964</v>
      </c>
      <c r="G195" s="20">
        <f>IFERROR(WEEKNUM(Table47[[#This Row],[Shipping Date (SD-14)]]),"TBD")</f>
        <v>45</v>
      </c>
      <c r="H195" s="20" t="str">
        <f>IFERROR(TEXT(Table47[[#This Row],[Shipping Date (SD-14)]],"yyyy-mm"),"TBD")</f>
        <v>2025-11</v>
      </c>
      <c r="I195" s="78" t="s">
        <v>1187</v>
      </c>
      <c r="J195" s="20" t="str">
        <f>IFERROR(VLOOKUP(Table47[[#This Row],[ToSite-UPSName]],Table1[[#All],[Company or Name]:[Delivery Address]],15,FALSE),"")</f>
        <v>Aachen WWTP</v>
      </c>
      <c r="K195" s="20" t="str">
        <f>IFERROR(VLOOKUP(Table47[[#This Row],[ToSite-UPSName]],Table1[[#All],[Company or Name]:[Delivery Address]],16,FALSE),"")</f>
        <v>Aachen Hospital</v>
      </c>
      <c r="L195" s="20"/>
      <c r="M195" s="20">
        <f>IFERROR(VLOOKUP(Table47[[#This Row],[ToSite-UPSName]],Table1[[#All],[Company or Name]:[Delivery Address]],18,FALSE),"")</f>
        <v>0</v>
      </c>
      <c r="N195" s="20">
        <f>IFERROR(VLOOKUP(Table47[[#This Row],[ToSite-UPSName]],Table1[[#All],[Company or Name]:[Delivery Address]],19,FALSE),"")</f>
        <v>0</v>
      </c>
      <c r="O195" s="13"/>
      <c r="P195" s="20"/>
      <c r="Q195" s="20"/>
      <c r="R195" s="20"/>
      <c r="S195" s="65"/>
      <c r="T195" s="65"/>
      <c r="U195" s="13" t="s">
        <v>126</v>
      </c>
      <c r="X195" s="13"/>
      <c r="Y195" s="20" t="str">
        <f>TEXT(Table47[[#This Row],[Confirmed Sampling Date]], "yyyy") &amp; "_" &amp; TEXT(Table47[[#This Row],[Confirmed Sampling Date]], "mm") &amp; "_" &amp; TEXT(Table47[[#This Row],[Confirmed Sampling Date]], "dd")</f>
        <v>2025_11_17</v>
      </c>
      <c r="Z195" s="20" t="str">
        <f>IFERROR(LEFT(J195, FIND(" ", J195) - 1), J195)</f>
        <v>Aachen</v>
      </c>
      <c r="AA195" s="20" t="str">
        <f>VLOOKUP(Table47[[#This Row],[ToSite-UPSName]],Table1[[Company or Name]:[NOTES]],2,FALSE)</f>
        <v>Germany</v>
      </c>
      <c r="AB195" s="20" t="str">
        <f>IFERROR(VLOOKUP(Table47[[#This Row],[ToSite-UPSName]], Table1[[#All],[Company or Name]:[Delivery Address]],20,FALSE),"")</f>
        <v>Krefelder Str. 299, Aachen, 52070, Germany</v>
      </c>
      <c r="AC195" s="20" t="str">
        <f>TEXT(Table47[[#This Row],[Shipping Date (SD-14)]]+3,"YYYY-MM-DD")</f>
        <v>2025-11-06</v>
      </c>
      <c r="AD195" s="20" t="str">
        <f>_xlfn.XLOOKUP(Table47[[#This Row],[Type]],kits!C:C,kits!D:D,"",0)</f>
        <v>boxcontentlabel_template_outbound1.docx</v>
      </c>
    </row>
    <row r="196" spans="2:30" ht="14.1" customHeight="1" x14ac:dyDescent="0.25">
      <c r="B196" s="13">
        <v>215</v>
      </c>
      <c r="C196" s="14" t="s">
        <v>1271</v>
      </c>
      <c r="D196" s="13">
        <v>1</v>
      </c>
      <c r="E196" s="34">
        <v>45978</v>
      </c>
      <c r="F196" s="34">
        <f>_xlfn.LET(
    _xlpm.baseDate, Table47[[#This Row],[Confirmed Sampling Date]] - 14,
    _xlpm.weekdayNum, WEEKDAY(_xlpm.baseDate, 2),
    IF(_xlpm.weekdayNum = 6, _xlpm.baseDate + 2, IF(_xlpm.weekdayNum = 7, _xlpm.baseDate + 1, _xlpm.baseDate))
)</f>
        <v>45964</v>
      </c>
      <c r="G196" s="20">
        <f>IFERROR(WEEKNUM(Table47[[#This Row],[Shipping Date (SD-14)]]),"TBD")</f>
        <v>45</v>
      </c>
      <c r="H196" s="20" t="str">
        <f>IFERROR(TEXT(Table47[[#This Row],[Shipping Date (SD-14)]],"yyyy-mm"),"TBD")</f>
        <v>2025-11</v>
      </c>
      <c r="I196" s="48" t="s">
        <v>1292</v>
      </c>
      <c r="J196" s="20" t="str">
        <f>IFERROR(VLOOKUP(Table47[[#This Row],[ToSite-UPSName]],Table1[[#All],[Company or Name]:[Delivery Address]],15,FALSE),"")</f>
        <v>Bologna WWTP</v>
      </c>
      <c r="K196" s="20">
        <f>IFERROR(VLOOKUP(Table47[[#This Row],[ToSite-UPSName]],Table1[[#All],[Company or Name]:[Delivery Address]],16,FALSE),"")</f>
        <v>0</v>
      </c>
      <c r="L196" s="20"/>
      <c r="M196" s="20">
        <f>IFERROR(VLOOKUP(Table47[[#This Row],[ToSite-UPSName]],Table1[[#All],[Company or Name]:[Delivery Address]],18,FALSE),"")</f>
        <v>0</v>
      </c>
      <c r="N196" s="20">
        <f>IFERROR(VLOOKUP(Table47[[#This Row],[ToSite-UPSName]],Table1[[#All],[Company or Name]:[Delivery Address]],19,FALSE),"")</f>
        <v>0</v>
      </c>
      <c r="O196" s="13"/>
      <c r="P196" s="20"/>
      <c r="Q196" s="20"/>
      <c r="R196" s="20"/>
      <c r="S196" s="20"/>
      <c r="T196" s="20"/>
      <c r="U196" s="13" t="s">
        <v>126</v>
      </c>
      <c r="X196" s="13"/>
      <c r="Y196" s="20" t="str">
        <f>TEXT(Table47[[#This Row],[Confirmed Sampling Date]], "yyyy") &amp; "_" &amp; TEXT(Table47[[#This Row],[Confirmed Sampling Date]], "mm") &amp; "_" &amp; TEXT(Table47[[#This Row],[Confirmed Sampling Date]], "dd")</f>
        <v>2025_11_17</v>
      </c>
      <c r="Z196" s="20" t="str">
        <f>IFERROR(LEFT(J196, FIND(" ", J196) - 1), J196)</f>
        <v>Bologna</v>
      </c>
      <c r="AA196" s="20" t="str">
        <f>VLOOKUP(Table47[[#This Row],[ToSite-UPSName]],Table1[[Company or Name]:[NOTES]],2,FALSE)</f>
        <v>Italy</v>
      </c>
      <c r="AB196" s="20" t="str">
        <f>IFERROR(VLOOKUP(Table47[[#This Row],[ToSite-UPSName]], Table1[[#All],[Company or Name]:[Delivery Address]],20,FALSE),"")</f>
        <v>VIA SHAKESPEARE 29, Bologna, 40128, Italy</v>
      </c>
      <c r="AC196" s="20" t="str">
        <f>TEXT(Table47[[#This Row],[Shipping Date (SD-14)]]+3,"YYYY-MM-DD")</f>
        <v>2025-11-06</v>
      </c>
      <c r="AD196" s="20" t="str">
        <f>_xlfn.XLOOKUP(Table47[[#This Row],[Type]],kits!C:C,kits!D:D,"",0)</f>
        <v>boxcontentlabel_template_outbound1.docx</v>
      </c>
    </row>
    <row r="197" spans="2:30" ht="13.5" customHeight="1" x14ac:dyDescent="0.25">
      <c r="B197" s="13">
        <v>238</v>
      </c>
      <c r="C197" s="14" t="s">
        <v>1271</v>
      </c>
      <c r="D197" s="13">
        <v>1</v>
      </c>
      <c r="E197" s="34">
        <v>45978</v>
      </c>
      <c r="F197" s="34">
        <f>_xlfn.LET(
    _xlpm.baseDate, Table47[[#This Row],[Confirmed Sampling Date]] - 14,
    _xlpm.weekdayNum, WEEKDAY(_xlpm.baseDate, 2),
    IF(_xlpm.weekdayNum = 6, _xlpm.baseDate + 2, IF(_xlpm.weekdayNum = 7, _xlpm.baseDate + 1, _xlpm.baseDate))
)</f>
        <v>45964</v>
      </c>
      <c r="G197" s="20">
        <f>IFERROR(WEEKNUM(Table47[[#This Row],[Shipping Date (SD-14)]]),"TBD")</f>
        <v>45</v>
      </c>
      <c r="H197" s="20" t="str">
        <f>IFERROR(TEXT(Table47[[#This Row],[Shipping Date (SD-14)]],"yyyy-mm"),"TBD")</f>
        <v>2025-11</v>
      </c>
      <c r="I197" s="13" t="s">
        <v>1802</v>
      </c>
      <c r="J197" s="20" t="str">
        <f>IFERROR(VLOOKUP(Table47[[#This Row],[ToSite-UPSName]],Table1[[#All],[Company or Name]:[Delivery Address]],15,FALSE),"")</f>
        <v>Wien WWTP</v>
      </c>
      <c r="K197" s="20" t="str">
        <f>IFERROR(VLOOKUP(Table47[[#This Row],[ToSite-UPSName]],Table1[[#All],[Company or Name]:[Delivery Address]],16,FALSE),"")</f>
        <v>-</v>
      </c>
      <c r="L197" s="20"/>
      <c r="M197" s="20" t="str">
        <f>IFERROR(VLOOKUP(Table47[[#This Row],[ToSite-UPSName]],Table1[[#All],[Company or Name]:[Delivery Address]],18,FALSE),"")</f>
        <v>-</v>
      </c>
      <c r="N197" s="20" t="str">
        <f>IFERROR(VLOOKUP(Table47[[#This Row],[ToSite-UPSName]],Table1[[#All],[Company or Name]:[Delivery Address]],19,FALSE),"")</f>
        <v>-</v>
      </c>
      <c r="O197" s="13"/>
      <c r="P197" s="20"/>
      <c r="Q197" s="20"/>
      <c r="R197" s="20"/>
      <c r="S197" s="20"/>
      <c r="T197" s="20"/>
      <c r="U197" s="13" t="s">
        <v>126</v>
      </c>
      <c r="X197" s="13"/>
      <c r="Y197" s="20" t="str">
        <f>TEXT(Table47[[#This Row],[Confirmed Sampling Date]], "yyyy") &amp; "_" &amp; TEXT(Table47[[#This Row],[Confirmed Sampling Date]], "mm") &amp; "_" &amp; TEXT(Table47[[#This Row],[Confirmed Sampling Date]], "dd")</f>
        <v>2025_11_17</v>
      </c>
      <c r="Z197" s="20" t="str">
        <f>IFERROR(LEFT(J197, FIND(" ", J197) - 1), J197)</f>
        <v>Wien</v>
      </c>
      <c r="AA197" s="20" t="str">
        <f>VLOOKUP(Table47[[#This Row],[ToSite-UPSName]],Table1[[Company or Name]:[NOTES]],2,FALSE)</f>
        <v>Austria</v>
      </c>
      <c r="AB197" s="20" t="str">
        <f>IFERROR(VLOOKUP(Table47[[#This Row],[ToSite-UPSName]], Table1[[#All],[Company or Name]:[Delivery Address]],20,FALSE),"")</f>
        <v>Währinger Gürtel 18-20, Wien, 1090, Austria</v>
      </c>
      <c r="AC197" s="20" t="str">
        <f>TEXT(Table47[[#This Row],[Shipping Date (SD-14)]]+3,"YYYY-MM-DD")</f>
        <v>2025-11-06</v>
      </c>
      <c r="AD197" s="20" t="str">
        <f>_xlfn.XLOOKUP(Table47[[#This Row],[Type]],kits!C:C,kits!D:D,"",0)</f>
        <v>boxcontentlabel_template_outbound1.docx</v>
      </c>
    </row>
    <row r="198" spans="2:30" ht="14.1" customHeight="1" x14ac:dyDescent="0.25">
      <c r="B198" s="13">
        <v>26</v>
      </c>
      <c r="C198" s="14" t="s">
        <v>1271</v>
      </c>
      <c r="D198" s="13">
        <v>2</v>
      </c>
      <c r="E198" s="34">
        <v>45979</v>
      </c>
      <c r="F198" s="34">
        <f>_xlfn.LET(
    _xlpm.baseDate, Table47[[#This Row],[Confirmed Sampling Date]] - 14,
    _xlpm.weekdayNum, WEEKDAY(_xlpm.baseDate, 2),
    IF(_xlpm.weekdayNum = 6, _xlpm.baseDate + 2, IF(_xlpm.weekdayNum = 7, _xlpm.baseDate + 1, _xlpm.baseDate))
)</f>
        <v>45965</v>
      </c>
      <c r="G198" s="13">
        <f>IFERROR(WEEKNUM(Table47[[#This Row],[Shipping Date (SD-14)]]),"TBD")</f>
        <v>45</v>
      </c>
      <c r="H198" s="13" t="str">
        <f>IFERROR(TEXT(Table47[[#This Row],[Shipping Date (SD-14)]],"yyyy-mm"),"TBD")</f>
        <v>2025-11</v>
      </c>
      <c r="I198" s="13" t="s">
        <v>19</v>
      </c>
      <c r="J198" s="13" t="str">
        <f>IFERROR(VLOOKUP(Table47[[#This Row],[ToSite-UPSName]],Table1[[#All],[Company or Name]:[Delivery Address]],15,FALSE),"")</f>
        <v>Munich WWTP</v>
      </c>
      <c r="K198" s="13" t="str">
        <f>IFERROR(VLOOKUP(Table47[[#This Row],[ToSite-UPSName]],Table1[[#All],[Company or Name]:[Delivery Address]],16,FALSE),"")</f>
        <v>Munich Airport</v>
      </c>
      <c r="L198" s="13" t="str">
        <f>IFERROR(VLOOKUP(Table47[[#This Row],[ToSite-UPSName]],Table1[[#All],[Company or Name]:[Delivery Address]],17,FALSE),"")</f>
        <v>-</v>
      </c>
      <c r="M198" s="13" t="str">
        <f>IFERROR(VLOOKUP(Table47[[#This Row],[ToSite-UPSName]],Table1[[#All],[Company or Name]:[Delivery Address]],18,FALSE),"")</f>
        <v>-</v>
      </c>
      <c r="N198" s="13" t="str">
        <f>IFERROR(VLOOKUP(Table47[[#This Row],[ToSite-UPSName]],Table1[[#All],[Company or Name]:[Delivery Address]],19,FALSE),"")</f>
        <v>-</v>
      </c>
      <c r="O198" s="13"/>
      <c r="P198" s="13"/>
      <c r="Q198" s="13"/>
      <c r="R198" s="13"/>
      <c r="S198" s="64"/>
      <c r="T198" s="64"/>
      <c r="U198" s="13" t="s">
        <v>126</v>
      </c>
      <c r="X198" s="13"/>
      <c r="Y198" s="20" t="str">
        <f>TEXT(Table47[[#This Row],[Confirmed Sampling Date]], "yyyy") &amp; "_" &amp; TEXT(Table47[[#This Row],[Confirmed Sampling Date]], "mm") &amp; "_" &amp; TEXT(Table47[[#This Row],[Confirmed Sampling Date]], "dd")</f>
        <v>2025_11_18</v>
      </c>
      <c r="Z198" s="20" t="str">
        <f>IFERROR(LEFT(J198, FIND(" ", J198) - 1), J198)</f>
        <v>Munich</v>
      </c>
      <c r="AA198" s="20" t="str">
        <f>VLOOKUP(Table47[[#This Row],[ToSite-UPSName]],Table1[[Company or Name]:[NOTES]],2,FALSE)</f>
        <v>Germany</v>
      </c>
      <c r="AB198" s="20" t="str">
        <f>IFERROR(VLOOKUP(Table47[[#This Row],[ToSite-UPSName]], Table1[[#All],[Company or Name]:[Delivery Address]],20,FALSE),"")</f>
        <v>Leopoldstrasse 5, Institut fuer Infektions- und Tropenmedizin, Munich, 80802, Germany</v>
      </c>
      <c r="AC198" s="20" t="str">
        <f>TEXT(Table47[[#This Row],[Shipping Date (SD-14)]]+3,"YYYY-MM-DD")</f>
        <v>2025-11-07</v>
      </c>
      <c r="AD198" s="20" t="str">
        <f>_xlfn.XLOOKUP(Table47[[#This Row],[Type]],kits!C:C,kits!D:D,"",0)</f>
        <v>boxcontentlabel_template_outbound1.docx</v>
      </c>
    </row>
    <row r="199" spans="2:30" ht="14.1" customHeight="1" x14ac:dyDescent="0.25">
      <c r="B199" s="13">
        <v>40</v>
      </c>
      <c r="C199" s="14" t="s">
        <v>1271</v>
      </c>
      <c r="D199" s="13">
        <v>1</v>
      </c>
      <c r="E199" s="34">
        <v>45979</v>
      </c>
      <c r="F199" s="34">
        <f>_xlfn.LET(
    _xlpm.baseDate, Table47[[#This Row],[Confirmed Sampling Date]] - 14,
    _xlpm.weekdayNum, WEEKDAY(_xlpm.baseDate, 2),
    IF(_xlpm.weekdayNum = 6, _xlpm.baseDate + 2, IF(_xlpm.weekdayNum = 7, _xlpm.baseDate + 1, _xlpm.baseDate))
)</f>
        <v>45965</v>
      </c>
      <c r="G199" s="13">
        <f>IFERROR(WEEKNUM(Table47[[#This Row],[Shipping Date (SD-14)]]),"TBD")</f>
        <v>45</v>
      </c>
      <c r="H199" s="13" t="str">
        <f>IFERROR(TEXT(Table47[[#This Row],[Shipping Date (SD-14)]],"yyyy-mm"),"TBD")</f>
        <v>2025-11</v>
      </c>
      <c r="I199" s="13" t="s">
        <v>677</v>
      </c>
      <c r="J199" s="13" t="str">
        <f>IFERROR(VLOOKUP(Table47[[#This Row],[ToSite-UPSName]],Table1[[#All],[Company or Name]:[Delivery Address]],15,FALSE),"")</f>
        <v>Frankfurt WWTP</v>
      </c>
      <c r="K199" s="13" t="str">
        <f>IFERROR(VLOOKUP(Table47[[#This Row],[ToSite-UPSName]],Table1[[#All],[Company or Name]:[Delivery Address]],16,FALSE),"")</f>
        <v>Frankfurt Airport</v>
      </c>
      <c r="L199" s="13" t="str">
        <f>IFERROR(VLOOKUP(Table47[[#This Row],[ToSite-UPSName]],Table1[[#All],[Company or Name]:[Delivery Address]],17,FALSE),"")</f>
        <v>-</v>
      </c>
      <c r="M199" s="13" t="str">
        <f>IFERROR(VLOOKUP(Table47[[#This Row],[ToSite-UPSName]],Table1[[#All],[Company or Name]:[Delivery Address]],18,FALSE),"")</f>
        <v>-</v>
      </c>
      <c r="N199" s="13" t="str">
        <f>IFERROR(VLOOKUP(Table47[[#This Row],[ToSite-UPSName]],Table1[[#All],[Company or Name]:[Delivery Address]],19,FALSE),"")</f>
        <v>-</v>
      </c>
      <c r="O199" s="13"/>
      <c r="P199" s="13"/>
      <c r="Q199" s="13"/>
      <c r="R199" s="13"/>
      <c r="S199" s="13"/>
      <c r="U199" s="13" t="s">
        <v>126</v>
      </c>
      <c r="X199" s="13"/>
      <c r="Y199" s="20" t="str">
        <f>TEXT(Table47[[#This Row],[Confirmed Sampling Date]], "yyyy") &amp; "_" &amp; TEXT(Table47[[#This Row],[Confirmed Sampling Date]], "mm") &amp; "_" &amp; TEXT(Table47[[#This Row],[Confirmed Sampling Date]], "dd")</f>
        <v>2025_11_18</v>
      </c>
      <c r="Z199" s="20" t="str">
        <f>IFERROR(LEFT(J199, FIND(" ", J199) - 1), J199)</f>
        <v>Frankfurt</v>
      </c>
      <c r="AA199" s="20" t="str">
        <f>VLOOKUP(Table47[[#This Row],[ToSite-UPSName]],Table1[[Company or Name]:[NOTES]],2,FALSE)</f>
        <v>Germany</v>
      </c>
      <c r="AB199" s="20" t="str">
        <f>IFERROR(VLOOKUP(Table47[[#This Row],[ToSite-UPSName]], Table1[[#All],[Company or Name]:[Delivery Address]],20,FALSE),"")</f>
        <v>Goldsteinstraße 160, Gebäude 71 , Frankfurt am Main , 60528, Germany</v>
      </c>
      <c r="AC199" s="20" t="str">
        <f>TEXT(Table47[[#This Row],[Shipping Date (SD-14)]]+3,"YYYY-MM-DD")</f>
        <v>2025-11-07</v>
      </c>
      <c r="AD199" s="20" t="str">
        <f>_xlfn.XLOOKUP(Table47[[#This Row],[Type]],kits!C:C,kits!D:D,"",0)</f>
        <v>boxcontentlabel_template_outbound1.docx</v>
      </c>
    </row>
    <row r="200" spans="2:30" ht="14.1" customHeight="1" x14ac:dyDescent="0.25">
      <c r="B200" s="13">
        <v>108</v>
      </c>
      <c r="C200" s="14" t="s">
        <v>1271</v>
      </c>
      <c r="D200" s="13">
        <v>4</v>
      </c>
      <c r="E200" s="34">
        <v>45979</v>
      </c>
      <c r="F200" s="34">
        <f>_xlfn.LET(
    _xlpm.baseDate, Table47[[#This Row],[Confirmed Sampling Date]] - 14,
    _xlpm.weekdayNum, WEEKDAY(_xlpm.baseDate, 2),
    IF(_xlpm.weekdayNum = 6, _xlpm.baseDate + 2, IF(_xlpm.weekdayNum = 7, _xlpm.baseDate + 1, _xlpm.baseDate))
)</f>
        <v>45965</v>
      </c>
      <c r="G200" s="20">
        <f>IFERROR(WEEKNUM(Table47[[#This Row],[Shipping Date (SD-14)]]),"TBD")</f>
        <v>45</v>
      </c>
      <c r="H200" s="20" t="str">
        <f>IFERROR(TEXT(Table47[[#This Row],[Shipping Date (SD-14)]],"yyyy-mm"),"TBD")</f>
        <v>2025-11</v>
      </c>
      <c r="I200" s="13" t="s">
        <v>877</v>
      </c>
      <c r="J200" s="20" t="str">
        <f>IFERROR(VLOOKUP(Table47[[#This Row],[ToSite-UPSName]],Table1[[#All],[Company or Name]:[Delivery Address]],15,FALSE),"")</f>
        <v>Prague National Institute</v>
      </c>
      <c r="K200" s="20" t="str">
        <f>IFERROR(VLOOKUP(Table47[[#This Row],[ToSite-UPSName]],Table1[[#All],[Company or Name]:[Delivery Address]],16,FALSE),"")</f>
        <v>Prague WWTP FLOW 1</v>
      </c>
      <c r="L200" s="13" t="str">
        <f>IFERROR(VLOOKUP(Table47[[#This Row],[ToSite-UPSName]],Table1[[#All],[Company or Name]:[Delivery Address]],17,FALSE),"")</f>
        <v>Prague WWTP FLOW 2</v>
      </c>
      <c r="M200" s="20" t="str">
        <f>IFERROR(VLOOKUP(Table47[[#This Row],[ToSite-UPSName]],Table1[[#All],[Company or Name]:[Delivery Address]],18,FALSE),"")</f>
        <v>Prague Airport</v>
      </c>
      <c r="N200" s="20" t="str">
        <f>IFERROR(VLOOKUP(Table47[[#This Row],[ToSite-UPSName]],Table1[[#All],[Company or Name]:[Delivery Address]],19,FALSE),"")</f>
        <v>Prague Hospital</v>
      </c>
      <c r="O200" s="13"/>
      <c r="P200" s="20"/>
      <c r="Q200" s="20"/>
      <c r="R200" s="20"/>
      <c r="S200" s="101"/>
      <c r="T200" s="101"/>
      <c r="U200" s="13" t="s">
        <v>126</v>
      </c>
      <c r="X200" s="13"/>
      <c r="Y200" s="20" t="str">
        <f>TEXT(Table47[[#This Row],[Confirmed Sampling Date]], "yyyy") &amp; "_" &amp; TEXT(Table47[[#This Row],[Confirmed Sampling Date]], "mm") &amp; "_" &amp; TEXT(Table47[[#This Row],[Confirmed Sampling Date]], "dd")</f>
        <v>2025_11_18</v>
      </c>
      <c r="Z200" s="20" t="str">
        <f>IFERROR(LEFT(J200, FIND(" ", J200) - 1), J200)</f>
        <v>Prague</v>
      </c>
      <c r="AA200" s="20" t="str">
        <f>VLOOKUP(Table47[[#This Row],[ToSite-UPSName]],Table1[[Company or Name]:[NOTES]],2,FALSE)</f>
        <v>Czech Republic</v>
      </c>
      <c r="AB200" s="20" t="str">
        <f>IFERROR(VLOOKUP(Table47[[#This Row],[ToSite-UPSName]], Table1[[#All],[Company or Name]:[Delivery Address]],20,FALSE),"")</f>
        <v>Šrobárova 49/48, Státní zdravotní ústav, Praha, 100 00, Czech Republic</v>
      </c>
      <c r="AC200" s="20" t="str">
        <f>TEXT(Table47[[#This Row],[Shipping Date (SD-14)]]+3,"YYYY-MM-DD")</f>
        <v>2025-11-07</v>
      </c>
      <c r="AD200" s="20" t="str">
        <f>_xlfn.XLOOKUP(Table47[[#This Row],[Type]],kits!C:C,kits!D:D,"",0)</f>
        <v>boxcontentlabel_template_outbound1.docx</v>
      </c>
    </row>
    <row r="201" spans="2:30" ht="14.1" customHeight="1" x14ac:dyDescent="0.25">
      <c r="B201" s="13">
        <v>121</v>
      </c>
      <c r="C201" s="14" t="s">
        <v>1271</v>
      </c>
      <c r="D201" s="13">
        <v>2</v>
      </c>
      <c r="E201" s="83">
        <v>45979</v>
      </c>
      <c r="F201" s="34">
        <f>_xlfn.LET(
    _xlpm.baseDate, Table47[[#This Row],[Confirmed Sampling Date]] - 14,
    _xlpm.weekdayNum, WEEKDAY(_xlpm.baseDate, 2),
    IF(_xlpm.weekdayNum = 6, _xlpm.baseDate + 2, IF(_xlpm.weekdayNum = 7, _xlpm.baseDate + 1, _xlpm.baseDate))
)</f>
        <v>45965</v>
      </c>
      <c r="G201" s="20">
        <f>IFERROR(WEEKNUM(Table47[[#This Row],[Shipping Date (SD-14)]]),"TBD")</f>
        <v>45</v>
      </c>
      <c r="H201" s="20" t="str">
        <f>IFERROR(TEXT(Table47[[#This Row],[Shipping Date (SD-14)]],"yyyy-mm"),"TBD")</f>
        <v>2025-11</v>
      </c>
      <c r="I201" s="13" t="s">
        <v>779</v>
      </c>
      <c r="J201" s="20" t="str">
        <f>IFERROR(VLOOKUP(Table47[[#This Row],[ToSite-UPSName]],Table1[[#All],[Company or Name]:[Delivery Address]],15,FALSE),"")</f>
        <v>Larnaca WWTP</v>
      </c>
      <c r="K201" s="20" t="str">
        <f>IFERROR(VLOOKUP(Table47[[#This Row],[ToSite-UPSName]],Table1[[#All],[Company or Name]:[Delivery Address]],16,FALSE),"")</f>
        <v>Larnaca Airport</v>
      </c>
      <c r="L201" s="20"/>
      <c r="M201" s="20">
        <f>IFERROR(VLOOKUP(Table47[[#This Row],[ToSite-UPSName]],Table1[[#All],[Company or Name]:[Delivery Address]],18,FALSE),"")</f>
        <v>0</v>
      </c>
      <c r="N201" s="20">
        <f>IFERROR(VLOOKUP(Table47[[#This Row],[ToSite-UPSName]],Table1[[#All],[Company or Name]:[Delivery Address]],19,FALSE),"")</f>
        <v>0</v>
      </c>
      <c r="O201" s="13"/>
      <c r="P201" s="20"/>
      <c r="Q201" s="20"/>
      <c r="R201" s="20"/>
      <c r="S201" s="20"/>
      <c r="T201" s="20"/>
      <c r="U201" s="13" t="s">
        <v>126</v>
      </c>
      <c r="X201" s="13"/>
      <c r="Y201" s="20" t="str">
        <f>TEXT(Table47[[#This Row],[Confirmed Sampling Date]], "yyyy") &amp; "_" &amp; TEXT(Table47[[#This Row],[Confirmed Sampling Date]], "mm") &amp; "_" &amp; TEXT(Table47[[#This Row],[Confirmed Sampling Date]], "dd")</f>
        <v>2025_11_18</v>
      </c>
      <c r="Z201" s="20" t="str">
        <f>IFERROR(LEFT(J201, FIND(" ", J201) - 1), J201)</f>
        <v>Larnaca</v>
      </c>
      <c r="AA201" s="20" t="str">
        <f>VLOOKUP(Table47[[#This Row],[ToSite-UPSName]],Table1[[Company or Name]:[NOTES]],2,FALSE)</f>
        <v>Cyprus</v>
      </c>
      <c r="AB201" s="20" t="str">
        <f>IFERROR(VLOOKUP(Table47[[#This Row],[ToSite-UPSName]], Table1[[#All],[Company or Name]:[Delivery Address]],20,FALSE),"")</f>
        <v>Adamantiou Korai street 12, Larnaca District Local Government Organization offices, Larnaca, 6010, Cyprus</v>
      </c>
      <c r="AC201" s="20" t="str">
        <f>TEXT(Table47[[#This Row],[Shipping Date (SD-14)]]+3,"YYYY-MM-DD")</f>
        <v>2025-11-07</v>
      </c>
      <c r="AD201" s="20" t="str">
        <f>_xlfn.XLOOKUP(Table47[[#This Row],[Type]],kits!C:C,kits!D:D,"",0)</f>
        <v>boxcontentlabel_template_outbound1.docx</v>
      </c>
    </row>
    <row r="202" spans="2:30" ht="14.1" customHeight="1" x14ac:dyDescent="0.25">
      <c r="B202" s="13">
        <v>133</v>
      </c>
      <c r="C202" s="14" t="s">
        <v>1271</v>
      </c>
      <c r="D202" s="13">
        <v>2</v>
      </c>
      <c r="E202" s="34">
        <v>45979</v>
      </c>
      <c r="F202" s="34">
        <f>_xlfn.LET(
    _xlpm.baseDate, Table47[[#This Row],[Confirmed Sampling Date]] - 14,
    _xlpm.weekdayNum, WEEKDAY(_xlpm.baseDate, 2),
    IF(_xlpm.weekdayNum = 6, _xlpm.baseDate + 2, IF(_xlpm.weekdayNum = 7, _xlpm.baseDate + 1, _xlpm.baseDate))
)</f>
        <v>45965</v>
      </c>
      <c r="G202" s="20">
        <f>IFERROR(WEEKNUM(Table47[[#This Row],[Shipping Date (SD-14)]]),"TBD")</f>
        <v>45</v>
      </c>
      <c r="H202" s="20" t="str">
        <f>IFERROR(TEXT(Table47[[#This Row],[Shipping Date (SD-14)]],"yyyy-mm"),"TBD")</f>
        <v>2025-11</v>
      </c>
      <c r="I202" s="13" t="s">
        <v>863</v>
      </c>
      <c r="J202" s="20" t="str">
        <f>IFERROR(VLOOKUP(Table47[[#This Row],[ToSite-UPSName]],Table1[[#All],[Company or Name]:[Delivery Address]],15,FALSE),"")</f>
        <v>Dusseldorf WWTP 2101</v>
      </c>
      <c r="K202" s="20" t="str">
        <f>IFERROR(VLOOKUP(Table47[[#This Row],[ToSite-UPSName]],Table1[[#All],[Company or Name]:[Delivery Address]],16,FALSE),"")</f>
        <v>Dusseldorf WWTP 601</v>
      </c>
      <c r="L202" s="20"/>
      <c r="M202" s="20">
        <f>IFERROR(VLOOKUP(Table47[[#This Row],[ToSite-UPSName]],Table1[[#All],[Company or Name]:[Delivery Address]],18,FALSE),"")</f>
        <v>0</v>
      </c>
      <c r="N202" s="20">
        <f>IFERROR(VLOOKUP(Table47[[#This Row],[ToSite-UPSName]],Table1[[#All],[Company or Name]:[Delivery Address]],19,FALSE),"")</f>
        <v>0</v>
      </c>
      <c r="O202" s="13"/>
      <c r="P202" s="20"/>
      <c r="Q202" s="20"/>
      <c r="R202" s="20"/>
      <c r="S202" s="65"/>
      <c r="T202" s="65"/>
      <c r="U202" s="13" t="s">
        <v>126</v>
      </c>
      <c r="X202" s="13"/>
      <c r="Y202" s="20" t="str">
        <f>TEXT(Table47[[#This Row],[Confirmed Sampling Date]], "yyyy") &amp; "_" &amp; TEXT(Table47[[#This Row],[Confirmed Sampling Date]], "mm") &amp; "_" &amp; TEXT(Table47[[#This Row],[Confirmed Sampling Date]], "dd")</f>
        <v>2025_11_18</v>
      </c>
      <c r="Z202" s="20" t="str">
        <f>IFERROR(LEFT(J202, FIND(" ", J202) - 1), J202)</f>
        <v>Dusseldorf</v>
      </c>
      <c r="AA202" s="20" t="str">
        <f>VLOOKUP(Table47[[#This Row],[ToSite-UPSName]],Table1[[Company or Name]:[NOTES]],2,FALSE)</f>
        <v>Germany</v>
      </c>
      <c r="AB202" s="20" t="str">
        <f>IFERROR(VLOOKUP(Table47[[#This Row],[ToSite-UPSName]], Table1[[#All],[Company or Name]:[Delivery Address]],20,FALSE),"")</f>
        <v>Auf dem Draap 15, Chemisch-Biologische Laboratorien, Dusseldorf, 40221, Germany</v>
      </c>
      <c r="AC202" s="20" t="str">
        <f>TEXT(Table47[[#This Row],[Shipping Date (SD-14)]]+3,"YYYY-MM-DD")</f>
        <v>2025-11-07</v>
      </c>
      <c r="AD202" s="20" t="str">
        <f>_xlfn.XLOOKUP(Table47[[#This Row],[Type]],kits!C:C,kits!D:D,"",0)</f>
        <v>boxcontentlabel_template_outbound1.docx</v>
      </c>
    </row>
    <row r="203" spans="2:30" ht="14.1" customHeight="1" x14ac:dyDescent="0.25">
      <c r="B203" s="13">
        <v>145</v>
      </c>
      <c r="C203" s="14" t="s">
        <v>1271</v>
      </c>
      <c r="D203" s="13">
        <v>3</v>
      </c>
      <c r="E203" s="34">
        <v>45979</v>
      </c>
      <c r="F203" s="34">
        <f>_xlfn.LET(
    _xlpm.baseDate, Table47[[#This Row],[Confirmed Sampling Date]] - 14,
    _xlpm.weekdayNum, WEEKDAY(_xlpm.baseDate, 2),
    IF(_xlpm.weekdayNum = 6, _xlpm.baseDate + 2, IF(_xlpm.weekdayNum = 7, _xlpm.baseDate + 1, _xlpm.baseDate))
)</f>
        <v>45965</v>
      </c>
      <c r="G203" s="20">
        <f>IFERROR(WEEKNUM(Table47[[#This Row],[Shipping Date (SD-14)]]),"TBD")</f>
        <v>45</v>
      </c>
      <c r="H203" s="20" t="str">
        <f>IFERROR(TEXT(Table47[[#This Row],[Shipping Date (SD-14)]],"yyyy-mm"),"TBD")</f>
        <v>2025-11</v>
      </c>
      <c r="I203" s="13" t="s">
        <v>975</v>
      </c>
      <c r="J203" s="20" t="str">
        <f>IFERROR(VLOOKUP(Table47[[#This Row],[ToSite-UPSName]],Table1[[#All],[Company or Name]:[Delivery Address]],15,FALSE),"")</f>
        <v>Vilnius WWTP</v>
      </c>
      <c r="K203" s="20" t="str">
        <f>IFERROR(VLOOKUP(Table47[[#This Row],[ToSite-UPSName]],Table1[[#All],[Company or Name]:[Delivery Address]],16,FALSE),"")</f>
        <v>Vilnius Bus Terminal</v>
      </c>
      <c r="L203" s="20"/>
      <c r="M203" s="20">
        <f>IFERROR(VLOOKUP(Table47[[#This Row],[ToSite-UPSName]],Table1[[#All],[Company or Name]:[Delivery Address]],18,FALSE),"")</f>
        <v>0</v>
      </c>
      <c r="N203" s="20">
        <f>IFERROR(VLOOKUP(Table47[[#This Row],[ToSite-UPSName]],Table1[[#All],[Company or Name]:[Delivery Address]],19,FALSE),"")</f>
        <v>0</v>
      </c>
      <c r="O203" s="13"/>
      <c r="P203" s="20"/>
      <c r="Q203" s="20"/>
      <c r="R203" s="20"/>
      <c r="S203" s="65"/>
      <c r="T203" s="65"/>
      <c r="U203" s="13" t="s">
        <v>126</v>
      </c>
      <c r="X203" s="13"/>
      <c r="Y203" s="20" t="str">
        <f>TEXT(Table47[[#This Row],[Confirmed Sampling Date]], "yyyy") &amp; "_" &amp; TEXT(Table47[[#This Row],[Confirmed Sampling Date]], "mm") &amp; "_" &amp; TEXT(Table47[[#This Row],[Confirmed Sampling Date]], "dd")</f>
        <v>2025_11_18</v>
      </c>
      <c r="Z203" s="20" t="str">
        <f>IFERROR(LEFT(J203, FIND(" ", J203) - 1), J203)</f>
        <v>Vilnius</v>
      </c>
      <c r="AA203" s="20" t="str">
        <f>VLOOKUP(Table47[[#This Row],[ToSite-UPSName]],Table1[[Company or Name]:[NOTES]],2,FALSE)</f>
        <v>Lithuania</v>
      </c>
      <c r="AB203" s="20" t="str">
        <f>IFERROR(VLOOKUP(Table47[[#This Row],[ToSite-UPSName]], Table1[[#All],[Company or Name]:[Delivery Address]],20,FALSE),"")</f>
        <v>Zolyno 36 gatve, Vilnius, 10210, Lithuania</v>
      </c>
      <c r="AC203" s="20" t="str">
        <f>TEXT(Table47[[#This Row],[Shipping Date (SD-14)]]+3,"YYYY-MM-DD")</f>
        <v>2025-11-07</v>
      </c>
      <c r="AD203" s="20" t="str">
        <f>_xlfn.XLOOKUP(Table47[[#This Row],[Type]],kits!C:C,kits!D:D,"",0)</f>
        <v>boxcontentlabel_template_outbound1.docx</v>
      </c>
    </row>
    <row r="204" spans="2:30" ht="14.1" customHeight="1" x14ac:dyDescent="0.25">
      <c r="B204" s="13">
        <v>173</v>
      </c>
      <c r="C204" s="14" t="s">
        <v>1271</v>
      </c>
      <c r="D204" s="13">
        <v>1</v>
      </c>
      <c r="E204" s="34">
        <v>45979</v>
      </c>
      <c r="F204" s="34">
        <f>_xlfn.LET(
    _xlpm.baseDate, Table47[[#This Row],[Confirmed Sampling Date]] - 14,
    _xlpm.weekdayNum, WEEKDAY(_xlpm.baseDate, 2),
    IF(_xlpm.weekdayNum = 6, _xlpm.baseDate + 2, IF(_xlpm.weekdayNum = 7, _xlpm.baseDate + 1, _xlpm.baseDate))
)</f>
        <v>45965</v>
      </c>
      <c r="G204" s="20">
        <f>IFERROR(WEEKNUM(Table47[[#This Row],[Shipping Date (SD-14)]]),"TBD")</f>
        <v>45</v>
      </c>
      <c r="H204" s="20" t="str">
        <f>IFERROR(TEXT(Table47[[#This Row],[Shipping Date (SD-14)]],"yyyy-mm"),"TBD")</f>
        <v>2025-11</v>
      </c>
      <c r="I204" s="78" t="s">
        <v>1125</v>
      </c>
      <c r="J204" s="20" t="str">
        <f>IFERROR(VLOOKUP(Table47[[#This Row],[ToSite-UPSName]],Table1[[#All],[Company or Name]:[Delivery Address]],15,FALSE),"")</f>
        <v>Cluj-SCBI</v>
      </c>
      <c r="K204" s="20" t="str">
        <f>IFERROR(VLOOKUP(Table47[[#This Row],[ToSite-UPSName]],Table1[[#All],[Company or Name]:[Delivery Address]],16,FALSE),"")</f>
        <v>-</v>
      </c>
      <c r="L204" s="20"/>
      <c r="M204" s="20" t="str">
        <f>IFERROR(VLOOKUP(Table47[[#This Row],[ToSite-UPSName]],Table1[[#All],[Company or Name]:[Delivery Address]],18,FALSE),"")</f>
        <v>-</v>
      </c>
      <c r="N204" s="20" t="str">
        <f>IFERROR(VLOOKUP(Table47[[#This Row],[ToSite-UPSName]],Table1[[#All],[Company or Name]:[Delivery Address]],19,FALSE),"")</f>
        <v>-</v>
      </c>
      <c r="O204" s="13"/>
      <c r="P204" s="20"/>
      <c r="Q204" s="20"/>
      <c r="R204" s="20"/>
      <c r="S204" s="65"/>
      <c r="T204" s="20"/>
      <c r="U204" s="13" t="s">
        <v>126</v>
      </c>
      <c r="X204" s="13"/>
      <c r="Y204" s="20" t="str">
        <f>TEXT(Table47[[#This Row],[Confirmed Sampling Date]], "yyyy") &amp; "_" &amp; TEXT(Table47[[#This Row],[Confirmed Sampling Date]], "mm") &amp; "_" &amp; TEXT(Table47[[#This Row],[Confirmed Sampling Date]], "dd")</f>
        <v>2025_11_18</v>
      </c>
      <c r="Z204" s="20" t="str">
        <f>IFERROR(LEFT(J204, FIND(" ", J204) - 1), J204)</f>
        <v>Cluj-SCBI</v>
      </c>
      <c r="AA204" s="20" t="str">
        <f>VLOOKUP(Table47[[#This Row],[ToSite-UPSName]],Table1[[Company or Name]:[NOTES]],2,FALSE)</f>
        <v>Romania</v>
      </c>
      <c r="AB204" s="20" t="str">
        <f>IFERROR(VLOOKUP(Table47[[#This Row],[ToSite-UPSName]], Table1[[#All],[Company or Name]:[Delivery Address]],20,FALSE),"")</f>
        <v>Strada Iuliu Moldovan 23, Cluj-Napoca, 400003, Romania</v>
      </c>
      <c r="AC204" s="20" t="str">
        <f>TEXT(Table47[[#This Row],[Shipping Date (SD-14)]]+3,"YYYY-MM-DD")</f>
        <v>2025-11-07</v>
      </c>
      <c r="AD204" s="20" t="str">
        <f>_xlfn.XLOOKUP(Table47[[#This Row],[Type]],kits!C:C,kits!D:D,"",0)</f>
        <v>boxcontentlabel_template_outbound1.docx</v>
      </c>
    </row>
    <row r="205" spans="2:30" ht="14.1" customHeight="1" x14ac:dyDescent="0.25">
      <c r="B205" s="13">
        <v>182</v>
      </c>
      <c r="C205" s="14" t="s">
        <v>1271</v>
      </c>
      <c r="D205" s="13">
        <v>1</v>
      </c>
      <c r="E205" s="34">
        <v>45979</v>
      </c>
      <c r="F205" s="34">
        <f>_xlfn.LET(
    _xlpm.baseDate, Table47[[#This Row],[Confirmed Sampling Date]] - 14,
    _xlpm.weekdayNum, WEEKDAY(_xlpm.baseDate, 2),
    IF(_xlpm.weekdayNum = 6, _xlpm.baseDate + 2, IF(_xlpm.weekdayNum = 7, _xlpm.baseDate + 1, _xlpm.baseDate))
)</f>
        <v>45965</v>
      </c>
      <c r="G205" s="20">
        <f>IFERROR(WEEKNUM(Table47[[#This Row],[Shipping Date (SD-14)]]),"TBD")</f>
        <v>45</v>
      </c>
      <c r="H205" s="20" t="str">
        <f>IFERROR(TEXT(Table47[[#This Row],[Shipping Date (SD-14)]],"yyyy-mm"),"TBD")</f>
        <v>2025-11</v>
      </c>
      <c r="I205" s="78" t="s">
        <v>1132</v>
      </c>
      <c r="J205" s="20" t="str">
        <f>IFERROR(VLOOKUP(Table47[[#This Row],[ToSite-UPSName]],Table1[[#All],[Company or Name]:[Delivery Address]],15,FALSE),"")</f>
        <v>Cluj-MNC</v>
      </c>
      <c r="K205" s="20" t="str">
        <f>IFERROR(VLOOKUP(Table47[[#This Row],[ToSite-UPSName]],Table1[[#All],[Company or Name]:[Delivery Address]],16,FALSE),"")</f>
        <v>-</v>
      </c>
      <c r="L205" s="20"/>
      <c r="M205" s="20" t="str">
        <f>IFERROR(VLOOKUP(Table47[[#This Row],[ToSite-UPSName]],Table1[[#All],[Company or Name]:[Delivery Address]],18,FALSE),"")</f>
        <v>-</v>
      </c>
      <c r="N205" s="20" t="str">
        <f>IFERROR(VLOOKUP(Table47[[#This Row],[ToSite-UPSName]],Table1[[#All],[Company or Name]:[Delivery Address]],19,FALSE),"")</f>
        <v>-</v>
      </c>
      <c r="O205" s="13"/>
      <c r="P205" s="20"/>
      <c r="Q205" s="20"/>
      <c r="R205" s="20"/>
      <c r="S205" s="20"/>
      <c r="T205" s="20"/>
      <c r="U205" s="13" t="s">
        <v>126</v>
      </c>
      <c r="X205" s="13"/>
      <c r="Y205" s="20" t="str">
        <f>TEXT(Table47[[#This Row],[Confirmed Sampling Date]], "yyyy") &amp; "_" &amp; TEXT(Table47[[#This Row],[Confirmed Sampling Date]], "mm") &amp; "_" &amp; TEXT(Table47[[#This Row],[Confirmed Sampling Date]], "dd")</f>
        <v>2025_11_18</v>
      </c>
      <c r="Z205" s="20" t="str">
        <f>IFERROR(LEFT(J205, FIND(" ", J205) - 1), J205)</f>
        <v>Cluj-MNC</v>
      </c>
      <c r="AA205" s="20" t="str">
        <f>VLOOKUP(Table47[[#This Row],[ToSite-UPSName]],Table1[[Company or Name]:[NOTES]],2,FALSE)</f>
        <v>Romania</v>
      </c>
      <c r="AB205" s="20" t="str">
        <f>IFERROR(VLOOKUP(Table47[[#This Row],[ToSite-UPSName]], Table1[[#All],[Company or Name]:[Delivery Address]],20,FALSE),"")</f>
        <v>Strada Tăbăcarilor 11, Cluj-Napoca, 400139, Romania</v>
      </c>
      <c r="AC205" s="20" t="str">
        <f>TEXT(Table47[[#This Row],[Shipping Date (SD-14)]]+3,"YYYY-MM-DD")</f>
        <v>2025-11-07</v>
      </c>
      <c r="AD205" s="20" t="str">
        <f>_xlfn.XLOOKUP(Table47[[#This Row],[Type]],kits!C:C,kits!D:D,"",0)</f>
        <v>boxcontentlabel_template_outbound1.docx</v>
      </c>
    </row>
    <row r="206" spans="2:30" ht="14.1" customHeight="1" x14ac:dyDescent="0.25">
      <c r="B206" s="13">
        <v>81</v>
      </c>
      <c r="C206" s="14" t="s">
        <v>1271</v>
      </c>
      <c r="D206" s="13">
        <v>1</v>
      </c>
      <c r="E206" s="83">
        <v>45980</v>
      </c>
      <c r="F206" s="34">
        <f>_xlfn.LET(
    _xlpm.baseDate, Table47[[#This Row],[Confirmed Sampling Date]] - 14,
    _xlpm.weekdayNum, WEEKDAY(_xlpm.baseDate, 2),
    IF(_xlpm.weekdayNum = 6, _xlpm.baseDate + 2, IF(_xlpm.weekdayNum = 7, _xlpm.baseDate + 1, _xlpm.baseDate))
)</f>
        <v>45966</v>
      </c>
      <c r="G206" s="20">
        <f>IFERROR(WEEKNUM(Table47[[#This Row],[Shipping Date (SD-14)]]),"TBD")</f>
        <v>45</v>
      </c>
      <c r="H206" s="20" t="str">
        <f>IFERROR(TEXT(Table47[[#This Row],[Shipping Date (SD-14)]],"yyyy-mm"),"TBD")</f>
        <v>2025-11</v>
      </c>
      <c r="I206" s="13" t="s">
        <v>680</v>
      </c>
      <c r="J206" s="13" t="str">
        <f>IFERROR(VLOOKUP(Table47[[#This Row],[ToSite-UPSName]],Table1[[#All],[Company or Name]:[Delivery Address]],15,FALSE),"")</f>
        <v>Rome WWTP</v>
      </c>
      <c r="K206" s="20" t="str">
        <f>IFERROR(VLOOKUP(Table47[[#This Row],[ToSite-UPSName]],Table1[[#All],[Company or Name]:[Delivery Address]],16,FALSE),"")</f>
        <v>-</v>
      </c>
      <c r="L206" s="13" t="str">
        <f>IFERROR(VLOOKUP(Table47[[#This Row],[ToSite-UPSName]],Table1[[#All],[Company or Name]:[Delivery Address]],17,FALSE),"")</f>
        <v>-</v>
      </c>
      <c r="M206" s="20" t="str">
        <f>IFERROR(VLOOKUP(Table47[[#This Row],[ToSite-UPSName]],Table1[[#All],[Company or Name]:[Delivery Address]],18,FALSE),"")</f>
        <v>-</v>
      </c>
      <c r="N206" s="20" t="str">
        <f>IFERROR(VLOOKUP(Table47[[#This Row],[ToSite-UPSName]],Table1[[#All],[Company or Name]:[Delivery Address]],19,FALSE),"")</f>
        <v>-</v>
      </c>
      <c r="O206" s="13"/>
      <c r="P206" s="20"/>
      <c r="Q206" s="20"/>
      <c r="R206" s="20"/>
      <c r="S206" s="65"/>
      <c r="T206" s="65"/>
      <c r="U206" s="13" t="s">
        <v>126</v>
      </c>
      <c r="X206" s="13"/>
      <c r="Y206" s="20" t="str">
        <f>TEXT(Table47[[#This Row],[Confirmed Sampling Date]], "yyyy") &amp; "_" &amp; TEXT(Table47[[#This Row],[Confirmed Sampling Date]], "mm") &amp; "_" &amp; TEXT(Table47[[#This Row],[Confirmed Sampling Date]], "dd")</f>
        <v>2025_11_19</v>
      </c>
      <c r="Z206" s="20" t="str">
        <f>IFERROR(LEFT(J206, FIND(" ", J206) - 1), J206)</f>
        <v>Rome</v>
      </c>
      <c r="AA206" s="20" t="str">
        <f>VLOOKUP(Table47[[#This Row],[ToSite-UPSName]],Table1[[Company or Name]:[NOTES]],2,FALSE)</f>
        <v>Italy</v>
      </c>
      <c r="AB206" s="20" t="str">
        <f>IFERROR(VLOOKUP(Table47[[#This Row],[ToSite-UPSName]], Table1[[#All],[Company or Name]:[Delivery Address]],20,FALSE),"")</f>
        <v>Via dell'Equitazione 10, Rome, 00144, Italy</v>
      </c>
      <c r="AC206" s="20" t="str">
        <f>TEXT(Table47[[#This Row],[Shipping Date (SD-14)]]+3,"YYYY-MM-DD")</f>
        <v>2025-11-08</v>
      </c>
      <c r="AD206" s="20" t="str">
        <f>_xlfn.XLOOKUP(Table47[[#This Row],[Type]],kits!C:C,kits!D:D,"",0)</f>
        <v>boxcontentlabel_template_outbound1.docx</v>
      </c>
    </row>
    <row r="207" spans="2:30" ht="14.1" customHeight="1" x14ac:dyDescent="0.25">
      <c r="B207" s="13">
        <v>95</v>
      </c>
      <c r="C207" s="14" t="s">
        <v>1271</v>
      </c>
      <c r="D207" s="13">
        <v>1</v>
      </c>
      <c r="E207" s="83">
        <v>45980</v>
      </c>
      <c r="F207" s="83">
        <f>_xlfn.LET(
    _xlpm.baseDate, Table47[[#This Row],[Confirmed Sampling Date]] - 14,
    _xlpm.weekdayNum, WEEKDAY(_xlpm.baseDate, 2),
    IF(_xlpm.weekdayNum = 6, _xlpm.baseDate + 2, IF(_xlpm.weekdayNum = 7, _xlpm.baseDate + 1, _xlpm.baseDate))
)</f>
        <v>45966</v>
      </c>
      <c r="G207" s="20">
        <f>IFERROR(WEEKNUM(Table47[[#This Row],[Shipping Date (SD-14)]]),"TBD")</f>
        <v>45</v>
      </c>
      <c r="H207" s="20" t="str">
        <f>IFERROR(TEXT(Table47[[#This Row],[Shipping Date (SD-14)]],"yyyy-mm"),"TBD")</f>
        <v>2025-11</v>
      </c>
      <c r="I207" s="13" t="s">
        <v>771</v>
      </c>
      <c r="J207" s="20" t="str">
        <f>IFERROR(VLOOKUP(Table47[[#This Row],[ToSite-UPSName]],Table1[[#All],[Company or Name]:[Delivery Address]],15,FALSE),"")</f>
        <v>RomeAirport</v>
      </c>
      <c r="K207" s="20" t="str">
        <f>IFERROR(VLOOKUP(Table47[[#This Row],[ToSite-UPSName]],Table1[[#All],[Company or Name]:[Delivery Address]],16,FALSE),"")</f>
        <v>-</v>
      </c>
      <c r="L207" s="13" t="str">
        <f>IFERROR(VLOOKUP(Table47[[#This Row],[ToSite-UPSName]],Table1[[#All],[Company or Name]:[Delivery Address]],17,FALSE),"")</f>
        <v>-</v>
      </c>
      <c r="M207" s="20" t="str">
        <f>IFERROR(VLOOKUP(Table47[[#This Row],[ToSite-UPSName]],Table1[[#All],[Company or Name]:[Delivery Address]],18,FALSE),"")</f>
        <v>-</v>
      </c>
      <c r="N207" s="20" t="str">
        <f>IFERROR(VLOOKUP(Table47[[#This Row],[ToSite-UPSName]],Table1[[#All],[Company or Name]:[Delivery Address]],19,FALSE),"")</f>
        <v>-</v>
      </c>
      <c r="O207" s="13"/>
      <c r="P207" s="20"/>
      <c r="Q207" s="20"/>
      <c r="R207" s="20"/>
      <c r="S207" s="65"/>
      <c r="T207" s="65"/>
      <c r="U207" s="13" t="s">
        <v>126</v>
      </c>
      <c r="X207" s="13"/>
      <c r="Y207" s="20" t="str">
        <f>TEXT(Table47[[#This Row],[Confirmed Sampling Date]], "yyyy") &amp; "_" &amp; TEXT(Table47[[#This Row],[Confirmed Sampling Date]], "mm") &amp; "_" &amp; TEXT(Table47[[#This Row],[Confirmed Sampling Date]], "dd")</f>
        <v>2025_11_19</v>
      </c>
      <c r="Z207" s="20" t="str">
        <f>IFERROR(LEFT(J207, FIND(" ", J207) - 1), J207)</f>
        <v>RomeAirport</v>
      </c>
      <c r="AA207" s="20" t="str">
        <f>VLOOKUP(Table47[[#This Row],[ToSite-UPSName]],Table1[[Company or Name]:[NOTES]],2,FALSE)</f>
        <v>Italy</v>
      </c>
      <c r="AB207" s="20" t="str">
        <f>IFERROR(VLOOKUP(Table47[[#This Row],[ToSite-UPSName]], Table1[[#All],[Company or Name]:[Delivery Address]],20,FALSE),"")</f>
        <v>VIA FRATELLI WRIGHT (DEPURATORE BIOLOGICO), FIUMICINO, 00054, Italy</v>
      </c>
      <c r="AC207" s="20" t="str">
        <f>TEXT(Table47[[#This Row],[Shipping Date (SD-14)]]+3,"YYYY-MM-DD")</f>
        <v>2025-11-08</v>
      </c>
      <c r="AD207" s="20" t="str">
        <f>_xlfn.XLOOKUP(Table47[[#This Row],[Type]],kits!C:C,kits!D:D,"",0)</f>
        <v>boxcontentlabel_template_outbound1.docx</v>
      </c>
    </row>
    <row r="208" spans="2:30" ht="14.1" customHeight="1" x14ac:dyDescent="0.25">
      <c r="B208" s="13">
        <v>155</v>
      </c>
      <c r="C208" s="14" t="s">
        <v>1271</v>
      </c>
      <c r="D208" s="13">
        <v>20</v>
      </c>
      <c r="E208" s="80">
        <v>45980</v>
      </c>
      <c r="F208" s="34">
        <f>_xlfn.LET(
    _xlpm.baseDate, Table47[[#This Row],[Confirmed Sampling Date]] - 14,
    _xlpm.weekdayNum, WEEKDAY(_xlpm.baseDate, 2),
    IF(_xlpm.weekdayNum = 6, _xlpm.baseDate + 2, IF(_xlpm.weekdayNum = 7, _xlpm.baseDate + 1, _xlpm.baseDate))
)</f>
        <v>45966</v>
      </c>
      <c r="G208" s="20">
        <f>IFERROR(WEEKNUM(Table47[[#This Row],[Shipping Date (SD-14)]]),"TBD")</f>
        <v>45</v>
      </c>
      <c r="H208" s="20" t="str">
        <f>IFERROR(TEXT(Table47[[#This Row],[Shipping Date (SD-14)]],"yyyy-mm"),"TBD")</f>
        <v>2025-11</v>
      </c>
      <c r="I208" s="78" t="s">
        <v>1628</v>
      </c>
      <c r="J208" s="20" t="str">
        <f>IFERROR(VLOOKUP(Table47[[#This Row],[ToSite-UPSName]],Table1[[#All],[Company or Name]:[Delivery Address]],15,FALSE),"")</f>
        <v>Funchal WWTP</v>
      </c>
      <c r="K208" s="20" t="str">
        <f>IFERROR(VLOOKUP(Table47[[#This Row],[ToSite-UPSName]],Table1[[#All],[Company or Name]:[Delivery Address]],16,FALSE),"")</f>
        <v>Madeira, 10 locations</v>
      </c>
      <c r="L208" s="20"/>
      <c r="M208" s="20">
        <f>IFERROR(VLOOKUP(Table47[[#This Row],[ToSite-UPSName]],Table1[[#All],[Company or Name]:[Delivery Address]],18,FALSE),"")</f>
        <v>0</v>
      </c>
      <c r="N208" s="20">
        <f>IFERROR(VLOOKUP(Table47[[#This Row],[ToSite-UPSName]],Table1[[#All],[Company or Name]:[Delivery Address]],19,FALSE),"")</f>
        <v>0</v>
      </c>
      <c r="O208" s="13"/>
      <c r="P208" s="20"/>
      <c r="Q208" s="20"/>
      <c r="R208" s="20"/>
      <c r="S208" s="101"/>
      <c r="T208" s="101"/>
      <c r="U208" s="13" t="s">
        <v>126</v>
      </c>
      <c r="X208" s="13"/>
      <c r="Y208" s="20" t="str">
        <f>TEXT(Table47[[#This Row],[Confirmed Sampling Date]], "yyyy") &amp; "_" &amp; TEXT(Table47[[#This Row],[Confirmed Sampling Date]], "mm") &amp; "_" &amp; TEXT(Table47[[#This Row],[Confirmed Sampling Date]], "dd")</f>
        <v>2025_11_19</v>
      </c>
      <c r="Z208" s="20" t="str">
        <f>IFERROR(LEFT(J208, FIND(" ", J208) - 1), J208)</f>
        <v>Funchal</v>
      </c>
      <c r="AA208" s="20" t="str">
        <f>VLOOKUP(Table47[[#This Row],[ToSite-UPSName]],Table1[[Company or Name]:[NOTES]],2,FALSE)</f>
        <v>Portugal</v>
      </c>
      <c r="AB208" s="20" t="str">
        <f>IFERROR(VLOOKUP(Table47[[#This Row],[ToSite-UPSName]], Table1[[#All],[Company or Name]:[Delivery Address]],20,FALSE),"")</f>
        <v>R. do Matadouro 4, Funchal, 9050-100, Portugal</v>
      </c>
      <c r="AC208" s="20" t="str">
        <f>TEXT(Table47[[#This Row],[Shipping Date (SD-14)]]+3,"YYYY-MM-DD")</f>
        <v>2025-11-08</v>
      </c>
      <c r="AD208" s="20" t="str">
        <f>_xlfn.XLOOKUP(Table47[[#This Row],[Type]],kits!C:C,kits!D:D,"",0)</f>
        <v>boxcontentlabel_template_outbound1.docx</v>
      </c>
    </row>
    <row r="209" spans="2:30" ht="14.1" customHeight="1" x14ac:dyDescent="0.25">
      <c r="B209" s="13">
        <v>199</v>
      </c>
      <c r="C209" s="85" t="s">
        <v>1272</v>
      </c>
      <c r="D209" s="13">
        <v>4</v>
      </c>
      <c r="E209" s="34">
        <v>45980</v>
      </c>
      <c r="F209" s="34">
        <f>_xlfn.LET(
    _xlpm.baseDate, Table47[[#This Row],[Confirmed Sampling Date]] - 14,
    _xlpm.weekdayNum, WEEKDAY(_xlpm.baseDate, 2),
    IF(_xlpm.weekdayNum = 6, _xlpm.baseDate + 2, IF(_xlpm.weekdayNum = 7, _xlpm.baseDate + 1, _xlpm.baseDate))
)</f>
        <v>45966</v>
      </c>
      <c r="G209" s="20">
        <f>IFERROR(WEEKNUM(Table47[[#This Row],[Shipping Date (SD-14)]]),"TBD")</f>
        <v>45</v>
      </c>
      <c r="H209" s="20" t="str">
        <f>IFERROR(TEXT(Table47[[#This Row],[Shipping Date (SD-14)]],"yyyy-mm"),"TBD")</f>
        <v>2025-11</v>
      </c>
      <c r="I209" s="13" t="s">
        <v>1628</v>
      </c>
      <c r="J209" s="20" t="str">
        <f>IFERROR(VLOOKUP(Table47[[#This Row],[ToSite-UPSName]],Table1[[#All],[Company or Name]:[Delivery Address]],15,FALSE),"")</f>
        <v>Funchal WWTP</v>
      </c>
      <c r="K209" s="20" t="str">
        <f>IFERROR(VLOOKUP(Table47[[#This Row],[ToSite-UPSName]],Table1[[#All],[Company or Name]:[Delivery Address]],16,FALSE),"")</f>
        <v>Madeira, 10 locations</v>
      </c>
      <c r="L209" s="20"/>
      <c r="M209" s="20">
        <f>IFERROR(VLOOKUP(Table47[[#This Row],[ToSite-UPSName]],Table1[[#All],[Company or Name]:[Delivery Address]],18,FALSE),"")</f>
        <v>0</v>
      </c>
      <c r="N209" s="20">
        <f>IFERROR(VLOOKUP(Table47[[#This Row],[ToSite-UPSName]],Table1[[#All],[Company or Name]:[Delivery Address]],19,FALSE),"")</f>
        <v>0</v>
      </c>
      <c r="O209" s="13"/>
      <c r="P209" s="20"/>
      <c r="Q209" s="20"/>
      <c r="R209" s="20"/>
      <c r="S209" s="20"/>
      <c r="T209" s="20"/>
      <c r="U209" s="13" t="s">
        <v>126</v>
      </c>
      <c r="X209" s="13"/>
      <c r="Y209" s="20" t="str">
        <f>TEXT(Table47[[#This Row],[Confirmed Sampling Date]], "yyyy") &amp; "_" &amp; TEXT(Table47[[#This Row],[Confirmed Sampling Date]], "mm") &amp; "_" &amp; TEXT(Table47[[#This Row],[Confirmed Sampling Date]], "dd")</f>
        <v>2025_11_19</v>
      </c>
      <c r="Z209" s="20" t="str">
        <f>IFERROR(LEFT(J209, FIND(" ", J209) - 1), J209)</f>
        <v>Funchal</v>
      </c>
      <c r="AA209" s="20" t="str">
        <f>VLOOKUP(Table47[[#This Row],[ToSite-UPSName]],Table1[[Company or Name]:[NOTES]],2,FALSE)</f>
        <v>Portugal</v>
      </c>
      <c r="AB209" s="20" t="str">
        <f>IFERROR(VLOOKUP(Table47[[#This Row],[ToSite-UPSName]], Table1[[#All],[Company or Name]:[Delivery Address]],20,FALSE),"")</f>
        <v>R. do Matadouro 4, Funchal, 9050-100, Portugal</v>
      </c>
      <c r="AC209" s="20" t="str">
        <f>TEXT(Table47[[#This Row],[Shipping Date (SD-14)]]+3,"YYYY-MM-DD")</f>
        <v>2025-11-08</v>
      </c>
      <c r="AD209" s="20" t="str">
        <f>_xlfn.XLOOKUP(Table47[[#This Row],[Type]],kits!C:C,kits!D:D,"",0)</f>
        <v>boxcontentlabel_template_outbound2.docx</v>
      </c>
    </row>
    <row r="210" spans="2:30" ht="14.1" customHeight="1" x14ac:dyDescent="0.25">
      <c r="B210" s="13">
        <v>224</v>
      </c>
      <c r="C210" s="14" t="s">
        <v>1271</v>
      </c>
      <c r="D210" s="13">
        <v>2</v>
      </c>
      <c r="E210" s="34">
        <v>45980</v>
      </c>
      <c r="F210" s="34">
        <f>_xlfn.LET(
    _xlpm.baseDate, Table47[[#This Row],[Confirmed Sampling Date]] - 14,
    _xlpm.weekdayNum, WEEKDAY(_xlpm.baseDate, 2),
    IF(_xlpm.weekdayNum = 6, _xlpm.baseDate + 2, IF(_xlpm.weekdayNum = 7, _xlpm.baseDate + 1, _xlpm.baseDate))
)</f>
        <v>45966</v>
      </c>
      <c r="G210" s="20">
        <f>IFERROR(WEEKNUM(Table47[[#This Row],[Shipping Date (SD-14)]]),"TBD")</f>
        <v>45</v>
      </c>
      <c r="H210" s="20" t="str">
        <f>IFERROR(TEXT(Table47[[#This Row],[Shipping Date (SD-14)]],"yyyy-mm"),"TBD")</f>
        <v>2025-11</v>
      </c>
      <c r="I210" s="13" t="s">
        <v>1590</v>
      </c>
      <c r="J210" s="20" t="str">
        <f>IFERROR(VLOOKUP(Table47[[#This Row],[ToSite-UPSName]],Table1[[#All],[Company or Name]:[Delivery Address]],15,FALSE),"")</f>
        <v>Àthens WWTP</v>
      </c>
      <c r="K210" s="20" t="str">
        <f>IFERROR(VLOOKUP(Table47[[#This Row],[ToSite-UPSName]],Table1[[#All],[Company or Name]:[Delivery Address]],16,FALSE),"")</f>
        <v>Athens Airport</v>
      </c>
      <c r="L210" s="20"/>
      <c r="M210" s="20" t="str">
        <f>IFERROR(VLOOKUP(Table47[[#This Row],[ToSite-UPSName]],Table1[[#All],[Company or Name]:[Delivery Address]],18,FALSE),"")</f>
        <v>-</v>
      </c>
      <c r="N210" s="20" t="str">
        <f>IFERROR(VLOOKUP(Table47[[#This Row],[ToSite-UPSName]],Table1[[#All],[Company or Name]:[Delivery Address]],19,FALSE),"")</f>
        <v>-</v>
      </c>
      <c r="O210" s="13"/>
      <c r="P210" s="20"/>
      <c r="Q210" s="20"/>
      <c r="R210" s="20"/>
      <c r="S210" s="65"/>
      <c r="T210" s="65"/>
      <c r="U210" s="13" t="s">
        <v>126</v>
      </c>
      <c r="X210" s="13"/>
      <c r="Y210" s="20" t="str">
        <f>TEXT(Table47[[#This Row],[Confirmed Sampling Date]], "yyyy") &amp; "_" &amp; TEXT(Table47[[#This Row],[Confirmed Sampling Date]], "mm") &amp; "_" &amp; TEXT(Table47[[#This Row],[Confirmed Sampling Date]], "dd")</f>
        <v>2025_11_19</v>
      </c>
      <c r="Z210" s="20" t="str">
        <f>IFERROR(LEFT(J210, FIND(" ", J210) - 1), J210)</f>
        <v>Àthens</v>
      </c>
      <c r="AA210" s="20" t="str">
        <f>VLOOKUP(Table47[[#This Row],[ToSite-UPSName]],Table1[[Company or Name]:[NOTES]],2,FALSE)</f>
        <v>Greece</v>
      </c>
      <c r="AB210" s="20" t="str">
        <f>IFERROR(VLOOKUP(Table47[[#This Row],[ToSite-UPSName]], Table1[[#All],[Company or Name]:[Delivery Address]],20,FALSE),"")</f>
        <v>Zografou, 4ος όροφος, εργαστήριο αριθμός 8, Athens,  157 71, Greece</v>
      </c>
      <c r="AC210" s="20" t="str">
        <f>TEXT(Table47[[#This Row],[Shipping Date (SD-14)]]+3,"YYYY-MM-DD")</f>
        <v>2025-11-08</v>
      </c>
      <c r="AD210" s="20" t="str">
        <f>_xlfn.XLOOKUP(Table47[[#This Row],[Type]],kits!C:C,kits!D:D,"",0)</f>
        <v>boxcontentlabel_template_outbound1.docx</v>
      </c>
    </row>
    <row r="211" spans="2:30" ht="14.1" customHeight="1" x14ac:dyDescent="0.25">
      <c r="B211" s="13">
        <v>231</v>
      </c>
      <c r="C211" s="14" t="s">
        <v>1271</v>
      </c>
      <c r="D211" s="13">
        <v>2</v>
      </c>
      <c r="E211" s="34">
        <v>45981</v>
      </c>
      <c r="F211" s="34">
        <f>_xlfn.LET(
    _xlpm.baseDate, Table47[[#This Row],[Confirmed Sampling Date]] - 14,
    _xlpm.weekdayNum, WEEKDAY(_xlpm.baseDate, 2),
    IF(_xlpm.weekdayNum = 6, _xlpm.baseDate + 2, IF(_xlpm.weekdayNum = 7, _xlpm.baseDate + 1, _xlpm.baseDate))
)</f>
        <v>45967</v>
      </c>
      <c r="G211" s="20">
        <f>IFERROR(WEEKNUM(Table47[[#This Row],[Shipping Date (SD-14)]]),"TBD")</f>
        <v>45</v>
      </c>
      <c r="H211" s="20" t="str">
        <f>IFERROR(TEXT(Table47[[#This Row],[Shipping Date (SD-14)]],"yyyy-mm"),"TBD")</f>
        <v>2025-11</v>
      </c>
      <c r="I211" s="13" t="s">
        <v>1598</v>
      </c>
      <c r="J211" s="20" t="str">
        <f>IFERROR(VLOOKUP(Table47[[#This Row],[ToSite-UPSName]],Table1[[#All],[Company or Name]:[Delivery Address]],15,FALSE),"")</f>
        <v>Heraklion WWTP</v>
      </c>
      <c r="K211" s="20" t="str">
        <f>IFERROR(VLOOKUP(Table47[[#This Row],[ToSite-UPSName]],Table1[[#All],[Company or Name]:[Delivery Address]],16,FALSE),"")</f>
        <v>Heraklion Airport</v>
      </c>
      <c r="L211" s="20"/>
      <c r="M211" s="20" t="str">
        <f>IFERROR(VLOOKUP(Table47[[#This Row],[ToSite-UPSName]],Table1[[#All],[Company or Name]:[Delivery Address]],18,FALSE),"")</f>
        <v>-</v>
      </c>
      <c r="N211" s="20" t="str">
        <f>IFERROR(VLOOKUP(Table47[[#This Row],[ToSite-UPSName]],Table1[[#All],[Company or Name]:[Delivery Address]],19,FALSE),"")</f>
        <v>-</v>
      </c>
      <c r="O211" s="13"/>
      <c r="P211" s="20"/>
      <c r="Q211" s="20"/>
      <c r="R211" s="20"/>
      <c r="S211" s="20"/>
      <c r="T211" s="20"/>
      <c r="U211" s="13" t="s">
        <v>126</v>
      </c>
      <c r="X211" s="13"/>
      <c r="Y211" s="20" t="str">
        <f>TEXT(Table47[[#This Row],[Confirmed Sampling Date]], "yyyy") &amp; "_" &amp; TEXT(Table47[[#This Row],[Confirmed Sampling Date]], "mm") &amp; "_" &amp; TEXT(Table47[[#This Row],[Confirmed Sampling Date]], "dd")</f>
        <v>2025_11_20</v>
      </c>
      <c r="Z211" s="20" t="str">
        <f>IFERROR(LEFT(J211, FIND(" ", J211) - 1), J211)</f>
        <v>Heraklion</v>
      </c>
      <c r="AA211" s="20" t="str">
        <f>VLOOKUP(Table47[[#This Row],[ToSite-UPSName]],Table1[[Company or Name]:[NOTES]],2,FALSE)</f>
        <v>Greece</v>
      </c>
      <c r="AB211" s="20" t="str">
        <f>IFERROR(VLOOKUP(Table47[[#This Row],[ToSite-UPSName]], Table1[[#All],[Company or Name]:[Delivery Address]],20,FALSE),"")</f>
        <v>Andrea Kalokerinou 13, Pteryga 3D, Giofirakia, 715 00, Greece</v>
      </c>
      <c r="AC211" s="20" t="str">
        <f>TEXT(Table47[[#This Row],[Shipping Date (SD-14)]]+3,"YYYY-MM-DD")</f>
        <v>2025-11-09</v>
      </c>
      <c r="AD211" s="20" t="str">
        <f>_xlfn.XLOOKUP(Table47[[#This Row],[Type]],kits!C:C,kits!D:D,"",0)</f>
        <v>boxcontentlabel_template_outbound1.docx</v>
      </c>
    </row>
    <row r="212" spans="2:30" ht="13.5" customHeight="1" x14ac:dyDescent="0.25">
      <c r="B212" s="13">
        <v>244</v>
      </c>
      <c r="C212" s="14" t="s">
        <v>1271</v>
      </c>
      <c r="D212" s="13">
        <v>2</v>
      </c>
      <c r="E212" s="83">
        <v>45982</v>
      </c>
      <c r="F212" s="34">
        <f>_xlfn.LET(
    _xlpm.baseDate, Table47[[#This Row],[Confirmed Sampling Date]] - 14,
    _xlpm.weekdayNum, WEEKDAY(_xlpm.baseDate, 2),
    IF(_xlpm.weekdayNum = 6, _xlpm.baseDate + 2, IF(_xlpm.weekdayNum = 7, _xlpm.baseDate + 1, _xlpm.baseDate))
)</f>
        <v>45968</v>
      </c>
      <c r="G212" s="20">
        <f>IFERROR(WEEKNUM(Table47[[#This Row],[Shipping Date (SD-14)]]),"TBD")</f>
        <v>45</v>
      </c>
      <c r="H212" s="20" t="str">
        <f>IFERROR(TEXT(Table47[[#This Row],[Shipping Date (SD-14)]],"yyyy-mm"),"TBD")</f>
        <v>2025-11</v>
      </c>
      <c r="I212" s="13" t="s">
        <v>637</v>
      </c>
      <c r="J212" s="20" t="str">
        <f>IFERROR(VLOOKUP(Table47[[#This Row],[ToSite-UPSName]],Table1[[#All],[Company or Name]:[Delivery Address]],15,FALSE),"")</f>
        <v>Luxembourg (Beggen) WWTP</v>
      </c>
      <c r="K212" s="20" t="str">
        <f>IFERROR(VLOOKUP(Table47[[#This Row],[ToSite-UPSName]],Table1[[#All],[Company or Name]:[Delivery Address]],16,FALSE),"")</f>
        <v>Luxembourg Airport</v>
      </c>
      <c r="L212" s="20"/>
      <c r="M212" s="20" t="str">
        <f>IFERROR(VLOOKUP(Table47[[#This Row],[ToSite-UPSName]],Table1[[#All],[Company or Name]:[Delivery Address]],18,FALSE),"")</f>
        <v>-</v>
      </c>
      <c r="N212" s="20" t="str">
        <f>IFERROR(VLOOKUP(Table47[[#This Row],[ToSite-UPSName]],Table1[[#All],[Company or Name]:[Delivery Address]],19,FALSE),"")</f>
        <v>-</v>
      </c>
      <c r="O212" s="13"/>
      <c r="P212" s="20"/>
      <c r="Q212" s="20"/>
      <c r="R212" s="20"/>
      <c r="S212" s="20"/>
      <c r="T212" s="20"/>
      <c r="U212" s="13" t="s">
        <v>126</v>
      </c>
      <c r="X212" s="13"/>
      <c r="Y212" s="20" t="str">
        <f>TEXT(Table47[[#This Row],[Confirmed Sampling Date]], "yyyy") &amp; "_" &amp; TEXT(Table47[[#This Row],[Confirmed Sampling Date]], "mm") &amp; "_" &amp; TEXT(Table47[[#This Row],[Confirmed Sampling Date]], "dd")</f>
        <v>2025_11_21</v>
      </c>
      <c r="Z212" s="20" t="str">
        <f>IFERROR(LEFT(J212, FIND(" ", J212) - 1), J212)</f>
        <v>Luxembourg</v>
      </c>
      <c r="AA212" s="20" t="str">
        <f>VLOOKUP(Table47[[#This Row],[ToSite-UPSName]],Table1[[Company or Name]:[NOTES]],2,FALSE)</f>
        <v>Luxembourg</v>
      </c>
      <c r="AB212" s="20" t="str">
        <f>IFERROR(VLOOKUP(Table47[[#This Row],[ToSite-UPSName]], Table1[[#All],[Company or Name]:[Delivery Address]],20,FALSE),"")</f>
        <v>41 rue du Brill, Luxembourg, L-4422 , Luxembourg</v>
      </c>
      <c r="AC212" s="20" t="str">
        <f>TEXT(Table47[[#This Row],[Shipping Date (SD-14)]]+3,"YYYY-MM-DD")</f>
        <v>2025-11-10</v>
      </c>
      <c r="AD212" s="20" t="str">
        <f>_xlfn.XLOOKUP(Table47[[#This Row],[Type]],kits!C:C,kits!D:D,"",0)</f>
        <v>boxcontentlabel_template_outbound1.docx</v>
      </c>
    </row>
    <row r="213" spans="2:30" ht="14.1" customHeight="1" x14ac:dyDescent="0.25">
      <c r="B213" s="13">
        <v>13</v>
      </c>
      <c r="C213" s="14" t="s">
        <v>1271</v>
      </c>
      <c r="D213" s="13">
        <v>2</v>
      </c>
      <c r="E213" s="83">
        <v>45991</v>
      </c>
      <c r="F213" s="34">
        <f>_xlfn.LET(
    _xlpm.baseDate, Table47[[#This Row],[Confirmed Sampling Date]] - 14,
    _xlpm.weekdayNum, WEEKDAY(_xlpm.baseDate, 2),
    IF(_xlpm.weekdayNum = 6, _xlpm.baseDate + 2, IF(_xlpm.weekdayNum = 7, _xlpm.baseDate + 1, _xlpm.baseDate))
)</f>
        <v>45978</v>
      </c>
      <c r="G213" s="13">
        <f>IFERROR(WEEKNUM(Table47[[#This Row],[Shipping Date (SD-14)]]),"TBD")</f>
        <v>47</v>
      </c>
      <c r="H213" s="13" t="str">
        <f>IFERROR(TEXT(Table47[[#This Row],[Shipping Date (SD-14)]],"yyyy-mm"),"TBD")</f>
        <v>2025-11</v>
      </c>
      <c r="I213" s="13" t="s">
        <v>13</v>
      </c>
      <c r="J213" s="13" t="str">
        <f>IFERROR(VLOOKUP(Table47[[#This Row],[ToSite-UPSName]],Table1[[#All],[Company or Name]:[Delivery Address]],15,FALSE),"")</f>
        <v>Berlin (Schoenefeld) WWTP</v>
      </c>
      <c r="K213" s="13" t="str">
        <f>IFERROR(VLOOKUP(Table47[[#This Row],[ToSite-UPSName]],Table1[[#All],[Company or Name]:[Delivery Address]],16,FALSE),"")</f>
        <v>Berlin Airport</v>
      </c>
      <c r="L213" s="13" t="str">
        <f>IFERROR(VLOOKUP(Table47[[#This Row],[ToSite-UPSName]],Table1[[#All],[Company or Name]:[Delivery Address]],17,FALSE),"")</f>
        <v>-</v>
      </c>
      <c r="M213" s="13" t="str">
        <f>IFERROR(VLOOKUP(Table47[[#This Row],[ToSite-UPSName]],Table1[[#All],[Company or Name]:[Delivery Address]],18,FALSE),"")</f>
        <v>-</v>
      </c>
      <c r="N213" s="13" t="str">
        <f>IFERROR(VLOOKUP(Table47[[#This Row],[ToSite-UPSName]],Table1[[#All],[Company or Name]:[Delivery Address]],19,FALSE),"")</f>
        <v>-</v>
      </c>
      <c r="O213" s="13"/>
      <c r="P213" s="13"/>
      <c r="Q213" s="13"/>
      <c r="R213" s="13"/>
      <c r="S213" s="64"/>
      <c r="T213" s="64"/>
      <c r="U213" s="13" t="s">
        <v>126</v>
      </c>
      <c r="X213" s="13"/>
      <c r="Y213" s="20" t="str">
        <f>TEXT(Table47[[#This Row],[Confirmed Sampling Date]], "yyyy") &amp; "_" &amp; TEXT(Table47[[#This Row],[Confirmed Sampling Date]], "mm") &amp; "_" &amp; TEXT(Table47[[#This Row],[Confirmed Sampling Date]], "dd")</f>
        <v>2025_11_30</v>
      </c>
      <c r="Z213" s="20" t="str">
        <f>IFERROR(LEFT(J213, FIND(" ", J213) - 1), J213)</f>
        <v>Berlin</v>
      </c>
      <c r="AA213" s="20" t="str">
        <f>VLOOKUP(Table47[[#This Row],[ToSite-UPSName]],Table1[[Company or Name]:[NOTES]],2,FALSE)</f>
        <v>Germany</v>
      </c>
      <c r="AB213" s="20" t="str">
        <f>IFERROR(VLOOKUP(Table47[[#This Row],[ToSite-UPSName]], Table1[[#All],[Company or Name]:[Delivery Address]],20,FALSE),"")</f>
        <v>Strasse am Klarwerk 4, Klarwerk Wassmannsdorf, Schoenefeld, 12529, Germany</v>
      </c>
      <c r="AC213" s="20" t="str">
        <f>TEXT(Table47[[#This Row],[Shipping Date (SD-14)]]+3,"YYYY-MM-DD")</f>
        <v>2025-11-20</v>
      </c>
      <c r="AD213" s="20" t="str">
        <f>_xlfn.XLOOKUP(Table47[[#This Row],[Type]],kits!C:C,kits!D:D,"",0)</f>
        <v>boxcontentlabel_template_outbound1.docx</v>
      </c>
    </row>
    <row r="214" spans="2:30" ht="14.1" customHeight="1" x14ac:dyDescent="0.25">
      <c r="B214" s="13">
        <v>208</v>
      </c>
      <c r="C214" s="85" t="s">
        <v>1272</v>
      </c>
      <c r="D214" s="13">
        <v>2</v>
      </c>
      <c r="E214" s="34">
        <v>45991</v>
      </c>
      <c r="F214" s="34">
        <f>_xlfn.LET(
    _xlpm.baseDate, Table47[[#This Row],[Confirmed Sampling Date]] - 14,
    _xlpm.weekdayNum, WEEKDAY(_xlpm.baseDate, 2),
    IF(_xlpm.weekdayNum = 6, _xlpm.baseDate + 2, IF(_xlpm.weekdayNum = 7, _xlpm.baseDate + 1, _xlpm.baseDate))
)</f>
        <v>45978</v>
      </c>
      <c r="G214" s="20">
        <f>IFERROR(WEEKNUM(Table47[[#This Row],[Shipping Date (SD-14)]]),"TBD")</f>
        <v>47</v>
      </c>
      <c r="H214" s="20" t="str">
        <f>IFERROR(TEXT(Table47[[#This Row],[Shipping Date (SD-14)]],"yyyy-mm"),"TBD")</f>
        <v>2025-11</v>
      </c>
      <c r="I214" s="13" t="s">
        <v>13</v>
      </c>
      <c r="J214" s="20" t="str">
        <f>IFERROR(VLOOKUP(Table47[[#This Row],[ToSite-UPSName]],Table1[[#All],[Company or Name]:[Delivery Address]],15,FALSE),"")</f>
        <v>Berlin (Schoenefeld) WWTP</v>
      </c>
      <c r="K214" s="20" t="str">
        <f>IFERROR(VLOOKUP(Table47[[#This Row],[ToSite-UPSName]],Table1[[#All],[Company or Name]:[Delivery Address]],16,FALSE),"")</f>
        <v>Berlin Airport</v>
      </c>
      <c r="L214" s="20"/>
      <c r="M214" s="20" t="str">
        <f>IFERROR(VLOOKUP(Table47[[#This Row],[ToSite-UPSName]],Table1[[#All],[Company or Name]:[Delivery Address]],18,FALSE),"")</f>
        <v>-</v>
      </c>
      <c r="N214" s="20" t="str">
        <f>IFERROR(VLOOKUP(Table47[[#This Row],[ToSite-UPSName]],Table1[[#All],[Company or Name]:[Delivery Address]],19,FALSE),"")</f>
        <v>-</v>
      </c>
      <c r="O214" s="13"/>
      <c r="P214" s="20"/>
      <c r="Q214" s="20"/>
      <c r="R214" s="20"/>
      <c r="S214" s="20"/>
      <c r="T214" s="20"/>
      <c r="U214" s="13" t="s">
        <v>126</v>
      </c>
      <c r="X214" s="13"/>
      <c r="Y214" s="20" t="str">
        <f>TEXT(Table47[[#This Row],[Confirmed Sampling Date]], "yyyy") &amp; "_" &amp; TEXT(Table47[[#This Row],[Confirmed Sampling Date]], "mm") &amp; "_" &amp; TEXT(Table47[[#This Row],[Confirmed Sampling Date]], "dd")</f>
        <v>2025_11_30</v>
      </c>
      <c r="Z214" s="20" t="str">
        <f>IFERROR(LEFT(J214, FIND(" ", J214) - 1), J214)</f>
        <v>Berlin</v>
      </c>
      <c r="AA214" s="20" t="str">
        <f>VLOOKUP(Table47[[#This Row],[ToSite-UPSName]],Table1[[Company or Name]:[NOTES]],2,FALSE)</f>
        <v>Germany</v>
      </c>
      <c r="AB214" s="20" t="str">
        <f>IFERROR(VLOOKUP(Table47[[#This Row],[ToSite-UPSName]], Table1[[#All],[Company or Name]:[Delivery Address]],20,FALSE),"")</f>
        <v>Strasse am Klarwerk 4, Klarwerk Wassmannsdorf, Schoenefeld, 12529, Germany</v>
      </c>
      <c r="AC214" s="20" t="str">
        <f>TEXT(Table47[[#This Row],[Shipping Date (SD-14)]]+3,"YYYY-MM-DD")</f>
        <v>2025-11-20</v>
      </c>
      <c r="AD214" s="20" t="str">
        <f>_xlfn.XLOOKUP(Table47[[#This Row],[Type]],kits!C:C,kits!D:D,"",0)</f>
        <v>boxcontentlabel_template_outbound2.docx</v>
      </c>
    </row>
    <row r="215" spans="2:30" ht="14.1" customHeight="1" x14ac:dyDescent="0.25">
      <c r="B215" s="13">
        <v>54</v>
      </c>
      <c r="C215" s="14" t="s">
        <v>1271</v>
      </c>
      <c r="D215" s="13">
        <v>2</v>
      </c>
      <c r="E215" s="22">
        <v>45992</v>
      </c>
      <c r="F215" s="83">
        <f>_xlfn.LET(
    _xlpm.baseDate, Table47[[#This Row],[Confirmed Sampling Date]] - 14,
    _xlpm.weekdayNum, WEEKDAY(_xlpm.baseDate, 2),
    IF(_xlpm.weekdayNum = 6, _xlpm.baseDate + 2, IF(_xlpm.weekdayNum = 7, _xlpm.baseDate + 1, _xlpm.baseDate))
)</f>
        <v>45978</v>
      </c>
      <c r="G215" s="13">
        <f>IFERROR(WEEKNUM(Table47[[#This Row],[Shipping Date (SD-14)]]),"TBD")</f>
        <v>47</v>
      </c>
      <c r="H215" s="13" t="str">
        <f>IFERROR(TEXT(Table47[[#This Row],[Shipping Date (SD-14)]],"yyyy-mm"),"TBD")</f>
        <v>2025-11</v>
      </c>
      <c r="I215" s="13" t="s">
        <v>364</v>
      </c>
      <c r="J215" s="13" t="str">
        <f>IFERROR(VLOOKUP(Table47[[#This Row],[ToSite-UPSName]],Table1[[#All],[Company or Name]:[Delivery Address]],15,FALSE),"")</f>
        <v>Brussels WWTP</v>
      </c>
      <c r="K215" s="13" t="str">
        <f>IFERROR(VLOOKUP(Table47[[#This Row],[ToSite-UPSName]],Table1[[#All],[Company or Name]:[Delivery Address]],16,FALSE),"")</f>
        <v>Brussels Airport</v>
      </c>
      <c r="L215" s="13" t="str">
        <f>IFERROR(VLOOKUP(Table47[[#This Row],[ToSite-UPSName]],Table1[[#All],[Company or Name]:[Delivery Address]],17,FALSE),"")</f>
        <v>-</v>
      </c>
      <c r="M215" s="13" t="str">
        <f>IFERROR(VLOOKUP(Table47[[#This Row],[ToSite-UPSName]],Table1[[#All],[Company or Name]:[Delivery Address]],18,FALSE),"")</f>
        <v>-</v>
      </c>
      <c r="N215" s="13" t="str">
        <f>IFERROR(VLOOKUP(Table47[[#This Row],[ToSite-UPSName]],Table1[[#All],[Company or Name]:[Delivery Address]],19,FALSE),"")</f>
        <v>-</v>
      </c>
      <c r="O215" s="13"/>
      <c r="P215" s="13"/>
      <c r="Q215" s="13"/>
      <c r="R215" s="13"/>
      <c r="S215" s="64"/>
      <c r="T215" s="64"/>
      <c r="U215" s="13" t="s">
        <v>126</v>
      </c>
      <c r="X215" s="13"/>
      <c r="Y215" s="20" t="str">
        <f>TEXT(Table47[[#This Row],[Confirmed Sampling Date]], "yyyy") &amp; "_" &amp; TEXT(Table47[[#This Row],[Confirmed Sampling Date]], "mm") &amp; "_" &amp; TEXT(Table47[[#This Row],[Confirmed Sampling Date]], "dd")</f>
        <v>2025_12_01</v>
      </c>
      <c r="Z215" s="20" t="str">
        <f>IFERROR(LEFT(J215, FIND(" ", J215) - 1), J215)</f>
        <v>Brussels</v>
      </c>
      <c r="AA215" s="20" t="str">
        <f>VLOOKUP(Table47[[#This Row],[ToSite-UPSName]],Table1[[Company or Name]:[NOTES]],2,FALSE)</f>
        <v>Belgium</v>
      </c>
      <c r="AB215" s="20" t="str">
        <f>IFERROR(VLOOKUP(Table47[[#This Row],[ToSite-UPSName]], Table1[[#All],[Company or Name]:[Delivery Address]],20,FALSE),"")</f>
        <v>Rue Juliette Wytsmanstraat 14, Brussels, 1050, Belgium</v>
      </c>
      <c r="AC215" s="20" t="str">
        <f>TEXT(Table47[[#This Row],[Shipping Date (SD-14)]]+3,"YYYY-MM-DD")</f>
        <v>2025-11-20</v>
      </c>
      <c r="AD215" s="20" t="str">
        <f>_xlfn.XLOOKUP(Table47[[#This Row],[Type]],kits!C:C,kits!D:D,"",0)</f>
        <v>boxcontentlabel_template_outbound1.docx</v>
      </c>
    </row>
    <row r="216" spans="2:30" ht="14.1" customHeight="1" x14ac:dyDescent="0.25">
      <c r="B216" s="13">
        <v>165</v>
      </c>
      <c r="C216" s="14" t="s">
        <v>1271</v>
      </c>
      <c r="D216" s="13">
        <v>1</v>
      </c>
      <c r="E216" s="34">
        <v>45992</v>
      </c>
      <c r="F216" s="34">
        <f>_xlfn.LET(
    _xlpm.baseDate, Table47[[#This Row],[Confirmed Sampling Date]] - 14,
    _xlpm.weekdayNum, WEEKDAY(_xlpm.baseDate, 2),
    IF(_xlpm.weekdayNum = 6, _xlpm.baseDate + 2, IF(_xlpm.weekdayNum = 7, _xlpm.baseDate + 1, _xlpm.baseDate))
)</f>
        <v>45978</v>
      </c>
      <c r="G216" s="20">
        <f>IFERROR(WEEKNUM(Table47[[#This Row],[Shipping Date (SD-14)]]),"TBD")</f>
        <v>47</v>
      </c>
      <c r="H216" s="20" t="str">
        <f>IFERROR(TEXT(Table47[[#This Row],[Shipping Date (SD-14)]],"yyyy-mm"),"TBD")</f>
        <v>2025-11</v>
      </c>
      <c r="I216" s="78" t="s">
        <v>1114</v>
      </c>
      <c r="J216" s="20" t="str">
        <f>IFERROR(VLOOKUP(Table47[[#This Row],[ToSite-UPSName]],Table1[[#All],[Company or Name]:[Delivery Address]],15,FALSE),"")</f>
        <v>Uppsala WWTP</v>
      </c>
      <c r="K216" s="20" t="str">
        <f>IFERROR(VLOOKUP(Table47[[#This Row],[ToSite-UPSName]],Table1[[#All],[Company or Name]:[Delivery Address]],16,FALSE),"")</f>
        <v>-</v>
      </c>
      <c r="L216" s="20"/>
      <c r="M216" s="20" t="str">
        <f>IFERROR(VLOOKUP(Table47[[#This Row],[ToSite-UPSName]],Table1[[#All],[Company or Name]:[Delivery Address]],18,FALSE),"")</f>
        <v>-</v>
      </c>
      <c r="N216" s="20" t="str">
        <f>IFERROR(VLOOKUP(Table47[[#This Row],[ToSite-UPSName]],Table1[[#All],[Company or Name]:[Delivery Address]],19,FALSE),"")</f>
        <v>-</v>
      </c>
      <c r="O216" s="13"/>
      <c r="P216" s="20"/>
      <c r="Q216" s="20"/>
      <c r="R216" s="20"/>
      <c r="S216" s="101"/>
      <c r="T216" s="101"/>
      <c r="U216" s="13" t="s">
        <v>126</v>
      </c>
      <c r="X216" s="13"/>
      <c r="Y216" s="20" t="str">
        <f>TEXT(Table47[[#This Row],[Confirmed Sampling Date]], "yyyy") &amp; "_" &amp; TEXT(Table47[[#This Row],[Confirmed Sampling Date]], "mm") &amp; "_" &amp; TEXT(Table47[[#This Row],[Confirmed Sampling Date]], "dd")</f>
        <v>2025_12_01</v>
      </c>
      <c r="Z216" s="20" t="str">
        <f>IFERROR(LEFT(J216, FIND(" ", J216) - 1), J216)</f>
        <v>Uppsala</v>
      </c>
      <c r="AA216" s="20" t="str">
        <f>VLOOKUP(Table47[[#This Row],[ToSite-UPSName]],Table1[[Company or Name]:[NOTES]],2,FALSE)</f>
        <v>Sweden</v>
      </c>
      <c r="AB216" s="20" t="str">
        <f>IFERROR(VLOOKUP(Table47[[#This Row],[ToSite-UPSName]], Table1[[#All],[Company or Name]:[Delivery Address]],20,FALSE),"")</f>
        <v>Gerda Nilssons väg 5, Uppsala, 756 51, Sweden</v>
      </c>
      <c r="AC216" s="20" t="str">
        <f>TEXT(Table47[[#This Row],[Shipping Date (SD-14)]]+3,"YYYY-MM-DD")</f>
        <v>2025-11-20</v>
      </c>
      <c r="AD216" s="20" t="str">
        <f>_xlfn.XLOOKUP(Table47[[#This Row],[Type]],kits!C:C,kits!D:D,"",0)</f>
        <v>boxcontentlabel_template_outbound1.docx</v>
      </c>
    </row>
    <row r="217" spans="2:30" ht="14.1" customHeight="1" x14ac:dyDescent="0.25">
      <c r="B217" s="13">
        <v>192</v>
      </c>
      <c r="C217" s="14" t="s">
        <v>1271</v>
      </c>
      <c r="D217" s="13">
        <v>2</v>
      </c>
      <c r="E217" s="34">
        <v>45992</v>
      </c>
      <c r="F217" s="34">
        <f>_xlfn.LET(
    _xlpm.baseDate, Table47[[#This Row],[Confirmed Sampling Date]] - 14,
    _xlpm.weekdayNum, WEEKDAY(_xlpm.baseDate, 2),
    IF(_xlpm.weekdayNum = 6, _xlpm.baseDate + 2, IF(_xlpm.weekdayNum = 7, _xlpm.baseDate + 1, _xlpm.baseDate))
)</f>
        <v>45978</v>
      </c>
      <c r="G217" s="20">
        <f>IFERROR(WEEKNUM(Table47[[#This Row],[Shipping Date (SD-14)]]),"TBD")</f>
        <v>47</v>
      </c>
      <c r="H217" s="20" t="str">
        <f>IFERROR(TEXT(Table47[[#This Row],[Shipping Date (SD-14)]],"yyyy-mm"),"TBD")</f>
        <v>2025-11</v>
      </c>
      <c r="I217" s="78" t="s">
        <v>1187</v>
      </c>
      <c r="J217" s="20" t="str">
        <f>IFERROR(VLOOKUP(Table47[[#This Row],[ToSite-UPSName]],Table1[[#All],[Company or Name]:[Delivery Address]],15,FALSE),"")</f>
        <v>Aachen WWTP</v>
      </c>
      <c r="K217" s="20" t="str">
        <f>IFERROR(VLOOKUP(Table47[[#This Row],[ToSite-UPSName]],Table1[[#All],[Company or Name]:[Delivery Address]],16,FALSE),"")</f>
        <v>Aachen Hospital</v>
      </c>
      <c r="L217" s="20"/>
      <c r="M217" s="20">
        <f>IFERROR(VLOOKUP(Table47[[#This Row],[ToSite-UPSName]],Table1[[#All],[Company or Name]:[Delivery Address]],18,FALSE),"")</f>
        <v>0</v>
      </c>
      <c r="N217" s="20">
        <f>IFERROR(VLOOKUP(Table47[[#This Row],[ToSite-UPSName]],Table1[[#All],[Company or Name]:[Delivery Address]],19,FALSE),"")</f>
        <v>0</v>
      </c>
      <c r="O217" s="13"/>
      <c r="P217" s="20"/>
      <c r="Q217" s="20"/>
      <c r="R217" s="20"/>
      <c r="S217" s="20"/>
      <c r="T217" s="20"/>
      <c r="U217" s="13" t="s">
        <v>126</v>
      </c>
      <c r="X217" s="13"/>
      <c r="Y217" s="20" t="str">
        <f>TEXT(Table47[[#This Row],[Confirmed Sampling Date]], "yyyy") &amp; "_" &amp; TEXT(Table47[[#This Row],[Confirmed Sampling Date]], "mm") &amp; "_" &amp; TEXT(Table47[[#This Row],[Confirmed Sampling Date]], "dd")</f>
        <v>2025_12_01</v>
      </c>
      <c r="Z217" s="20" t="str">
        <f>IFERROR(LEFT(J217, FIND(" ", J217) - 1), J217)</f>
        <v>Aachen</v>
      </c>
      <c r="AA217" s="20" t="str">
        <f>VLOOKUP(Table47[[#This Row],[ToSite-UPSName]],Table1[[Company or Name]:[NOTES]],2,FALSE)</f>
        <v>Germany</v>
      </c>
      <c r="AB217" s="20" t="str">
        <f>IFERROR(VLOOKUP(Table47[[#This Row],[ToSite-UPSName]], Table1[[#All],[Company or Name]:[Delivery Address]],20,FALSE),"")</f>
        <v>Krefelder Str. 299, Aachen, 52070, Germany</v>
      </c>
      <c r="AC217" s="20" t="str">
        <f>TEXT(Table47[[#This Row],[Shipping Date (SD-14)]]+3,"YYYY-MM-DD")</f>
        <v>2025-11-20</v>
      </c>
      <c r="AD217" s="20" t="str">
        <f>_xlfn.XLOOKUP(Table47[[#This Row],[Type]],kits!C:C,kits!D:D,"",0)</f>
        <v>boxcontentlabel_template_outbound1.docx</v>
      </c>
    </row>
    <row r="218" spans="2:30" ht="14.1" customHeight="1" x14ac:dyDescent="0.25">
      <c r="B218" s="13">
        <v>216</v>
      </c>
      <c r="C218" s="14" t="s">
        <v>1271</v>
      </c>
      <c r="D218" s="13">
        <v>1</v>
      </c>
      <c r="E218" s="34">
        <v>45992</v>
      </c>
      <c r="F218" s="34">
        <f>_xlfn.LET(
    _xlpm.baseDate, Table47[[#This Row],[Confirmed Sampling Date]] - 14,
    _xlpm.weekdayNum, WEEKDAY(_xlpm.baseDate, 2),
    IF(_xlpm.weekdayNum = 6, _xlpm.baseDate + 2, IF(_xlpm.weekdayNum = 7, _xlpm.baseDate + 1, _xlpm.baseDate))
)</f>
        <v>45978</v>
      </c>
      <c r="G218" s="20">
        <f>IFERROR(WEEKNUM(Table47[[#This Row],[Shipping Date (SD-14)]]),"TBD")</f>
        <v>47</v>
      </c>
      <c r="H218" s="20" t="str">
        <f>IFERROR(TEXT(Table47[[#This Row],[Shipping Date (SD-14)]],"yyyy-mm"),"TBD")</f>
        <v>2025-11</v>
      </c>
      <c r="I218" s="48" t="s">
        <v>1292</v>
      </c>
      <c r="J218" s="20" t="str">
        <f>IFERROR(VLOOKUP(Table47[[#This Row],[ToSite-UPSName]],Table1[[#All],[Company or Name]:[Delivery Address]],15,FALSE),"")</f>
        <v>Bologna WWTP</v>
      </c>
      <c r="K218" s="20">
        <f>IFERROR(VLOOKUP(Table47[[#This Row],[ToSite-UPSName]],Table1[[#All],[Company or Name]:[Delivery Address]],16,FALSE),"")</f>
        <v>0</v>
      </c>
      <c r="L218" s="20"/>
      <c r="M218" s="20">
        <f>IFERROR(VLOOKUP(Table47[[#This Row],[ToSite-UPSName]],Table1[[#All],[Company or Name]:[Delivery Address]],18,FALSE),"")</f>
        <v>0</v>
      </c>
      <c r="N218" s="20">
        <f>IFERROR(VLOOKUP(Table47[[#This Row],[ToSite-UPSName]],Table1[[#All],[Company or Name]:[Delivery Address]],19,FALSE),"")</f>
        <v>0</v>
      </c>
      <c r="O218" s="13"/>
      <c r="P218" s="20"/>
      <c r="Q218" s="20"/>
      <c r="R218" s="20"/>
      <c r="S218" s="65"/>
      <c r="T218" s="65"/>
      <c r="U218" s="13" t="s">
        <v>126</v>
      </c>
      <c r="X218" s="13"/>
      <c r="Y218" s="20" t="str">
        <f>TEXT(Table47[[#This Row],[Confirmed Sampling Date]], "yyyy") &amp; "_" &amp; TEXT(Table47[[#This Row],[Confirmed Sampling Date]], "mm") &amp; "_" &amp; TEXT(Table47[[#This Row],[Confirmed Sampling Date]], "dd")</f>
        <v>2025_12_01</v>
      </c>
      <c r="Z218" s="20" t="str">
        <f>IFERROR(LEFT(J218, FIND(" ", J218) - 1), J218)</f>
        <v>Bologna</v>
      </c>
      <c r="AA218" s="20" t="str">
        <f>VLOOKUP(Table47[[#This Row],[ToSite-UPSName]],Table1[[Company or Name]:[NOTES]],2,FALSE)</f>
        <v>Italy</v>
      </c>
      <c r="AB218" s="20" t="str">
        <f>IFERROR(VLOOKUP(Table47[[#This Row],[ToSite-UPSName]], Table1[[#All],[Company or Name]:[Delivery Address]],20,FALSE),"")</f>
        <v>VIA SHAKESPEARE 29, Bologna, 40128, Italy</v>
      </c>
      <c r="AC218" s="20" t="str">
        <f>TEXT(Table47[[#This Row],[Shipping Date (SD-14)]]+3,"YYYY-MM-DD")</f>
        <v>2025-11-20</v>
      </c>
      <c r="AD218" s="20" t="str">
        <f>_xlfn.XLOOKUP(Table47[[#This Row],[Type]],kits!C:C,kits!D:D,"",0)</f>
        <v>boxcontentlabel_template_outbound1.docx</v>
      </c>
    </row>
    <row r="219" spans="2:30" ht="14.1" customHeight="1" x14ac:dyDescent="0.25">
      <c r="B219" s="13">
        <v>239</v>
      </c>
      <c r="C219" s="14" t="s">
        <v>1271</v>
      </c>
      <c r="D219" s="13">
        <v>1</v>
      </c>
      <c r="E219" s="83">
        <v>45992</v>
      </c>
      <c r="F219" s="34">
        <f>_xlfn.LET(
    _xlpm.baseDate, Table47[[#This Row],[Confirmed Sampling Date]] - 14,
    _xlpm.weekdayNum, WEEKDAY(_xlpm.baseDate, 2),
    IF(_xlpm.weekdayNum = 6, _xlpm.baseDate + 2, IF(_xlpm.weekdayNum = 7, _xlpm.baseDate + 1, _xlpm.baseDate))
)</f>
        <v>45978</v>
      </c>
      <c r="G219" s="20">
        <f>IFERROR(WEEKNUM(Table47[[#This Row],[Shipping Date (SD-14)]]),"TBD")</f>
        <v>47</v>
      </c>
      <c r="H219" s="20" t="str">
        <f>IFERROR(TEXT(Table47[[#This Row],[Shipping Date (SD-14)]],"yyyy-mm"),"TBD")</f>
        <v>2025-11</v>
      </c>
      <c r="I219" s="13" t="s">
        <v>1802</v>
      </c>
      <c r="J219" s="20" t="str">
        <f>IFERROR(VLOOKUP(Table47[[#This Row],[ToSite-UPSName]],Table1[[#All],[Company or Name]:[Delivery Address]],15,FALSE),"")</f>
        <v>Wien WWTP</v>
      </c>
      <c r="K219" s="20" t="str">
        <f>IFERROR(VLOOKUP(Table47[[#This Row],[ToSite-UPSName]],Table1[[#All],[Company or Name]:[Delivery Address]],16,FALSE),"")</f>
        <v>-</v>
      </c>
      <c r="L219" s="20"/>
      <c r="M219" s="20" t="str">
        <f>IFERROR(VLOOKUP(Table47[[#This Row],[ToSite-UPSName]],Table1[[#All],[Company or Name]:[Delivery Address]],18,FALSE),"")</f>
        <v>-</v>
      </c>
      <c r="N219" s="20" t="str">
        <f>IFERROR(VLOOKUP(Table47[[#This Row],[ToSite-UPSName]],Table1[[#All],[Company or Name]:[Delivery Address]],19,FALSE),"")</f>
        <v>-</v>
      </c>
      <c r="O219" s="13"/>
      <c r="P219" s="20"/>
      <c r="Q219" s="20"/>
      <c r="R219" s="20"/>
      <c r="S219" s="20"/>
      <c r="T219" s="20"/>
      <c r="U219" s="13" t="s">
        <v>126</v>
      </c>
      <c r="X219" s="13"/>
      <c r="Y219" s="20" t="str">
        <f>TEXT(Table47[[#This Row],[Confirmed Sampling Date]], "yyyy") &amp; "_" &amp; TEXT(Table47[[#This Row],[Confirmed Sampling Date]], "mm") &amp; "_" &amp; TEXT(Table47[[#This Row],[Confirmed Sampling Date]], "dd")</f>
        <v>2025_12_01</v>
      </c>
      <c r="Z219" s="20" t="str">
        <f>IFERROR(LEFT(J219, FIND(" ", J219) - 1), J219)</f>
        <v>Wien</v>
      </c>
      <c r="AA219" s="20" t="str">
        <f>VLOOKUP(Table47[[#This Row],[ToSite-UPSName]],Table1[[Company or Name]:[NOTES]],2,FALSE)</f>
        <v>Austria</v>
      </c>
      <c r="AB219" s="20" t="str">
        <f>IFERROR(VLOOKUP(Table47[[#This Row],[ToSite-UPSName]], Table1[[#All],[Company or Name]:[Delivery Address]],20,FALSE),"")</f>
        <v>Währinger Gürtel 18-20, Wien, 1090, Austria</v>
      </c>
      <c r="AC219" s="20" t="str">
        <f>TEXT(Table47[[#This Row],[Shipping Date (SD-14)]]+3,"YYYY-MM-DD")</f>
        <v>2025-11-20</v>
      </c>
      <c r="AD219" s="20" t="str">
        <f>_xlfn.XLOOKUP(Table47[[#This Row],[Type]],kits!C:C,kits!D:D,"",0)</f>
        <v>boxcontentlabel_template_outbound1.docx</v>
      </c>
    </row>
    <row r="220" spans="2:30" ht="14.1" customHeight="1" x14ac:dyDescent="0.25">
      <c r="B220" s="13">
        <v>27</v>
      </c>
      <c r="C220" s="14" t="s">
        <v>1271</v>
      </c>
      <c r="D220" s="13">
        <v>2</v>
      </c>
      <c r="E220" s="34">
        <v>45993</v>
      </c>
      <c r="F220" s="34">
        <f>_xlfn.LET(
    _xlpm.baseDate, Table47[[#This Row],[Confirmed Sampling Date]] - 14,
    _xlpm.weekdayNum, WEEKDAY(_xlpm.baseDate, 2),
    IF(_xlpm.weekdayNum = 6, _xlpm.baseDate + 2, IF(_xlpm.weekdayNum = 7, _xlpm.baseDate + 1, _xlpm.baseDate))
)</f>
        <v>45979</v>
      </c>
      <c r="G220" s="13">
        <f>IFERROR(WEEKNUM(Table47[[#This Row],[Shipping Date (SD-14)]]),"TBD")</f>
        <v>47</v>
      </c>
      <c r="H220" s="13" t="str">
        <f>IFERROR(TEXT(Table47[[#This Row],[Shipping Date (SD-14)]],"yyyy-mm"),"TBD")</f>
        <v>2025-11</v>
      </c>
      <c r="I220" s="13" t="s">
        <v>19</v>
      </c>
      <c r="J220" s="13" t="str">
        <f>IFERROR(VLOOKUP(Table47[[#This Row],[ToSite-UPSName]],Table1[[#All],[Company or Name]:[Delivery Address]],15,FALSE),"")</f>
        <v>Munich WWTP</v>
      </c>
      <c r="K220" s="13" t="str">
        <f>IFERROR(VLOOKUP(Table47[[#This Row],[ToSite-UPSName]],Table1[[#All],[Company or Name]:[Delivery Address]],16,FALSE),"")</f>
        <v>Munich Airport</v>
      </c>
      <c r="L220" s="13" t="str">
        <f>IFERROR(VLOOKUP(Table47[[#This Row],[ToSite-UPSName]],Table1[[#All],[Company or Name]:[Delivery Address]],17,FALSE),"")</f>
        <v>-</v>
      </c>
      <c r="M220" s="13" t="str">
        <f>IFERROR(VLOOKUP(Table47[[#This Row],[ToSite-UPSName]],Table1[[#All],[Company or Name]:[Delivery Address]],18,FALSE),"")</f>
        <v>-</v>
      </c>
      <c r="N220" s="13" t="str">
        <f>IFERROR(VLOOKUP(Table47[[#This Row],[ToSite-UPSName]],Table1[[#All],[Company or Name]:[Delivery Address]],19,FALSE),"")</f>
        <v>-</v>
      </c>
      <c r="O220" s="13"/>
      <c r="P220" s="13"/>
      <c r="Q220" s="13"/>
      <c r="R220" s="13"/>
      <c r="S220" s="13"/>
      <c r="U220" s="13" t="s">
        <v>126</v>
      </c>
      <c r="X220" s="13"/>
      <c r="Y220" s="20" t="str">
        <f>TEXT(Table47[[#This Row],[Confirmed Sampling Date]], "yyyy") &amp; "_" &amp; TEXT(Table47[[#This Row],[Confirmed Sampling Date]], "mm") &amp; "_" &amp; TEXT(Table47[[#This Row],[Confirmed Sampling Date]], "dd")</f>
        <v>2025_12_02</v>
      </c>
      <c r="Z220" s="20" t="str">
        <f>IFERROR(LEFT(J220, FIND(" ", J220) - 1), J220)</f>
        <v>Munich</v>
      </c>
      <c r="AA220" s="20" t="str">
        <f>VLOOKUP(Table47[[#This Row],[ToSite-UPSName]],Table1[[Company or Name]:[NOTES]],2,FALSE)</f>
        <v>Germany</v>
      </c>
      <c r="AB220" s="20" t="str">
        <f>IFERROR(VLOOKUP(Table47[[#This Row],[ToSite-UPSName]], Table1[[#All],[Company or Name]:[Delivery Address]],20,FALSE),"")</f>
        <v>Leopoldstrasse 5, Institut fuer Infektions- und Tropenmedizin, Munich, 80802, Germany</v>
      </c>
      <c r="AC220" s="20" t="str">
        <f>TEXT(Table47[[#This Row],[Shipping Date (SD-14)]]+3,"YYYY-MM-DD")</f>
        <v>2025-11-21</v>
      </c>
      <c r="AD220" s="20" t="str">
        <f>_xlfn.XLOOKUP(Table47[[#This Row],[Type]],kits!C:C,kits!D:D,"",0)</f>
        <v>boxcontentlabel_template_outbound1.docx</v>
      </c>
    </row>
    <row r="221" spans="2:30" ht="14.1" customHeight="1" x14ac:dyDescent="0.25">
      <c r="B221" s="13">
        <v>41</v>
      </c>
      <c r="C221" s="14" t="s">
        <v>1271</v>
      </c>
      <c r="D221" s="13">
        <v>1</v>
      </c>
      <c r="E221" s="22">
        <v>45993</v>
      </c>
      <c r="F221" s="34">
        <f>_xlfn.LET(
    _xlpm.baseDate, Table47[[#This Row],[Confirmed Sampling Date]] - 14,
    _xlpm.weekdayNum, WEEKDAY(_xlpm.baseDate, 2),
    IF(_xlpm.weekdayNum = 6, _xlpm.baseDate + 2, IF(_xlpm.weekdayNum = 7, _xlpm.baseDate + 1, _xlpm.baseDate))
)</f>
        <v>45979</v>
      </c>
      <c r="G221" s="13">
        <f>IFERROR(WEEKNUM(Table47[[#This Row],[Shipping Date (SD-14)]]),"TBD")</f>
        <v>47</v>
      </c>
      <c r="H221" s="13" t="str">
        <f>IFERROR(TEXT(Table47[[#This Row],[Shipping Date (SD-14)]],"yyyy-mm"),"TBD")</f>
        <v>2025-11</v>
      </c>
      <c r="I221" s="13" t="s">
        <v>677</v>
      </c>
      <c r="J221" s="13" t="str">
        <f>IFERROR(VLOOKUP(Table47[[#This Row],[ToSite-UPSName]],Table1[[#All],[Company or Name]:[Delivery Address]],15,FALSE),"")</f>
        <v>Frankfurt WWTP</v>
      </c>
      <c r="K221" s="13" t="str">
        <f>IFERROR(VLOOKUP(Table47[[#This Row],[ToSite-UPSName]],Table1[[#All],[Company or Name]:[Delivery Address]],16,FALSE),"")</f>
        <v>Frankfurt Airport</v>
      </c>
      <c r="L221" s="13" t="str">
        <f>IFERROR(VLOOKUP(Table47[[#This Row],[ToSite-UPSName]],Table1[[#All],[Company or Name]:[Delivery Address]],17,FALSE),"")</f>
        <v>-</v>
      </c>
      <c r="M221" s="13" t="str">
        <f>IFERROR(VLOOKUP(Table47[[#This Row],[ToSite-UPSName]],Table1[[#All],[Company or Name]:[Delivery Address]],18,FALSE),"")</f>
        <v>-</v>
      </c>
      <c r="N221" s="13" t="str">
        <f>IFERROR(VLOOKUP(Table47[[#This Row],[ToSite-UPSName]],Table1[[#All],[Company or Name]:[Delivery Address]],19,FALSE),"")</f>
        <v>-</v>
      </c>
      <c r="O221" s="13"/>
      <c r="P221" s="13"/>
      <c r="Q221" s="13"/>
      <c r="R221" s="13"/>
      <c r="S221" s="13"/>
      <c r="U221" s="13" t="s">
        <v>126</v>
      </c>
      <c r="X221" s="13"/>
      <c r="Y221" s="20" t="str">
        <f>TEXT(Table47[[#This Row],[Confirmed Sampling Date]], "yyyy") &amp; "_" &amp; TEXT(Table47[[#This Row],[Confirmed Sampling Date]], "mm") &amp; "_" &amp; TEXT(Table47[[#This Row],[Confirmed Sampling Date]], "dd")</f>
        <v>2025_12_02</v>
      </c>
      <c r="Z221" s="20" t="str">
        <f>IFERROR(LEFT(J221, FIND(" ", J221) - 1), J221)</f>
        <v>Frankfurt</v>
      </c>
      <c r="AA221" s="20" t="str">
        <f>VLOOKUP(Table47[[#This Row],[ToSite-UPSName]],Table1[[Company or Name]:[NOTES]],2,FALSE)</f>
        <v>Germany</v>
      </c>
      <c r="AB221" s="20" t="str">
        <f>IFERROR(VLOOKUP(Table47[[#This Row],[ToSite-UPSName]], Table1[[#All],[Company or Name]:[Delivery Address]],20,FALSE),"")</f>
        <v>Goldsteinstraße 160, Gebäude 71 , Frankfurt am Main , 60528, Germany</v>
      </c>
      <c r="AC221" s="20" t="str">
        <f>TEXT(Table47[[#This Row],[Shipping Date (SD-14)]]+3,"YYYY-MM-DD")</f>
        <v>2025-11-21</v>
      </c>
      <c r="AD221" s="20" t="str">
        <f>_xlfn.XLOOKUP(Table47[[#This Row],[Type]],kits!C:C,kits!D:D,"",0)</f>
        <v>boxcontentlabel_template_outbound1.docx</v>
      </c>
    </row>
    <row r="222" spans="2:30" ht="14.1" customHeight="1" x14ac:dyDescent="0.25">
      <c r="B222" s="13">
        <v>109</v>
      </c>
      <c r="C222" s="14" t="s">
        <v>1271</v>
      </c>
      <c r="D222" s="13">
        <v>4</v>
      </c>
      <c r="E222" s="83">
        <v>45993</v>
      </c>
      <c r="F222" s="34">
        <f>_xlfn.LET(
    _xlpm.baseDate, Table47[[#This Row],[Confirmed Sampling Date]] - 14,
    _xlpm.weekdayNum, WEEKDAY(_xlpm.baseDate, 2),
    IF(_xlpm.weekdayNum = 6, _xlpm.baseDate + 2, IF(_xlpm.weekdayNum = 7, _xlpm.baseDate + 1, _xlpm.baseDate))
)</f>
        <v>45979</v>
      </c>
      <c r="G222" s="20">
        <f>IFERROR(WEEKNUM(Table47[[#This Row],[Shipping Date (SD-14)]]),"TBD")</f>
        <v>47</v>
      </c>
      <c r="H222" s="20" t="str">
        <f>IFERROR(TEXT(Table47[[#This Row],[Shipping Date (SD-14)]],"yyyy-mm"),"TBD")</f>
        <v>2025-11</v>
      </c>
      <c r="I222" s="13" t="s">
        <v>877</v>
      </c>
      <c r="J222" s="20" t="str">
        <f>IFERROR(VLOOKUP(Table47[[#This Row],[ToSite-UPSName]],Table1[[#All],[Company or Name]:[Delivery Address]],15,FALSE),"")</f>
        <v>Prague National Institute</v>
      </c>
      <c r="K222" s="20" t="str">
        <f>IFERROR(VLOOKUP(Table47[[#This Row],[ToSite-UPSName]],Table1[[#All],[Company or Name]:[Delivery Address]],16,FALSE),"")</f>
        <v>Prague WWTP FLOW 1</v>
      </c>
      <c r="L222" s="13" t="str">
        <f>IFERROR(VLOOKUP(Table47[[#This Row],[ToSite-UPSName]],Table1[[#All],[Company or Name]:[Delivery Address]],17,FALSE),"")</f>
        <v>Prague WWTP FLOW 2</v>
      </c>
      <c r="M222" s="20" t="str">
        <f>IFERROR(VLOOKUP(Table47[[#This Row],[ToSite-UPSName]],Table1[[#All],[Company or Name]:[Delivery Address]],18,FALSE),"")</f>
        <v>Prague Airport</v>
      </c>
      <c r="N222" s="20" t="str">
        <f>IFERROR(VLOOKUP(Table47[[#This Row],[ToSite-UPSName]],Table1[[#All],[Company or Name]:[Delivery Address]],19,FALSE),"")</f>
        <v>Prague Hospital</v>
      </c>
      <c r="O222" s="13"/>
      <c r="P222" s="20"/>
      <c r="Q222" s="20"/>
      <c r="R222" s="20"/>
      <c r="S222" s="20"/>
      <c r="T222" s="20"/>
      <c r="U222" s="13" t="s">
        <v>126</v>
      </c>
      <c r="X222" s="13"/>
      <c r="Y222" s="20" t="str">
        <f>TEXT(Table47[[#This Row],[Confirmed Sampling Date]], "yyyy") &amp; "_" &amp; TEXT(Table47[[#This Row],[Confirmed Sampling Date]], "mm") &amp; "_" &amp; TEXT(Table47[[#This Row],[Confirmed Sampling Date]], "dd")</f>
        <v>2025_12_02</v>
      </c>
      <c r="Z222" s="20" t="str">
        <f>IFERROR(LEFT(J222, FIND(" ", J222) - 1), J222)</f>
        <v>Prague</v>
      </c>
      <c r="AA222" s="20" t="str">
        <f>VLOOKUP(Table47[[#This Row],[ToSite-UPSName]],Table1[[Company or Name]:[NOTES]],2,FALSE)</f>
        <v>Czech Republic</v>
      </c>
      <c r="AB222" s="20" t="str">
        <f>IFERROR(VLOOKUP(Table47[[#This Row],[ToSite-UPSName]], Table1[[#All],[Company or Name]:[Delivery Address]],20,FALSE),"")</f>
        <v>Šrobárova 49/48, Státní zdravotní ústav, Praha, 100 00, Czech Republic</v>
      </c>
      <c r="AC222" s="20" t="str">
        <f>TEXT(Table47[[#This Row],[Shipping Date (SD-14)]]+3,"YYYY-MM-DD")</f>
        <v>2025-11-21</v>
      </c>
      <c r="AD222" s="20" t="str">
        <f>_xlfn.XLOOKUP(Table47[[#This Row],[Type]],kits!C:C,kits!D:D,"",0)</f>
        <v>boxcontentlabel_template_outbound1.docx</v>
      </c>
    </row>
    <row r="223" spans="2:30" ht="14.1" customHeight="1" x14ac:dyDescent="0.25">
      <c r="B223" s="13">
        <v>122</v>
      </c>
      <c r="C223" s="14" t="s">
        <v>1271</v>
      </c>
      <c r="D223" s="13">
        <v>2</v>
      </c>
      <c r="E223" s="34">
        <v>45993</v>
      </c>
      <c r="F223" s="34">
        <f>_xlfn.LET(
    _xlpm.baseDate, Table47[[#This Row],[Confirmed Sampling Date]] - 14,
    _xlpm.weekdayNum, WEEKDAY(_xlpm.baseDate, 2),
    IF(_xlpm.weekdayNum = 6, _xlpm.baseDate + 2, IF(_xlpm.weekdayNum = 7, _xlpm.baseDate + 1, _xlpm.baseDate))
)</f>
        <v>45979</v>
      </c>
      <c r="G223" s="20">
        <f>IFERROR(WEEKNUM(Table47[[#This Row],[Shipping Date (SD-14)]]),"TBD")</f>
        <v>47</v>
      </c>
      <c r="H223" s="20" t="str">
        <f>IFERROR(TEXT(Table47[[#This Row],[Shipping Date (SD-14)]],"yyyy-mm"),"TBD")</f>
        <v>2025-11</v>
      </c>
      <c r="I223" s="13" t="s">
        <v>779</v>
      </c>
      <c r="J223" s="20" t="str">
        <f>IFERROR(VLOOKUP(Table47[[#This Row],[ToSite-UPSName]],Table1[[#All],[Company or Name]:[Delivery Address]],15,FALSE),"")</f>
        <v>Larnaca WWTP</v>
      </c>
      <c r="K223" s="20" t="str">
        <f>IFERROR(VLOOKUP(Table47[[#This Row],[ToSite-UPSName]],Table1[[#All],[Company or Name]:[Delivery Address]],16,FALSE),"")</f>
        <v>Larnaca Airport</v>
      </c>
      <c r="L223" s="20"/>
      <c r="M223" s="20">
        <f>IFERROR(VLOOKUP(Table47[[#This Row],[ToSite-UPSName]],Table1[[#All],[Company or Name]:[Delivery Address]],18,FALSE),"")</f>
        <v>0</v>
      </c>
      <c r="N223" s="20">
        <f>IFERROR(VLOOKUP(Table47[[#This Row],[ToSite-UPSName]],Table1[[#All],[Company or Name]:[Delivery Address]],19,FALSE),"")</f>
        <v>0</v>
      </c>
      <c r="O223" s="13"/>
      <c r="P223" s="20"/>
      <c r="Q223" s="20"/>
      <c r="R223" s="20"/>
      <c r="S223" s="20"/>
      <c r="T223" s="20"/>
      <c r="U223" s="13" t="s">
        <v>126</v>
      </c>
      <c r="X223" s="13"/>
      <c r="Y223" s="20" t="str">
        <f>TEXT(Table47[[#This Row],[Confirmed Sampling Date]], "yyyy") &amp; "_" &amp; TEXT(Table47[[#This Row],[Confirmed Sampling Date]], "mm") &amp; "_" &amp; TEXT(Table47[[#This Row],[Confirmed Sampling Date]], "dd")</f>
        <v>2025_12_02</v>
      </c>
      <c r="Z223" s="20" t="str">
        <f>IFERROR(LEFT(J223, FIND(" ", J223) - 1), J223)</f>
        <v>Larnaca</v>
      </c>
      <c r="AA223" s="20" t="str">
        <f>VLOOKUP(Table47[[#This Row],[ToSite-UPSName]],Table1[[Company or Name]:[NOTES]],2,FALSE)</f>
        <v>Cyprus</v>
      </c>
      <c r="AB223" s="20" t="str">
        <f>IFERROR(VLOOKUP(Table47[[#This Row],[ToSite-UPSName]], Table1[[#All],[Company or Name]:[Delivery Address]],20,FALSE),"")</f>
        <v>Adamantiou Korai street 12, Larnaca District Local Government Organization offices, Larnaca, 6010, Cyprus</v>
      </c>
      <c r="AC223" s="20" t="str">
        <f>TEXT(Table47[[#This Row],[Shipping Date (SD-14)]]+3,"YYYY-MM-DD")</f>
        <v>2025-11-21</v>
      </c>
      <c r="AD223" s="20" t="str">
        <f>_xlfn.XLOOKUP(Table47[[#This Row],[Type]],kits!C:C,kits!D:D,"",0)</f>
        <v>boxcontentlabel_template_outbound1.docx</v>
      </c>
    </row>
    <row r="224" spans="2:30" ht="14.1" customHeight="1" x14ac:dyDescent="0.25">
      <c r="B224" s="13">
        <v>134</v>
      </c>
      <c r="C224" s="14" t="s">
        <v>1271</v>
      </c>
      <c r="D224" s="13">
        <v>2</v>
      </c>
      <c r="E224" s="83">
        <v>45993</v>
      </c>
      <c r="F224" s="34">
        <f>_xlfn.LET(
    _xlpm.baseDate, Table47[[#This Row],[Confirmed Sampling Date]] - 14,
    _xlpm.weekdayNum, WEEKDAY(_xlpm.baseDate, 2),
    IF(_xlpm.weekdayNum = 6, _xlpm.baseDate + 2, IF(_xlpm.weekdayNum = 7, _xlpm.baseDate + 1, _xlpm.baseDate))
)</f>
        <v>45979</v>
      </c>
      <c r="G224" s="20">
        <f>IFERROR(WEEKNUM(Table47[[#This Row],[Shipping Date (SD-14)]]),"TBD")</f>
        <v>47</v>
      </c>
      <c r="H224" s="20" t="str">
        <f>IFERROR(TEXT(Table47[[#This Row],[Shipping Date (SD-14)]],"yyyy-mm"),"TBD")</f>
        <v>2025-11</v>
      </c>
      <c r="I224" s="13" t="s">
        <v>863</v>
      </c>
      <c r="J224" s="20" t="str">
        <f>IFERROR(VLOOKUP(Table47[[#This Row],[ToSite-UPSName]],Table1[[#All],[Company or Name]:[Delivery Address]],15,FALSE),"")</f>
        <v>Dusseldorf WWTP 2101</v>
      </c>
      <c r="K224" s="20" t="str">
        <f>IFERROR(VLOOKUP(Table47[[#This Row],[ToSite-UPSName]],Table1[[#All],[Company or Name]:[Delivery Address]],16,FALSE),"")</f>
        <v>Dusseldorf WWTP 601</v>
      </c>
      <c r="L224" s="20"/>
      <c r="M224" s="20">
        <f>IFERROR(VLOOKUP(Table47[[#This Row],[ToSite-UPSName]],Table1[[#All],[Company or Name]:[Delivery Address]],18,FALSE),"")</f>
        <v>0</v>
      </c>
      <c r="N224" s="20">
        <f>IFERROR(VLOOKUP(Table47[[#This Row],[ToSite-UPSName]],Table1[[#All],[Company or Name]:[Delivery Address]],19,FALSE),"")</f>
        <v>0</v>
      </c>
      <c r="O224" s="13"/>
      <c r="P224" s="20"/>
      <c r="Q224" s="20"/>
      <c r="R224" s="20"/>
      <c r="S224" s="65"/>
      <c r="T224" s="65"/>
      <c r="U224" s="13" t="s">
        <v>126</v>
      </c>
      <c r="X224" s="13"/>
      <c r="Y224" s="20" t="str">
        <f>TEXT(Table47[[#This Row],[Confirmed Sampling Date]], "yyyy") &amp; "_" &amp; TEXT(Table47[[#This Row],[Confirmed Sampling Date]], "mm") &amp; "_" &amp; TEXT(Table47[[#This Row],[Confirmed Sampling Date]], "dd")</f>
        <v>2025_12_02</v>
      </c>
      <c r="Z224" s="20" t="str">
        <f>IFERROR(LEFT(J224, FIND(" ", J224) - 1), J224)</f>
        <v>Dusseldorf</v>
      </c>
      <c r="AA224" s="20" t="str">
        <f>VLOOKUP(Table47[[#This Row],[ToSite-UPSName]],Table1[[Company or Name]:[NOTES]],2,FALSE)</f>
        <v>Germany</v>
      </c>
      <c r="AB224" s="20" t="str">
        <f>IFERROR(VLOOKUP(Table47[[#This Row],[ToSite-UPSName]], Table1[[#All],[Company or Name]:[Delivery Address]],20,FALSE),"")</f>
        <v>Auf dem Draap 15, Chemisch-Biologische Laboratorien, Dusseldorf, 40221, Germany</v>
      </c>
      <c r="AC224" s="20" t="str">
        <f>TEXT(Table47[[#This Row],[Shipping Date (SD-14)]]+3,"YYYY-MM-DD")</f>
        <v>2025-11-21</v>
      </c>
      <c r="AD224" s="20" t="str">
        <f>_xlfn.XLOOKUP(Table47[[#This Row],[Type]],kits!C:C,kits!D:D,"",0)</f>
        <v>boxcontentlabel_template_outbound1.docx</v>
      </c>
    </row>
    <row r="225" spans="2:30" ht="14.1" customHeight="1" x14ac:dyDescent="0.25">
      <c r="B225" s="13">
        <v>146</v>
      </c>
      <c r="C225" s="14" t="s">
        <v>1271</v>
      </c>
      <c r="D225" s="13">
        <v>3</v>
      </c>
      <c r="E225" s="34">
        <v>45993</v>
      </c>
      <c r="F225" s="34">
        <f>_xlfn.LET(
    _xlpm.baseDate, Table47[[#This Row],[Confirmed Sampling Date]] - 14,
    _xlpm.weekdayNum, WEEKDAY(_xlpm.baseDate, 2),
    IF(_xlpm.weekdayNum = 6, _xlpm.baseDate + 2, IF(_xlpm.weekdayNum = 7, _xlpm.baseDate + 1, _xlpm.baseDate))
)</f>
        <v>45979</v>
      </c>
      <c r="G225" s="20">
        <f>IFERROR(WEEKNUM(Table47[[#This Row],[Shipping Date (SD-14)]]),"TBD")</f>
        <v>47</v>
      </c>
      <c r="H225" s="20" t="str">
        <f>IFERROR(TEXT(Table47[[#This Row],[Shipping Date (SD-14)]],"yyyy-mm"),"TBD")</f>
        <v>2025-11</v>
      </c>
      <c r="I225" s="13" t="s">
        <v>975</v>
      </c>
      <c r="J225" s="20" t="str">
        <f>IFERROR(VLOOKUP(Table47[[#This Row],[ToSite-UPSName]],Table1[[#All],[Company or Name]:[Delivery Address]],15,FALSE),"")</f>
        <v>Vilnius WWTP</v>
      </c>
      <c r="K225" s="20" t="str">
        <f>IFERROR(VLOOKUP(Table47[[#This Row],[ToSite-UPSName]],Table1[[#All],[Company or Name]:[Delivery Address]],16,FALSE),"")</f>
        <v>Vilnius Bus Terminal</v>
      </c>
      <c r="L225" s="20"/>
      <c r="M225" s="20">
        <f>IFERROR(VLOOKUP(Table47[[#This Row],[ToSite-UPSName]],Table1[[#All],[Company or Name]:[Delivery Address]],18,FALSE),"")</f>
        <v>0</v>
      </c>
      <c r="N225" s="20">
        <f>IFERROR(VLOOKUP(Table47[[#This Row],[ToSite-UPSName]],Table1[[#All],[Company or Name]:[Delivery Address]],19,FALSE),"")</f>
        <v>0</v>
      </c>
      <c r="O225" s="13"/>
      <c r="P225" s="20"/>
      <c r="Q225" s="20"/>
      <c r="R225" s="20"/>
      <c r="S225" s="101"/>
      <c r="T225" s="101"/>
      <c r="U225" s="13" t="s">
        <v>126</v>
      </c>
      <c r="X225" s="13"/>
      <c r="Y225" s="20" t="str">
        <f>TEXT(Table47[[#This Row],[Confirmed Sampling Date]], "yyyy") &amp; "_" &amp; TEXT(Table47[[#This Row],[Confirmed Sampling Date]], "mm") &amp; "_" &amp; TEXT(Table47[[#This Row],[Confirmed Sampling Date]], "dd")</f>
        <v>2025_12_02</v>
      </c>
      <c r="Z225" s="20" t="str">
        <f>IFERROR(LEFT(J225, FIND(" ", J225) - 1), J225)</f>
        <v>Vilnius</v>
      </c>
      <c r="AA225" s="20" t="str">
        <f>VLOOKUP(Table47[[#This Row],[ToSite-UPSName]],Table1[[Company or Name]:[NOTES]],2,FALSE)</f>
        <v>Lithuania</v>
      </c>
      <c r="AB225" s="20" t="str">
        <f>IFERROR(VLOOKUP(Table47[[#This Row],[ToSite-UPSName]], Table1[[#All],[Company or Name]:[Delivery Address]],20,FALSE),"")</f>
        <v>Zolyno 36 gatve, Vilnius, 10210, Lithuania</v>
      </c>
      <c r="AC225" s="20" t="str">
        <f>TEXT(Table47[[#This Row],[Shipping Date (SD-14)]]+3,"YYYY-MM-DD")</f>
        <v>2025-11-21</v>
      </c>
      <c r="AD225" s="20" t="str">
        <f>_xlfn.XLOOKUP(Table47[[#This Row],[Type]],kits!C:C,kits!D:D,"",0)</f>
        <v>boxcontentlabel_template_outbound1.docx</v>
      </c>
    </row>
    <row r="226" spans="2:30" ht="14.1" customHeight="1" x14ac:dyDescent="0.25">
      <c r="B226" s="13">
        <v>174</v>
      </c>
      <c r="C226" s="14" t="s">
        <v>1271</v>
      </c>
      <c r="D226" s="13">
        <v>1</v>
      </c>
      <c r="E226" s="34">
        <v>45993</v>
      </c>
      <c r="F226" s="34">
        <f>_xlfn.LET(
    _xlpm.baseDate, Table47[[#This Row],[Confirmed Sampling Date]] - 14,
    _xlpm.weekdayNum, WEEKDAY(_xlpm.baseDate, 2),
    IF(_xlpm.weekdayNum = 6, _xlpm.baseDate + 2, IF(_xlpm.weekdayNum = 7, _xlpm.baseDate + 1, _xlpm.baseDate))
)</f>
        <v>45979</v>
      </c>
      <c r="G226" s="20">
        <f>IFERROR(WEEKNUM(Table47[[#This Row],[Shipping Date (SD-14)]]),"TBD")</f>
        <v>47</v>
      </c>
      <c r="H226" s="20" t="str">
        <f>IFERROR(TEXT(Table47[[#This Row],[Shipping Date (SD-14)]],"yyyy-mm"),"TBD")</f>
        <v>2025-11</v>
      </c>
      <c r="I226" s="78" t="s">
        <v>1125</v>
      </c>
      <c r="J226" s="20" t="str">
        <f>IFERROR(VLOOKUP(Table47[[#This Row],[ToSite-UPSName]],Table1[[#All],[Company or Name]:[Delivery Address]],15,FALSE),"")</f>
        <v>Cluj-SCBI</v>
      </c>
      <c r="K226" s="20" t="str">
        <f>IFERROR(VLOOKUP(Table47[[#This Row],[ToSite-UPSName]],Table1[[#All],[Company or Name]:[Delivery Address]],16,FALSE),"")</f>
        <v>-</v>
      </c>
      <c r="L226" s="20"/>
      <c r="M226" s="20" t="str">
        <f>IFERROR(VLOOKUP(Table47[[#This Row],[ToSite-UPSName]],Table1[[#All],[Company or Name]:[Delivery Address]],18,FALSE),"")</f>
        <v>-</v>
      </c>
      <c r="N226" s="20" t="str">
        <f>IFERROR(VLOOKUP(Table47[[#This Row],[ToSite-UPSName]],Table1[[#All],[Company or Name]:[Delivery Address]],19,FALSE),"")</f>
        <v>-</v>
      </c>
      <c r="O226" s="13"/>
      <c r="P226" s="20"/>
      <c r="Q226" s="20"/>
      <c r="R226" s="20"/>
      <c r="S226" s="65"/>
      <c r="T226" s="65"/>
      <c r="U226" s="13" t="s">
        <v>126</v>
      </c>
      <c r="X226" s="13"/>
      <c r="Y226" s="20" t="str">
        <f>TEXT(Table47[[#This Row],[Confirmed Sampling Date]], "yyyy") &amp; "_" &amp; TEXT(Table47[[#This Row],[Confirmed Sampling Date]], "mm") &amp; "_" &amp; TEXT(Table47[[#This Row],[Confirmed Sampling Date]], "dd")</f>
        <v>2025_12_02</v>
      </c>
      <c r="Z226" s="20" t="str">
        <f>IFERROR(LEFT(J226, FIND(" ", J226) - 1), J226)</f>
        <v>Cluj-SCBI</v>
      </c>
      <c r="AA226" s="20" t="str">
        <f>VLOOKUP(Table47[[#This Row],[ToSite-UPSName]],Table1[[Company or Name]:[NOTES]],2,FALSE)</f>
        <v>Romania</v>
      </c>
      <c r="AB226" s="20" t="str">
        <f>IFERROR(VLOOKUP(Table47[[#This Row],[ToSite-UPSName]], Table1[[#All],[Company or Name]:[Delivery Address]],20,FALSE),"")</f>
        <v>Strada Iuliu Moldovan 23, Cluj-Napoca, 400003, Romania</v>
      </c>
      <c r="AC226" s="20" t="str">
        <f>TEXT(Table47[[#This Row],[Shipping Date (SD-14)]]+3,"YYYY-MM-DD")</f>
        <v>2025-11-21</v>
      </c>
      <c r="AD226" s="20" t="str">
        <f>_xlfn.XLOOKUP(Table47[[#This Row],[Type]],kits!C:C,kits!D:D,"",0)</f>
        <v>boxcontentlabel_template_outbound1.docx</v>
      </c>
    </row>
    <row r="227" spans="2:30" ht="14.1" customHeight="1" x14ac:dyDescent="0.25">
      <c r="B227" s="13">
        <v>183</v>
      </c>
      <c r="C227" s="14" t="s">
        <v>1271</v>
      </c>
      <c r="D227" s="13">
        <v>1</v>
      </c>
      <c r="E227" s="34">
        <v>45993</v>
      </c>
      <c r="F227" s="34">
        <f>_xlfn.LET(
    _xlpm.baseDate, Table47[[#This Row],[Confirmed Sampling Date]] - 14,
    _xlpm.weekdayNum, WEEKDAY(_xlpm.baseDate, 2),
    IF(_xlpm.weekdayNum = 6, _xlpm.baseDate + 2, IF(_xlpm.weekdayNum = 7, _xlpm.baseDate + 1, _xlpm.baseDate))
)</f>
        <v>45979</v>
      </c>
      <c r="G227" s="20">
        <f>IFERROR(WEEKNUM(Table47[[#This Row],[Shipping Date (SD-14)]]),"TBD")</f>
        <v>47</v>
      </c>
      <c r="H227" s="20" t="str">
        <f>IFERROR(TEXT(Table47[[#This Row],[Shipping Date (SD-14)]],"yyyy-mm"),"TBD")</f>
        <v>2025-11</v>
      </c>
      <c r="I227" s="78" t="s">
        <v>1132</v>
      </c>
      <c r="J227" s="20" t="str">
        <f>IFERROR(VLOOKUP(Table47[[#This Row],[ToSite-UPSName]],Table1[[#All],[Company or Name]:[Delivery Address]],15,FALSE),"")</f>
        <v>Cluj-MNC</v>
      </c>
      <c r="K227" s="20" t="str">
        <f>IFERROR(VLOOKUP(Table47[[#This Row],[ToSite-UPSName]],Table1[[#All],[Company or Name]:[Delivery Address]],16,FALSE),"")</f>
        <v>-</v>
      </c>
      <c r="L227" s="20"/>
      <c r="M227" s="20" t="str">
        <f>IFERROR(VLOOKUP(Table47[[#This Row],[ToSite-UPSName]],Table1[[#All],[Company or Name]:[Delivery Address]],18,FALSE),"")</f>
        <v>-</v>
      </c>
      <c r="N227" s="20" t="str">
        <f>IFERROR(VLOOKUP(Table47[[#This Row],[ToSite-UPSName]],Table1[[#All],[Company or Name]:[Delivery Address]],19,FALSE),"")</f>
        <v>-</v>
      </c>
      <c r="O227" s="13"/>
      <c r="P227" s="20"/>
      <c r="Q227" s="20"/>
      <c r="R227" s="20"/>
      <c r="S227" s="65"/>
      <c r="T227" s="65"/>
      <c r="U227" s="13" t="s">
        <v>126</v>
      </c>
      <c r="X227" s="13"/>
      <c r="Y227" s="20" t="str">
        <f>TEXT(Table47[[#This Row],[Confirmed Sampling Date]], "yyyy") &amp; "_" &amp; TEXT(Table47[[#This Row],[Confirmed Sampling Date]], "mm") &amp; "_" &amp; TEXT(Table47[[#This Row],[Confirmed Sampling Date]], "dd")</f>
        <v>2025_12_02</v>
      </c>
      <c r="Z227" s="20" t="str">
        <f>IFERROR(LEFT(J227, FIND(" ", J227) - 1), J227)</f>
        <v>Cluj-MNC</v>
      </c>
      <c r="AA227" s="20" t="str">
        <f>VLOOKUP(Table47[[#This Row],[ToSite-UPSName]],Table1[[Company or Name]:[NOTES]],2,FALSE)</f>
        <v>Romania</v>
      </c>
      <c r="AB227" s="20" t="str">
        <f>IFERROR(VLOOKUP(Table47[[#This Row],[ToSite-UPSName]], Table1[[#All],[Company or Name]:[Delivery Address]],20,FALSE),"")</f>
        <v>Strada Tăbăcarilor 11, Cluj-Napoca, 400139, Romania</v>
      </c>
      <c r="AC227" s="20" t="str">
        <f>TEXT(Table47[[#This Row],[Shipping Date (SD-14)]]+3,"YYYY-MM-DD")</f>
        <v>2025-11-21</v>
      </c>
      <c r="AD227" s="20" t="str">
        <f>_xlfn.XLOOKUP(Table47[[#This Row],[Type]],kits!C:C,kits!D:D,"",0)</f>
        <v>boxcontentlabel_template_outbound1.docx</v>
      </c>
    </row>
    <row r="228" spans="2:30" ht="14.1" customHeight="1" x14ac:dyDescent="0.25">
      <c r="B228" s="13">
        <v>245</v>
      </c>
      <c r="C228" s="14" t="s">
        <v>1271</v>
      </c>
      <c r="D228" s="13">
        <v>2</v>
      </c>
      <c r="E228" s="34">
        <v>45993</v>
      </c>
      <c r="F228" s="34">
        <f>_xlfn.LET(
    _xlpm.baseDate, Table47[[#This Row],[Confirmed Sampling Date]] - 14,
    _xlpm.weekdayNum, WEEKDAY(_xlpm.baseDate, 2),
    IF(_xlpm.weekdayNum = 6, _xlpm.baseDate + 2, IF(_xlpm.weekdayNum = 7, _xlpm.baseDate + 1, _xlpm.baseDate))
)</f>
        <v>45979</v>
      </c>
      <c r="G228" s="20">
        <f>IFERROR(WEEKNUM(Table47[[#This Row],[Shipping Date (SD-14)]]),"TBD")</f>
        <v>47</v>
      </c>
      <c r="H228" s="20" t="str">
        <f>IFERROR(TEXT(Table47[[#This Row],[Shipping Date (SD-14)]],"yyyy-mm"),"TBD")</f>
        <v>2025-11</v>
      </c>
      <c r="I228" s="13" t="s">
        <v>637</v>
      </c>
      <c r="J228" s="20" t="str">
        <f>IFERROR(VLOOKUP(Table47[[#This Row],[ToSite-UPSName]],Table1[[#All],[Company or Name]:[Delivery Address]],15,FALSE),"")</f>
        <v>Luxembourg (Beggen) WWTP</v>
      </c>
      <c r="K228" s="20" t="str">
        <f>IFERROR(VLOOKUP(Table47[[#This Row],[ToSite-UPSName]],Table1[[#All],[Company or Name]:[Delivery Address]],16,FALSE),"")</f>
        <v>Luxembourg Airport</v>
      </c>
      <c r="L228" s="20"/>
      <c r="M228" s="20" t="str">
        <f>IFERROR(VLOOKUP(Table47[[#This Row],[ToSite-UPSName]],Table1[[#All],[Company or Name]:[Delivery Address]],18,FALSE),"")</f>
        <v>-</v>
      </c>
      <c r="N228" s="20" t="str">
        <f>IFERROR(VLOOKUP(Table47[[#This Row],[ToSite-UPSName]],Table1[[#All],[Company or Name]:[Delivery Address]],19,FALSE),"")</f>
        <v>-</v>
      </c>
      <c r="O228" s="13"/>
      <c r="P228" s="20"/>
      <c r="Q228" s="20"/>
      <c r="R228" s="20"/>
      <c r="S228" s="65"/>
      <c r="T228" s="65"/>
      <c r="U228" s="13" t="s">
        <v>126</v>
      </c>
      <c r="X228" s="13"/>
      <c r="Y228" s="20" t="str">
        <f>TEXT(Table47[[#This Row],[Confirmed Sampling Date]], "yyyy") &amp; "_" &amp; TEXT(Table47[[#This Row],[Confirmed Sampling Date]], "mm") &amp; "_" &amp; TEXT(Table47[[#This Row],[Confirmed Sampling Date]], "dd")</f>
        <v>2025_12_02</v>
      </c>
      <c r="Z228" s="20" t="str">
        <f>IFERROR(LEFT(J228, FIND(" ", J228) - 1), J228)</f>
        <v>Luxembourg</v>
      </c>
      <c r="AA228" s="20" t="str">
        <f>VLOOKUP(Table47[[#This Row],[ToSite-UPSName]],Table1[[Company or Name]:[NOTES]],2,FALSE)</f>
        <v>Luxembourg</v>
      </c>
      <c r="AB228" s="20" t="str">
        <f>IFERROR(VLOOKUP(Table47[[#This Row],[ToSite-UPSName]], Table1[[#All],[Company or Name]:[Delivery Address]],20,FALSE),"")</f>
        <v>41 rue du Brill, Luxembourg, L-4422 , Luxembourg</v>
      </c>
      <c r="AC228" s="20" t="str">
        <f>TEXT(Table47[[#This Row],[Shipping Date (SD-14)]]+3,"YYYY-MM-DD")</f>
        <v>2025-11-21</v>
      </c>
      <c r="AD228" s="20" t="str">
        <f>_xlfn.XLOOKUP(Table47[[#This Row],[Type]],kits!C:C,kits!D:D,"",0)</f>
        <v>boxcontentlabel_template_outbound1.docx</v>
      </c>
    </row>
    <row r="229" spans="2:30" ht="14.1" customHeight="1" x14ac:dyDescent="0.25">
      <c r="B229" s="13">
        <v>82</v>
      </c>
      <c r="C229" s="14" t="s">
        <v>1271</v>
      </c>
      <c r="D229" s="13">
        <v>1</v>
      </c>
      <c r="E229" s="83">
        <v>45994</v>
      </c>
      <c r="F229" s="34">
        <f>_xlfn.LET(
    _xlpm.baseDate, Table47[[#This Row],[Confirmed Sampling Date]] - 14,
    _xlpm.weekdayNum, WEEKDAY(_xlpm.baseDate, 2),
    IF(_xlpm.weekdayNum = 6, _xlpm.baseDate + 2, IF(_xlpm.weekdayNum = 7, _xlpm.baseDate + 1, _xlpm.baseDate))
)</f>
        <v>45980</v>
      </c>
      <c r="G229" s="20">
        <f>IFERROR(WEEKNUM(Table47[[#This Row],[Shipping Date (SD-14)]]),"TBD")</f>
        <v>47</v>
      </c>
      <c r="H229" s="20" t="str">
        <f>IFERROR(TEXT(Table47[[#This Row],[Shipping Date (SD-14)]],"yyyy-mm"),"TBD")</f>
        <v>2025-11</v>
      </c>
      <c r="I229" s="13" t="s">
        <v>680</v>
      </c>
      <c r="J229" s="13" t="str">
        <f>IFERROR(VLOOKUP(Table47[[#This Row],[ToSite-UPSName]],Table1[[#All],[Company or Name]:[Delivery Address]],15,FALSE),"")</f>
        <v>Rome WWTP</v>
      </c>
      <c r="K229" s="20" t="str">
        <f>IFERROR(VLOOKUP(Table47[[#This Row],[ToSite-UPSName]],Table1[[#All],[Company or Name]:[Delivery Address]],16,FALSE),"")</f>
        <v>-</v>
      </c>
      <c r="L229" s="13" t="str">
        <f>IFERROR(VLOOKUP(Table47[[#This Row],[ToSite-UPSName]],Table1[[#All],[Company or Name]:[Delivery Address]],17,FALSE),"")</f>
        <v>-</v>
      </c>
      <c r="M229" s="20" t="str">
        <f>IFERROR(VLOOKUP(Table47[[#This Row],[ToSite-UPSName]],Table1[[#All],[Company or Name]:[Delivery Address]],18,FALSE),"")</f>
        <v>-</v>
      </c>
      <c r="N229" s="20" t="str">
        <f>IFERROR(VLOOKUP(Table47[[#This Row],[ToSite-UPSName]],Table1[[#All],[Company or Name]:[Delivery Address]],19,FALSE),"")</f>
        <v>-</v>
      </c>
      <c r="O229" s="13"/>
      <c r="P229" s="20"/>
      <c r="Q229" s="20"/>
      <c r="R229" s="20"/>
      <c r="S229" s="20"/>
      <c r="T229" s="20"/>
      <c r="U229" s="13" t="s">
        <v>126</v>
      </c>
      <c r="X229" s="13"/>
      <c r="Y229" s="20" t="str">
        <f>TEXT(Table47[[#This Row],[Confirmed Sampling Date]], "yyyy") &amp; "_" &amp; TEXT(Table47[[#This Row],[Confirmed Sampling Date]], "mm") &amp; "_" &amp; TEXT(Table47[[#This Row],[Confirmed Sampling Date]], "dd")</f>
        <v>2025_12_03</v>
      </c>
      <c r="Z229" s="20" t="str">
        <f>IFERROR(LEFT(J229, FIND(" ", J229) - 1), J229)</f>
        <v>Rome</v>
      </c>
      <c r="AA229" s="20" t="str">
        <f>VLOOKUP(Table47[[#This Row],[ToSite-UPSName]],Table1[[Company or Name]:[NOTES]],2,FALSE)</f>
        <v>Italy</v>
      </c>
      <c r="AB229" s="20" t="str">
        <f>IFERROR(VLOOKUP(Table47[[#This Row],[ToSite-UPSName]], Table1[[#All],[Company or Name]:[Delivery Address]],20,FALSE),"")</f>
        <v>Via dell'Equitazione 10, Rome, 00144, Italy</v>
      </c>
      <c r="AC229" s="20" t="str">
        <f>TEXT(Table47[[#This Row],[Shipping Date (SD-14)]]+3,"YYYY-MM-DD")</f>
        <v>2025-11-22</v>
      </c>
      <c r="AD229" s="20" t="str">
        <f>_xlfn.XLOOKUP(Table47[[#This Row],[Type]],kits!C:C,kits!D:D,"",0)</f>
        <v>boxcontentlabel_template_outbound1.docx</v>
      </c>
    </row>
    <row r="230" spans="2:30" ht="14.1" customHeight="1" x14ac:dyDescent="0.25">
      <c r="B230" s="13">
        <v>96</v>
      </c>
      <c r="C230" s="14" t="s">
        <v>1271</v>
      </c>
      <c r="D230" s="13">
        <v>1</v>
      </c>
      <c r="E230" s="83">
        <v>45994</v>
      </c>
      <c r="F230" s="34">
        <f>_xlfn.LET(
    _xlpm.baseDate, Table47[[#This Row],[Confirmed Sampling Date]] - 14,
    _xlpm.weekdayNum, WEEKDAY(_xlpm.baseDate, 2),
    IF(_xlpm.weekdayNum = 6, _xlpm.baseDate + 2, IF(_xlpm.weekdayNum = 7, _xlpm.baseDate + 1, _xlpm.baseDate))
)</f>
        <v>45980</v>
      </c>
      <c r="G230" s="20">
        <f>IFERROR(WEEKNUM(Table47[[#This Row],[Shipping Date (SD-14)]]),"TBD")</f>
        <v>47</v>
      </c>
      <c r="H230" s="20" t="str">
        <f>IFERROR(TEXT(Table47[[#This Row],[Shipping Date (SD-14)]],"yyyy-mm"),"TBD")</f>
        <v>2025-11</v>
      </c>
      <c r="I230" s="13" t="s">
        <v>771</v>
      </c>
      <c r="J230" s="20" t="str">
        <f>IFERROR(VLOOKUP(Table47[[#This Row],[ToSite-UPSName]],Table1[[#All],[Company or Name]:[Delivery Address]],15,FALSE),"")</f>
        <v>RomeAirport</v>
      </c>
      <c r="K230" s="20" t="str">
        <f>IFERROR(VLOOKUP(Table47[[#This Row],[ToSite-UPSName]],Table1[[#All],[Company or Name]:[Delivery Address]],16,FALSE),"")</f>
        <v>-</v>
      </c>
      <c r="L230" s="13" t="str">
        <f>IFERROR(VLOOKUP(Table47[[#This Row],[ToSite-UPSName]],Table1[[#All],[Company or Name]:[Delivery Address]],17,FALSE),"")</f>
        <v>-</v>
      </c>
      <c r="M230" s="20" t="str">
        <f>IFERROR(VLOOKUP(Table47[[#This Row],[ToSite-UPSName]],Table1[[#All],[Company or Name]:[Delivery Address]],18,FALSE),"")</f>
        <v>-</v>
      </c>
      <c r="N230" s="20" t="str">
        <f>IFERROR(VLOOKUP(Table47[[#This Row],[ToSite-UPSName]],Table1[[#All],[Company or Name]:[Delivery Address]],19,FALSE),"")</f>
        <v>-</v>
      </c>
      <c r="O230" s="13"/>
      <c r="P230" s="20"/>
      <c r="Q230" s="20"/>
      <c r="R230" s="20"/>
      <c r="S230" s="20"/>
      <c r="T230" s="20"/>
      <c r="U230" s="13" t="s">
        <v>126</v>
      </c>
      <c r="X230" s="13"/>
      <c r="Y230" s="20" t="str">
        <f>TEXT(Table47[[#This Row],[Confirmed Sampling Date]], "yyyy") &amp; "_" &amp; TEXT(Table47[[#This Row],[Confirmed Sampling Date]], "mm") &amp; "_" &amp; TEXT(Table47[[#This Row],[Confirmed Sampling Date]], "dd")</f>
        <v>2025_12_03</v>
      </c>
      <c r="Z230" s="20" t="str">
        <f>IFERROR(LEFT(J230, FIND(" ", J230) - 1), J230)</f>
        <v>RomeAirport</v>
      </c>
      <c r="AA230" s="20" t="str">
        <f>VLOOKUP(Table47[[#This Row],[ToSite-UPSName]],Table1[[Company or Name]:[NOTES]],2,FALSE)</f>
        <v>Italy</v>
      </c>
      <c r="AB230" s="20" t="str">
        <f>IFERROR(VLOOKUP(Table47[[#This Row],[ToSite-UPSName]], Table1[[#All],[Company or Name]:[Delivery Address]],20,FALSE),"")</f>
        <v>VIA FRATELLI WRIGHT (DEPURATORE BIOLOGICO), FIUMICINO, 00054, Italy</v>
      </c>
      <c r="AC230" s="20" t="str">
        <f>TEXT(Table47[[#This Row],[Shipping Date (SD-14)]]+3,"YYYY-MM-DD")</f>
        <v>2025-11-22</v>
      </c>
      <c r="AD230" s="20" t="str">
        <f>_xlfn.XLOOKUP(Table47[[#This Row],[Type]],kits!C:C,kits!D:D,"",0)</f>
        <v>boxcontentlabel_template_outbound1.docx</v>
      </c>
    </row>
    <row r="231" spans="2:30" ht="14.1" customHeight="1" x14ac:dyDescent="0.25">
      <c r="B231" s="13">
        <v>156</v>
      </c>
      <c r="C231" s="14" t="s">
        <v>1271</v>
      </c>
      <c r="D231" s="13">
        <v>20</v>
      </c>
      <c r="E231" s="80">
        <v>45994</v>
      </c>
      <c r="F231" s="34">
        <f>_xlfn.LET(
    _xlpm.baseDate, Table47[[#This Row],[Confirmed Sampling Date]] - 14,
    _xlpm.weekdayNum, WEEKDAY(_xlpm.baseDate, 2),
    IF(_xlpm.weekdayNum = 6, _xlpm.baseDate + 2, IF(_xlpm.weekdayNum = 7, _xlpm.baseDate + 1, _xlpm.baseDate))
)</f>
        <v>45980</v>
      </c>
      <c r="G231" s="20">
        <f>IFERROR(WEEKNUM(Table47[[#This Row],[Shipping Date (SD-14)]]),"TBD")</f>
        <v>47</v>
      </c>
      <c r="H231" s="20" t="str">
        <f>IFERROR(TEXT(Table47[[#This Row],[Shipping Date (SD-14)]],"yyyy-mm"),"TBD")</f>
        <v>2025-11</v>
      </c>
      <c r="I231" s="78" t="s">
        <v>1628</v>
      </c>
      <c r="J231" s="20" t="str">
        <f>IFERROR(VLOOKUP(Table47[[#This Row],[ToSite-UPSName]],Table1[[#All],[Company or Name]:[Delivery Address]],15,FALSE),"")</f>
        <v>Funchal WWTP</v>
      </c>
      <c r="K231" s="20" t="str">
        <f>IFERROR(VLOOKUP(Table47[[#This Row],[ToSite-UPSName]],Table1[[#All],[Company or Name]:[Delivery Address]],16,FALSE),"")</f>
        <v>Madeira, 10 locations</v>
      </c>
      <c r="L231" s="20"/>
      <c r="M231" s="20">
        <f>IFERROR(VLOOKUP(Table47[[#This Row],[ToSite-UPSName]],Table1[[#All],[Company or Name]:[Delivery Address]],18,FALSE),"")</f>
        <v>0</v>
      </c>
      <c r="N231" s="20">
        <f>IFERROR(VLOOKUP(Table47[[#This Row],[ToSite-UPSName]],Table1[[#All],[Company or Name]:[Delivery Address]],19,FALSE),"")</f>
        <v>0</v>
      </c>
      <c r="O231" s="13"/>
      <c r="P231" s="20"/>
      <c r="Q231" s="20"/>
      <c r="R231" s="20"/>
      <c r="S231" s="20"/>
      <c r="T231" s="20"/>
      <c r="U231" s="13" t="s">
        <v>126</v>
      </c>
      <c r="X231" s="13"/>
      <c r="Y231" s="20" t="str">
        <f>TEXT(Table47[[#This Row],[Confirmed Sampling Date]], "yyyy") &amp; "_" &amp; TEXT(Table47[[#This Row],[Confirmed Sampling Date]], "mm") &amp; "_" &amp; TEXT(Table47[[#This Row],[Confirmed Sampling Date]], "dd")</f>
        <v>2025_12_03</v>
      </c>
      <c r="Z231" s="20" t="str">
        <f>IFERROR(LEFT(J231, FIND(" ", J231) - 1), J231)</f>
        <v>Funchal</v>
      </c>
      <c r="AA231" s="20" t="str">
        <f>VLOOKUP(Table47[[#This Row],[ToSite-UPSName]],Table1[[Company or Name]:[NOTES]],2,FALSE)</f>
        <v>Portugal</v>
      </c>
      <c r="AB231" s="20" t="str">
        <f>IFERROR(VLOOKUP(Table47[[#This Row],[ToSite-UPSName]], Table1[[#All],[Company or Name]:[Delivery Address]],20,FALSE),"")</f>
        <v>R. do Matadouro 4, Funchal, 9050-100, Portugal</v>
      </c>
      <c r="AC231" s="20" t="str">
        <f>TEXT(Table47[[#This Row],[Shipping Date (SD-14)]]+3,"YYYY-MM-DD")</f>
        <v>2025-11-22</v>
      </c>
      <c r="AD231" s="20" t="str">
        <f>_xlfn.XLOOKUP(Table47[[#This Row],[Type]],kits!C:C,kits!D:D,"",0)</f>
        <v>boxcontentlabel_template_outbound1.docx</v>
      </c>
    </row>
    <row r="232" spans="2:30" ht="14.1" customHeight="1" x14ac:dyDescent="0.25">
      <c r="B232" s="13">
        <v>200</v>
      </c>
      <c r="C232" s="85" t="s">
        <v>1272</v>
      </c>
      <c r="D232" s="13">
        <v>4</v>
      </c>
      <c r="E232" s="34">
        <v>45994</v>
      </c>
      <c r="F232" s="34">
        <f>_xlfn.LET(
    _xlpm.baseDate, Table47[[#This Row],[Confirmed Sampling Date]] - 14,
    _xlpm.weekdayNum, WEEKDAY(_xlpm.baseDate, 2),
    IF(_xlpm.weekdayNum = 6, _xlpm.baseDate + 2, IF(_xlpm.weekdayNum = 7, _xlpm.baseDate + 1, _xlpm.baseDate))
)</f>
        <v>45980</v>
      </c>
      <c r="G232" s="20">
        <f>IFERROR(WEEKNUM(Table47[[#This Row],[Shipping Date (SD-14)]]),"TBD")</f>
        <v>47</v>
      </c>
      <c r="H232" s="20" t="str">
        <f>IFERROR(TEXT(Table47[[#This Row],[Shipping Date (SD-14)]],"yyyy-mm"),"TBD")</f>
        <v>2025-11</v>
      </c>
      <c r="I232" s="13" t="s">
        <v>1628</v>
      </c>
      <c r="J232" s="20" t="str">
        <f>IFERROR(VLOOKUP(Table47[[#This Row],[ToSite-UPSName]],Table1[[#All],[Company or Name]:[Delivery Address]],15,FALSE),"")</f>
        <v>Funchal WWTP</v>
      </c>
      <c r="K232" s="20" t="str">
        <f>IFERROR(VLOOKUP(Table47[[#This Row],[ToSite-UPSName]],Table1[[#All],[Company or Name]:[Delivery Address]],16,FALSE),"")</f>
        <v>Madeira, 10 locations</v>
      </c>
      <c r="L232" s="20"/>
      <c r="M232" s="20">
        <f>IFERROR(VLOOKUP(Table47[[#This Row],[ToSite-UPSName]],Table1[[#All],[Company or Name]:[Delivery Address]],18,FALSE),"")</f>
        <v>0</v>
      </c>
      <c r="N232" s="20">
        <f>IFERROR(VLOOKUP(Table47[[#This Row],[ToSite-UPSName]],Table1[[#All],[Company or Name]:[Delivery Address]],19,FALSE),"")</f>
        <v>0</v>
      </c>
      <c r="O232" s="13"/>
      <c r="P232" s="20"/>
      <c r="Q232" s="20"/>
      <c r="R232" s="20"/>
      <c r="S232" s="101"/>
      <c r="T232" s="101"/>
      <c r="U232" s="13" t="s">
        <v>126</v>
      </c>
      <c r="X232" s="13"/>
      <c r="Y232" s="20" t="str">
        <f>TEXT(Table47[[#This Row],[Confirmed Sampling Date]], "yyyy") &amp; "_" &amp; TEXT(Table47[[#This Row],[Confirmed Sampling Date]], "mm") &amp; "_" &amp; TEXT(Table47[[#This Row],[Confirmed Sampling Date]], "dd")</f>
        <v>2025_12_03</v>
      </c>
      <c r="Z232" s="20" t="str">
        <f>IFERROR(LEFT(J232, FIND(" ", J232) - 1), J232)</f>
        <v>Funchal</v>
      </c>
      <c r="AA232" s="20" t="str">
        <f>VLOOKUP(Table47[[#This Row],[ToSite-UPSName]],Table1[[Company or Name]:[NOTES]],2,FALSE)</f>
        <v>Portugal</v>
      </c>
      <c r="AB232" s="20" t="str">
        <f>IFERROR(VLOOKUP(Table47[[#This Row],[ToSite-UPSName]], Table1[[#All],[Company or Name]:[Delivery Address]],20,FALSE),"")</f>
        <v>R. do Matadouro 4, Funchal, 9050-100, Portugal</v>
      </c>
      <c r="AC232" s="20" t="str">
        <f>TEXT(Table47[[#This Row],[Shipping Date (SD-14)]]+3,"YYYY-MM-DD")</f>
        <v>2025-11-22</v>
      </c>
      <c r="AD232" s="20" t="str">
        <f>_xlfn.XLOOKUP(Table47[[#This Row],[Type]],kits!C:C,kits!D:D,"",0)</f>
        <v>boxcontentlabel_template_outbound2.docx</v>
      </c>
    </row>
    <row r="233" spans="2:30" ht="14.1" customHeight="1" x14ac:dyDescent="0.25">
      <c r="B233" s="13">
        <v>225</v>
      </c>
      <c r="C233" s="14" t="s">
        <v>1271</v>
      </c>
      <c r="D233" s="13">
        <v>2</v>
      </c>
      <c r="E233" s="83">
        <v>45994</v>
      </c>
      <c r="F233" s="34">
        <f>_xlfn.LET(
    _xlpm.baseDate, Table47[[#This Row],[Confirmed Sampling Date]] - 14,
    _xlpm.weekdayNum, WEEKDAY(_xlpm.baseDate, 2),
    IF(_xlpm.weekdayNum = 6, _xlpm.baseDate + 2, IF(_xlpm.weekdayNum = 7, _xlpm.baseDate + 1, _xlpm.baseDate))
)</f>
        <v>45980</v>
      </c>
      <c r="G233" s="20">
        <f>IFERROR(WEEKNUM(Table47[[#This Row],[Shipping Date (SD-14)]]),"TBD")</f>
        <v>47</v>
      </c>
      <c r="H233" s="20" t="str">
        <f>IFERROR(TEXT(Table47[[#This Row],[Shipping Date (SD-14)]],"yyyy-mm"),"TBD")</f>
        <v>2025-11</v>
      </c>
      <c r="I233" s="13" t="s">
        <v>1590</v>
      </c>
      <c r="J233" s="20" t="str">
        <f>IFERROR(VLOOKUP(Table47[[#This Row],[ToSite-UPSName]],Table1[[#All],[Company or Name]:[Delivery Address]],15,FALSE),"")</f>
        <v>Àthens WWTP</v>
      </c>
      <c r="K233" s="20" t="str">
        <f>IFERROR(VLOOKUP(Table47[[#This Row],[ToSite-UPSName]],Table1[[#All],[Company or Name]:[Delivery Address]],16,FALSE),"")</f>
        <v>Athens Airport</v>
      </c>
      <c r="L233" s="20"/>
      <c r="M233" s="20" t="str">
        <f>IFERROR(VLOOKUP(Table47[[#This Row],[ToSite-UPSName]],Table1[[#All],[Company or Name]:[Delivery Address]],18,FALSE),"")</f>
        <v>-</v>
      </c>
      <c r="N233" s="20" t="str">
        <f>IFERROR(VLOOKUP(Table47[[#This Row],[ToSite-UPSName]],Table1[[#All],[Company or Name]:[Delivery Address]],19,FALSE),"")</f>
        <v>-</v>
      </c>
      <c r="O233" s="13"/>
      <c r="P233" s="20"/>
      <c r="Q233" s="20"/>
      <c r="R233" s="20"/>
      <c r="S233" s="65"/>
      <c r="T233" s="65"/>
      <c r="U233" s="13" t="s">
        <v>126</v>
      </c>
      <c r="X233" s="13"/>
      <c r="Y233" s="20" t="str">
        <f>TEXT(Table47[[#This Row],[Confirmed Sampling Date]], "yyyy") &amp; "_" &amp; TEXT(Table47[[#This Row],[Confirmed Sampling Date]], "mm") &amp; "_" &amp; TEXT(Table47[[#This Row],[Confirmed Sampling Date]], "dd")</f>
        <v>2025_12_03</v>
      </c>
      <c r="Z233" s="20" t="str">
        <f>IFERROR(LEFT(J233, FIND(" ", J233) - 1), J233)</f>
        <v>Àthens</v>
      </c>
      <c r="AA233" s="20" t="str">
        <f>VLOOKUP(Table47[[#This Row],[ToSite-UPSName]],Table1[[Company or Name]:[NOTES]],2,FALSE)</f>
        <v>Greece</v>
      </c>
      <c r="AB233" s="20" t="str">
        <f>IFERROR(VLOOKUP(Table47[[#This Row],[ToSite-UPSName]], Table1[[#All],[Company or Name]:[Delivery Address]],20,FALSE),"")</f>
        <v>Zografou, 4ος όροφος, εργαστήριο αριθμός 8, Athens,  157 71, Greece</v>
      </c>
      <c r="AC233" s="20" t="str">
        <f>TEXT(Table47[[#This Row],[Shipping Date (SD-14)]]+3,"YYYY-MM-DD")</f>
        <v>2025-11-22</v>
      </c>
      <c r="AD233" s="20" t="str">
        <f>_xlfn.XLOOKUP(Table47[[#This Row],[Type]],kits!C:C,kits!D:D,"",0)</f>
        <v>boxcontentlabel_template_outbound1.docx</v>
      </c>
    </row>
    <row r="234" spans="2:30" ht="14.1" customHeight="1" x14ac:dyDescent="0.25">
      <c r="B234" s="13">
        <v>232</v>
      </c>
      <c r="C234" s="14" t="s">
        <v>1271</v>
      </c>
      <c r="D234" s="13">
        <v>2</v>
      </c>
      <c r="E234" s="83">
        <v>45995</v>
      </c>
      <c r="F234" s="34">
        <f>_xlfn.LET(
    _xlpm.baseDate, Table47[[#This Row],[Confirmed Sampling Date]] - 14,
    _xlpm.weekdayNum, WEEKDAY(_xlpm.baseDate, 2),
    IF(_xlpm.weekdayNum = 6, _xlpm.baseDate + 2, IF(_xlpm.weekdayNum = 7, _xlpm.baseDate + 1, _xlpm.baseDate))
)</f>
        <v>45981</v>
      </c>
      <c r="G234" s="20">
        <f>IFERROR(WEEKNUM(Table47[[#This Row],[Shipping Date (SD-14)]]),"TBD")</f>
        <v>47</v>
      </c>
      <c r="H234" s="20" t="str">
        <f>IFERROR(TEXT(Table47[[#This Row],[Shipping Date (SD-14)]],"yyyy-mm"),"TBD")</f>
        <v>2025-11</v>
      </c>
      <c r="I234" s="13" t="s">
        <v>1598</v>
      </c>
      <c r="J234" s="20" t="str">
        <f>IFERROR(VLOOKUP(Table47[[#This Row],[ToSite-UPSName]],Table1[[#All],[Company or Name]:[Delivery Address]],15,FALSE),"")</f>
        <v>Heraklion WWTP</v>
      </c>
      <c r="K234" s="20" t="str">
        <f>IFERROR(VLOOKUP(Table47[[#This Row],[ToSite-UPSName]],Table1[[#All],[Company or Name]:[Delivery Address]],16,FALSE),"")</f>
        <v>Heraklion Airport</v>
      </c>
      <c r="L234" s="20"/>
      <c r="M234" s="20" t="str">
        <f>IFERROR(VLOOKUP(Table47[[#This Row],[ToSite-UPSName]],Table1[[#All],[Company or Name]:[Delivery Address]],18,FALSE),"")</f>
        <v>-</v>
      </c>
      <c r="N234" s="20" t="str">
        <f>IFERROR(VLOOKUP(Table47[[#This Row],[ToSite-UPSName]],Table1[[#All],[Company or Name]:[Delivery Address]],19,FALSE),"")</f>
        <v>-</v>
      </c>
      <c r="O234" s="13"/>
      <c r="P234" s="20"/>
      <c r="Q234" s="20"/>
      <c r="R234" s="20"/>
      <c r="S234" s="65"/>
      <c r="T234" s="65"/>
      <c r="U234" s="13" t="s">
        <v>126</v>
      </c>
      <c r="X234" s="13"/>
      <c r="Y234" s="20" t="str">
        <f>TEXT(Table47[[#This Row],[Confirmed Sampling Date]], "yyyy") &amp; "_" &amp; TEXT(Table47[[#This Row],[Confirmed Sampling Date]], "mm") &amp; "_" &amp; TEXT(Table47[[#This Row],[Confirmed Sampling Date]], "dd")</f>
        <v>2025_12_04</v>
      </c>
      <c r="Z234" s="20" t="str">
        <f>IFERROR(LEFT(J234, FIND(" ", J234) - 1), J234)</f>
        <v>Heraklion</v>
      </c>
      <c r="AA234" s="20" t="str">
        <f>VLOOKUP(Table47[[#This Row],[ToSite-UPSName]],Table1[[Company or Name]:[NOTES]],2,FALSE)</f>
        <v>Greece</v>
      </c>
      <c r="AB234" s="20" t="str">
        <f>IFERROR(VLOOKUP(Table47[[#This Row],[ToSite-UPSName]], Table1[[#All],[Company or Name]:[Delivery Address]],20,FALSE),"")</f>
        <v>Andrea Kalokerinou 13, Pteryga 3D, Giofirakia, 715 00, Greece</v>
      </c>
      <c r="AC234" s="20" t="str">
        <f>TEXT(Table47[[#This Row],[Shipping Date (SD-14)]]+3,"YYYY-MM-DD")</f>
        <v>2025-11-23</v>
      </c>
      <c r="AD234" s="20" t="str">
        <f>_xlfn.XLOOKUP(Table47[[#This Row],[Type]],kits!C:C,kits!D:D,"",0)</f>
        <v>boxcontentlabel_template_outbound1.docx</v>
      </c>
    </row>
    <row r="235" spans="2:30" ht="14.1" customHeight="1" x14ac:dyDescent="0.25">
      <c r="B235" s="13">
        <v>14</v>
      </c>
      <c r="C235" s="14" t="s">
        <v>1271</v>
      </c>
      <c r="D235" s="13">
        <v>2</v>
      </c>
      <c r="E235" s="22">
        <v>46005</v>
      </c>
      <c r="F235" s="34">
        <f>_xlfn.LET(
    _xlpm.baseDate, Table47[[#This Row],[Confirmed Sampling Date]] - 14,
    _xlpm.weekdayNum, WEEKDAY(_xlpm.baseDate, 2),
    IF(_xlpm.weekdayNum = 6, _xlpm.baseDate + 2, IF(_xlpm.weekdayNum = 7, _xlpm.baseDate + 1, _xlpm.baseDate))
)</f>
        <v>45992</v>
      </c>
      <c r="G235" s="13">
        <f>IFERROR(WEEKNUM(Table47[[#This Row],[Shipping Date (SD-14)]]),"TBD")</f>
        <v>49</v>
      </c>
      <c r="H235" s="13" t="str">
        <f>IFERROR(TEXT(Table47[[#This Row],[Shipping Date (SD-14)]],"yyyy-mm"),"TBD")</f>
        <v>2025-12</v>
      </c>
      <c r="I235" s="13" t="s">
        <v>13</v>
      </c>
      <c r="J235" s="13" t="str">
        <f>IFERROR(VLOOKUP(Table47[[#This Row],[ToSite-UPSName]],Table1[[#All],[Company or Name]:[Delivery Address]],15,FALSE),"")</f>
        <v>Berlin (Schoenefeld) WWTP</v>
      </c>
      <c r="K235" s="13" t="str">
        <f>IFERROR(VLOOKUP(Table47[[#This Row],[ToSite-UPSName]],Table1[[#All],[Company or Name]:[Delivery Address]],16,FALSE),"")</f>
        <v>Berlin Airport</v>
      </c>
      <c r="L235" s="13" t="str">
        <f>IFERROR(VLOOKUP(Table47[[#This Row],[ToSite-UPSName]],Table1[[#All],[Company or Name]:[Delivery Address]],17,FALSE),"")</f>
        <v>-</v>
      </c>
      <c r="M235" s="13" t="str">
        <f>IFERROR(VLOOKUP(Table47[[#This Row],[ToSite-UPSName]],Table1[[#All],[Company or Name]:[Delivery Address]],18,FALSE),"")</f>
        <v>-</v>
      </c>
      <c r="N235" s="13" t="str">
        <f>IFERROR(VLOOKUP(Table47[[#This Row],[ToSite-UPSName]],Table1[[#All],[Company or Name]:[Delivery Address]],19,FALSE),"")</f>
        <v>-</v>
      </c>
      <c r="O235" s="13"/>
      <c r="P235" s="13"/>
      <c r="Q235" s="13"/>
      <c r="R235" s="13"/>
      <c r="S235" s="13"/>
      <c r="U235" s="13" t="s">
        <v>126</v>
      </c>
      <c r="X235" s="13"/>
      <c r="Y235" s="20" t="str">
        <f>TEXT(Table47[[#This Row],[Confirmed Sampling Date]], "yyyy") &amp; "_" &amp; TEXT(Table47[[#This Row],[Confirmed Sampling Date]], "mm") &amp; "_" &amp; TEXT(Table47[[#This Row],[Confirmed Sampling Date]], "dd")</f>
        <v>2025_12_14</v>
      </c>
      <c r="Z235" s="20" t="str">
        <f>IFERROR(LEFT(J235, FIND(" ", J235) - 1), J235)</f>
        <v>Berlin</v>
      </c>
      <c r="AA235" s="20" t="str">
        <f>VLOOKUP(Table47[[#This Row],[ToSite-UPSName]],Table1[[Company or Name]:[NOTES]],2,FALSE)</f>
        <v>Germany</v>
      </c>
      <c r="AB235" s="20" t="str">
        <f>IFERROR(VLOOKUP(Table47[[#This Row],[ToSite-UPSName]], Table1[[#All],[Company or Name]:[Delivery Address]],20,FALSE),"")</f>
        <v>Strasse am Klarwerk 4, Klarwerk Wassmannsdorf, Schoenefeld, 12529, Germany</v>
      </c>
      <c r="AC235" s="20" t="str">
        <f>TEXT(Table47[[#This Row],[Shipping Date (SD-14)]]+3,"YYYY-MM-DD")</f>
        <v>2025-12-04</v>
      </c>
      <c r="AD235" s="20" t="str">
        <f>_xlfn.XLOOKUP(Table47[[#This Row],[Type]],kits!C:C,kits!D:D,"",0)</f>
        <v>boxcontentlabel_template_outbound1.docx</v>
      </c>
    </row>
    <row r="236" spans="2:30" ht="14.1" customHeight="1" x14ac:dyDescent="0.25">
      <c r="B236" s="13">
        <v>209</v>
      </c>
      <c r="C236" s="85" t="s">
        <v>1272</v>
      </c>
      <c r="D236" s="13">
        <v>2</v>
      </c>
      <c r="E236" s="34">
        <v>46005</v>
      </c>
      <c r="F236" s="34">
        <f>_xlfn.LET(
    _xlpm.baseDate, Table47[[#This Row],[Confirmed Sampling Date]] - 14,
    _xlpm.weekdayNum, WEEKDAY(_xlpm.baseDate, 2),
    IF(_xlpm.weekdayNum = 6, _xlpm.baseDate + 2, IF(_xlpm.weekdayNum = 7, _xlpm.baseDate + 1, _xlpm.baseDate))
)</f>
        <v>45992</v>
      </c>
      <c r="G236" s="20">
        <f>IFERROR(WEEKNUM(Table47[[#This Row],[Shipping Date (SD-14)]]),"TBD")</f>
        <v>49</v>
      </c>
      <c r="H236" s="20" t="str">
        <f>IFERROR(TEXT(Table47[[#This Row],[Shipping Date (SD-14)]],"yyyy-mm"),"TBD")</f>
        <v>2025-12</v>
      </c>
      <c r="I236" s="13" t="s">
        <v>13</v>
      </c>
      <c r="J236" s="20" t="str">
        <f>IFERROR(VLOOKUP(Table47[[#This Row],[ToSite-UPSName]],Table1[[#All],[Company or Name]:[Delivery Address]],15,FALSE),"")</f>
        <v>Berlin (Schoenefeld) WWTP</v>
      </c>
      <c r="K236" s="20" t="str">
        <f>IFERROR(VLOOKUP(Table47[[#This Row],[ToSite-UPSName]],Table1[[#All],[Company or Name]:[Delivery Address]],16,FALSE),"")</f>
        <v>Berlin Airport</v>
      </c>
      <c r="L236" s="20"/>
      <c r="M236" s="20" t="str">
        <f>IFERROR(VLOOKUP(Table47[[#This Row],[ToSite-UPSName]],Table1[[#All],[Company or Name]:[Delivery Address]],18,FALSE),"")</f>
        <v>-</v>
      </c>
      <c r="N236" s="20" t="str">
        <f>IFERROR(VLOOKUP(Table47[[#This Row],[ToSite-UPSName]],Table1[[#All],[Company or Name]:[Delivery Address]],19,FALSE),"")</f>
        <v>-</v>
      </c>
      <c r="O236" s="13"/>
      <c r="P236" s="20"/>
      <c r="Q236" s="20"/>
      <c r="R236" s="20"/>
      <c r="S236" s="20"/>
      <c r="T236" s="20"/>
      <c r="U236" s="13" t="s">
        <v>126</v>
      </c>
      <c r="X236" s="13"/>
      <c r="Y236" s="20" t="str">
        <f>TEXT(Table47[[#This Row],[Confirmed Sampling Date]], "yyyy") &amp; "_" &amp; TEXT(Table47[[#This Row],[Confirmed Sampling Date]], "mm") &amp; "_" &amp; TEXT(Table47[[#This Row],[Confirmed Sampling Date]], "dd")</f>
        <v>2025_12_14</v>
      </c>
      <c r="Z236" s="20" t="str">
        <f>IFERROR(LEFT(J236, FIND(" ", J236) - 1), J236)</f>
        <v>Berlin</v>
      </c>
      <c r="AA236" s="20" t="str">
        <f>VLOOKUP(Table47[[#This Row],[ToSite-UPSName]],Table1[[Company or Name]:[NOTES]],2,FALSE)</f>
        <v>Germany</v>
      </c>
      <c r="AB236" s="20" t="str">
        <f>IFERROR(VLOOKUP(Table47[[#This Row],[ToSite-UPSName]], Table1[[#All],[Company or Name]:[Delivery Address]],20,FALSE),"")</f>
        <v>Strasse am Klarwerk 4, Klarwerk Wassmannsdorf, Schoenefeld, 12529, Germany</v>
      </c>
      <c r="AC236" s="20" t="str">
        <f>TEXT(Table47[[#This Row],[Shipping Date (SD-14)]]+3,"YYYY-MM-DD")</f>
        <v>2025-12-04</v>
      </c>
      <c r="AD236" s="20" t="str">
        <f>_xlfn.XLOOKUP(Table47[[#This Row],[Type]],kits!C:C,kits!D:D,"",0)</f>
        <v>boxcontentlabel_template_outbound2.docx</v>
      </c>
    </row>
    <row r="237" spans="2:30" ht="14.1" customHeight="1" x14ac:dyDescent="0.25">
      <c r="B237" s="13">
        <v>55</v>
      </c>
      <c r="C237" s="14" t="s">
        <v>1271</v>
      </c>
      <c r="D237" s="13">
        <v>2</v>
      </c>
      <c r="E237" s="22">
        <v>46006</v>
      </c>
      <c r="F237" s="34">
        <f>_xlfn.LET(
    _xlpm.baseDate, Table47[[#This Row],[Confirmed Sampling Date]] - 14,
    _xlpm.weekdayNum, WEEKDAY(_xlpm.baseDate, 2),
    IF(_xlpm.weekdayNum = 6, _xlpm.baseDate + 2, IF(_xlpm.weekdayNum = 7, _xlpm.baseDate + 1, _xlpm.baseDate))
)</f>
        <v>45992</v>
      </c>
      <c r="G237" s="13">
        <f>IFERROR(WEEKNUM(Table47[[#This Row],[Shipping Date (SD-14)]]),"TBD")</f>
        <v>49</v>
      </c>
      <c r="H237" s="13" t="str">
        <f>IFERROR(TEXT(Table47[[#This Row],[Shipping Date (SD-14)]],"yyyy-mm"),"TBD")</f>
        <v>2025-12</v>
      </c>
      <c r="I237" s="13" t="s">
        <v>364</v>
      </c>
      <c r="J237" s="13" t="str">
        <f>IFERROR(VLOOKUP(Table47[[#This Row],[ToSite-UPSName]],Table1[[#All],[Company or Name]:[Delivery Address]],15,FALSE),"")</f>
        <v>Brussels WWTP</v>
      </c>
      <c r="K237" s="13" t="str">
        <f>IFERROR(VLOOKUP(Table47[[#This Row],[ToSite-UPSName]],Table1[[#All],[Company or Name]:[Delivery Address]],16,FALSE),"")</f>
        <v>Brussels Airport</v>
      </c>
      <c r="L237" s="13" t="str">
        <f>IFERROR(VLOOKUP(Table47[[#This Row],[ToSite-UPSName]],Table1[[#All],[Company or Name]:[Delivery Address]],17,FALSE),"")</f>
        <v>-</v>
      </c>
      <c r="M237" s="13" t="str">
        <f>IFERROR(VLOOKUP(Table47[[#This Row],[ToSite-UPSName]],Table1[[#All],[Company or Name]:[Delivery Address]],18,FALSE),"")</f>
        <v>-</v>
      </c>
      <c r="N237" s="13" t="str">
        <f>IFERROR(VLOOKUP(Table47[[#This Row],[ToSite-UPSName]],Table1[[#All],[Company or Name]:[Delivery Address]],19,FALSE),"")</f>
        <v>-</v>
      </c>
      <c r="O237" s="13"/>
      <c r="P237" s="13"/>
      <c r="Q237" s="13"/>
      <c r="R237" s="13"/>
      <c r="S237" s="13"/>
      <c r="U237" s="13" t="s">
        <v>126</v>
      </c>
      <c r="X237" s="13"/>
      <c r="Y237" s="20" t="str">
        <f>TEXT(Table47[[#This Row],[Confirmed Sampling Date]], "yyyy") &amp; "_" &amp; TEXT(Table47[[#This Row],[Confirmed Sampling Date]], "mm") &amp; "_" &amp; TEXT(Table47[[#This Row],[Confirmed Sampling Date]], "dd")</f>
        <v>2025_12_15</v>
      </c>
      <c r="Z237" s="20" t="str">
        <f>IFERROR(LEFT(J237, FIND(" ", J237) - 1), J237)</f>
        <v>Brussels</v>
      </c>
      <c r="AA237" s="20" t="str">
        <f>VLOOKUP(Table47[[#This Row],[ToSite-UPSName]],Table1[[Company or Name]:[NOTES]],2,FALSE)</f>
        <v>Belgium</v>
      </c>
      <c r="AB237" s="20" t="str">
        <f>IFERROR(VLOOKUP(Table47[[#This Row],[ToSite-UPSName]], Table1[[#All],[Company or Name]:[Delivery Address]],20,FALSE),"")</f>
        <v>Rue Juliette Wytsmanstraat 14, Brussels, 1050, Belgium</v>
      </c>
      <c r="AC237" s="20" t="str">
        <f>TEXT(Table47[[#This Row],[Shipping Date (SD-14)]]+3,"YYYY-MM-DD")</f>
        <v>2025-12-04</v>
      </c>
      <c r="AD237" s="20" t="str">
        <f>_xlfn.XLOOKUP(Table47[[#This Row],[Type]],kits!C:C,kits!D:D,"",0)</f>
        <v>boxcontentlabel_template_outbound1.docx</v>
      </c>
    </row>
    <row r="238" spans="2:30" ht="14.1" customHeight="1" x14ac:dyDescent="0.25">
      <c r="B238" s="13">
        <v>166</v>
      </c>
      <c r="C238" s="14" t="s">
        <v>1271</v>
      </c>
      <c r="D238" s="13">
        <v>1</v>
      </c>
      <c r="E238" s="83">
        <v>46006</v>
      </c>
      <c r="F238" s="83">
        <f>_xlfn.LET(
    _xlpm.baseDate, Table47[[#This Row],[Confirmed Sampling Date]] - 14,
    _xlpm.weekdayNum, WEEKDAY(_xlpm.baseDate, 2),
    IF(_xlpm.weekdayNum = 6, _xlpm.baseDate + 2, IF(_xlpm.weekdayNum = 7, _xlpm.baseDate + 1, _xlpm.baseDate))
)</f>
        <v>45992</v>
      </c>
      <c r="G238" s="20">
        <f>IFERROR(WEEKNUM(Table47[[#This Row],[Shipping Date (SD-14)]]),"TBD")</f>
        <v>49</v>
      </c>
      <c r="H238" s="20" t="str">
        <f>IFERROR(TEXT(Table47[[#This Row],[Shipping Date (SD-14)]],"yyyy-mm"),"TBD")</f>
        <v>2025-12</v>
      </c>
      <c r="I238" s="78" t="s">
        <v>1114</v>
      </c>
      <c r="J238" s="20" t="str">
        <f>IFERROR(VLOOKUP(Table47[[#This Row],[ToSite-UPSName]],Table1[[#All],[Company or Name]:[Delivery Address]],15,FALSE),"")</f>
        <v>Uppsala WWTP</v>
      </c>
      <c r="K238" s="20" t="str">
        <f>IFERROR(VLOOKUP(Table47[[#This Row],[ToSite-UPSName]],Table1[[#All],[Company or Name]:[Delivery Address]],16,FALSE),"")</f>
        <v>-</v>
      </c>
      <c r="L238" s="20"/>
      <c r="M238" s="20" t="str">
        <f>IFERROR(VLOOKUP(Table47[[#This Row],[ToSite-UPSName]],Table1[[#All],[Company or Name]:[Delivery Address]],18,FALSE),"")</f>
        <v>-</v>
      </c>
      <c r="N238" s="20" t="str">
        <f>IFERROR(VLOOKUP(Table47[[#This Row],[ToSite-UPSName]],Table1[[#All],[Company or Name]:[Delivery Address]],19,FALSE),"")</f>
        <v>-</v>
      </c>
      <c r="O238" s="13"/>
      <c r="P238" s="20"/>
      <c r="Q238" s="20"/>
      <c r="R238" s="20"/>
      <c r="S238" s="65"/>
      <c r="T238" s="20"/>
      <c r="U238" s="13" t="s">
        <v>126</v>
      </c>
      <c r="X238" s="13"/>
      <c r="Y238" s="20" t="str">
        <f>TEXT(Table47[[#This Row],[Confirmed Sampling Date]], "yyyy") &amp; "_" &amp; TEXT(Table47[[#This Row],[Confirmed Sampling Date]], "mm") &amp; "_" &amp; TEXT(Table47[[#This Row],[Confirmed Sampling Date]], "dd")</f>
        <v>2025_12_15</v>
      </c>
      <c r="Z238" s="20" t="str">
        <f>IFERROR(LEFT(J238, FIND(" ", J238) - 1), J238)</f>
        <v>Uppsala</v>
      </c>
      <c r="AA238" s="20" t="str">
        <f>VLOOKUP(Table47[[#This Row],[ToSite-UPSName]],Table1[[Company or Name]:[NOTES]],2,FALSE)</f>
        <v>Sweden</v>
      </c>
      <c r="AB238" s="20" t="str">
        <f>IFERROR(VLOOKUP(Table47[[#This Row],[ToSite-UPSName]], Table1[[#All],[Company or Name]:[Delivery Address]],20,FALSE),"")</f>
        <v>Gerda Nilssons väg 5, Uppsala, 756 51, Sweden</v>
      </c>
      <c r="AC238" s="20" t="str">
        <f>TEXT(Table47[[#This Row],[Shipping Date (SD-14)]]+3,"YYYY-MM-DD")</f>
        <v>2025-12-04</v>
      </c>
      <c r="AD238" s="20" t="str">
        <f>_xlfn.XLOOKUP(Table47[[#This Row],[Type]],kits!C:C,kits!D:D,"",0)</f>
        <v>boxcontentlabel_template_outbound1.docx</v>
      </c>
    </row>
    <row r="239" spans="2:30" ht="14.1" customHeight="1" x14ac:dyDescent="0.25">
      <c r="B239" s="13">
        <v>193</v>
      </c>
      <c r="C239" s="14" t="s">
        <v>1271</v>
      </c>
      <c r="D239" s="13">
        <v>2</v>
      </c>
      <c r="E239" s="83">
        <v>46006</v>
      </c>
      <c r="F239" s="34">
        <f>_xlfn.LET(
    _xlpm.baseDate, Table47[[#This Row],[Confirmed Sampling Date]] - 14,
    _xlpm.weekdayNum, WEEKDAY(_xlpm.baseDate, 2),
    IF(_xlpm.weekdayNum = 6, _xlpm.baseDate + 2, IF(_xlpm.weekdayNum = 7, _xlpm.baseDate + 1, _xlpm.baseDate))
)</f>
        <v>45992</v>
      </c>
      <c r="G239" s="20">
        <f>IFERROR(WEEKNUM(Table47[[#This Row],[Shipping Date (SD-14)]]),"TBD")</f>
        <v>49</v>
      </c>
      <c r="H239" s="20" t="str">
        <f>IFERROR(TEXT(Table47[[#This Row],[Shipping Date (SD-14)]],"yyyy-mm"),"TBD")</f>
        <v>2025-12</v>
      </c>
      <c r="I239" s="78" t="s">
        <v>1187</v>
      </c>
      <c r="J239" s="20" t="str">
        <f>IFERROR(VLOOKUP(Table47[[#This Row],[ToSite-UPSName]],Table1[[#All],[Company or Name]:[Delivery Address]],15,FALSE),"")</f>
        <v>Aachen WWTP</v>
      </c>
      <c r="K239" s="20" t="str">
        <f>IFERROR(VLOOKUP(Table47[[#This Row],[ToSite-UPSName]],Table1[[#All],[Company or Name]:[Delivery Address]],16,FALSE),"")</f>
        <v>Aachen Hospital</v>
      </c>
      <c r="L239" s="20"/>
      <c r="M239" s="20">
        <f>IFERROR(VLOOKUP(Table47[[#This Row],[ToSite-UPSName]],Table1[[#All],[Company or Name]:[Delivery Address]],18,FALSE),"")</f>
        <v>0</v>
      </c>
      <c r="N239" s="20">
        <f>IFERROR(VLOOKUP(Table47[[#This Row],[ToSite-UPSName]],Table1[[#All],[Company or Name]:[Delivery Address]],19,FALSE),"")</f>
        <v>0</v>
      </c>
      <c r="O239" s="13"/>
      <c r="P239" s="20"/>
      <c r="Q239" s="20"/>
      <c r="R239" s="20"/>
      <c r="S239" s="20"/>
      <c r="T239" s="20"/>
      <c r="U239" s="13" t="s">
        <v>126</v>
      </c>
      <c r="X239" s="13"/>
      <c r="Y239" s="20" t="str">
        <f>TEXT(Table47[[#This Row],[Confirmed Sampling Date]], "yyyy") &amp; "_" &amp; TEXT(Table47[[#This Row],[Confirmed Sampling Date]], "mm") &amp; "_" &amp; TEXT(Table47[[#This Row],[Confirmed Sampling Date]], "dd")</f>
        <v>2025_12_15</v>
      </c>
      <c r="Z239" s="20" t="str">
        <f>IFERROR(LEFT(J239, FIND(" ", J239) - 1), J239)</f>
        <v>Aachen</v>
      </c>
      <c r="AA239" s="20" t="str">
        <f>VLOOKUP(Table47[[#This Row],[ToSite-UPSName]],Table1[[Company or Name]:[NOTES]],2,FALSE)</f>
        <v>Germany</v>
      </c>
      <c r="AB239" s="20" t="str">
        <f>IFERROR(VLOOKUP(Table47[[#This Row],[ToSite-UPSName]], Table1[[#All],[Company or Name]:[Delivery Address]],20,FALSE),"")</f>
        <v>Krefelder Str. 299, Aachen, 52070, Germany</v>
      </c>
      <c r="AC239" s="20" t="str">
        <f>TEXT(Table47[[#This Row],[Shipping Date (SD-14)]]+3,"YYYY-MM-DD")</f>
        <v>2025-12-04</v>
      </c>
      <c r="AD239" s="20" t="str">
        <f>_xlfn.XLOOKUP(Table47[[#This Row],[Type]],kits!C:C,kits!D:D,"",0)</f>
        <v>boxcontentlabel_template_outbound1.docx</v>
      </c>
    </row>
    <row r="240" spans="2:30" ht="14.1" customHeight="1" x14ac:dyDescent="0.25">
      <c r="B240" s="13">
        <v>217</v>
      </c>
      <c r="C240" s="14" t="s">
        <v>1271</v>
      </c>
      <c r="D240" s="13">
        <v>1</v>
      </c>
      <c r="E240" s="83">
        <v>46006</v>
      </c>
      <c r="F240" s="34">
        <f>_xlfn.LET(
    _xlpm.baseDate, Table47[[#This Row],[Confirmed Sampling Date]] - 14,
    _xlpm.weekdayNum, WEEKDAY(_xlpm.baseDate, 2),
    IF(_xlpm.weekdayNum = 6, _xlpm.baseDate + 2, IF(_xlpm.weekdayNum = 7, _xlpm.baseDate + 1, _xlpm.baseDate))
)</f>
        <v>45992</v>
      </c>
      <c r="G240" s="20">
        <f>IFERROR(WEEKNUM(Table47[[#This Row],[Shipping Date (SD-14)]]),"TBD")</f>
        <v>49</v>
      </c>
      <c r="H240" s="20" t="str">
        <f>IFERROR(TEXT(Table47[[#This Row],[Shipping Date (SD-14)]],"yyyy-mm"),"TBD")</f>
        <v>2025-12</v>
      </c>
      <c r="I240" s="48" t="s">
        <v>1292</v>
      </c>
      <c r="J240" s="20" t="str">
        <f>IFERROR(VLOOKUP(Table47[[#This Row],[ToSite-UPSName]],Table1[[#All],[Company or Name]:[Delivery Address]],15,FALSE),"")</f>
        <v>Bologna WWTP</v>
      </c>
      <c r="K240" s="20">
        <f>IFERROR(VLOOKUP(Table47[[#This Row],[ToSite-UPSName]],Table1[[#All],[Company or Name]:[Delivery Address]],16,FALSE),"")</f>
        <v>0</v>
      </c>
      <c r="L240" s="20"/>
      <c r="M240" s="20">
        <f>IFERROR(VLOOKUP(Table47[[#This Row],[ToSite-UPSName]],Table1[[#All],[Company or Name]:[Delivery Address]],18,FALSE),"")</f>
        <v>0</v>
      </c>
      <c r="N240" s="20">
        <f>IFERROR(VLOOKUP(Table47[[#This Row],[ToSite-UPSName]],Table1[[#All],[Company or Name]:[Delivery Address]],19,FALSE),"")</f>
        <v>0</v>
      </c>
      <c r="O240" s="13"/>
      <c r="P240" s="20"/>
      <c r="Q240" s="20"/>
      <c r="R240" s="20"/>
      <c r="S240" s="65"/>
      <c r="T240" s="65"/>
      <c r="U240" s="13" t="s">
        <v>126</v>
      </c>
      <c r="X240" s="13"/>
      <c r="Y240" s="20" t="str">
        <f>TEXT(Table47[[#This Row],[Confirmed Sampling Date]], "yyyy") &amp; "_" &amp; TEXT(Table47[[#This Row],[Confirmed Sampling Date]], "mm") &amp; "_" &amp; TEXT(Table47[[#This Row],[Confirmed Sampling Date]], "dd")</f>
        <v>2025_12_15</v>
      </c>
      <c r="Z240" s="20" t="str">
        <f>IFERROR(LEFT(J240, FIND(" ", J240) - 1), J240)</f>
        <v>Bologna</v>
      </c>
      <c r="AA240" s="20" t="str">
        <f>VLOOKUP(Table47[[#This Row],[ToSite-UPSName]],Table1[[Company or Name]:[NOTES]],2,FALSE)</f>
        <v>Italy</v>
      </c>
      <c r="AB240" s="20" t="str">
        <f>IFERROR(VLOOKUP(Table47[[#This Row],[ToSite-UPSName]], Table1[[#All],[Company or Name]:[Delivery Address]],20,FALSE),"")</f>
        <v>VIA SHAKESPEARE 29, Bologna, 40128, Italy</v>
      </c>
      <c r="AC240" s="20" t="str">
        <f>TEXT(Table47[[#This Row],[Shipping Date (SD-14)]]+3,"YYYY-MM-DD")</f>
        <v>2025-12-04</v>
      </c>
      <c r="AD240" s="20" t="str">
        <f>_xlfn.XLOOKUP(Table47[[#This Row],[Type]],kits!C:C,kits!D:D,"",0)</f>
        <v>boxcontentlabel_template_outbound1.docx</v>
      </c>
    </row>
    <row r="241" spans="2:30" ht="14.1" customHeight="1" x14ac:dyDescent="0.25">
      <c r="B241" s="13">
        <v>240</v>
      </c>
      <c r="C241" s="14" t="s">
        <v>1271</v>
      </c>
      <c r="D241" s="13">
        <v>1</v>
      </c>
      <c r="E241" s="83">
        <v>46006</v>
      </c>
      <c r="F241" s="34">
        <f>_xlfn.LET(
    _xlpm.baseDate, Table47[[#This Row],[Confirmed Sampling Date]] - 14,
    _xlpm.weekdayNum, WEEKDAY(_xlpm.baseDate, 2),
    IF(_xlpm.weekdayNum = 6, _xlpm.baseDate + 2, IF(_xlpm.weekdayNum = 7, _xlpm.baseDate + 1, _xlpm.baseDate))
)</f>
        <v>45992</v>
      </c>
      <c r="G241" s="20">
        <f>IFERROR(WEEKNUM(Table47[[#This Row],[Shipping Date (SD-14)]]),"TBD")</f>
        <v>49</v>
      </c>
      <c r="H241" s="20" t="str">
        <f>IFERROR(TEXT(Table47[[#This Row],[Shipping Date (SD-14)]],"yyyy-mm"),"TBD")</f>
        <v>2025-12</v>
      </c>
      <c r="I241" s="13" t="s">
        <v>1802</v>
      </c>
      <c r="J241" s="20" t="str">
        <f>IFERROR(VLOOKUP(Table47[[#This Row],[ToSite-UPSName]],Table1[[#All],[Company or Name]:[Delivery Address]],15,FALSE),"")</f>
        <v>Wien WWTP</v>
      </c>
      <c r="K241" s="20" t="str">
        <f>IFERROR(VLOOKUP(Table47[[#This Row],[ToSite-UPSName]],Table1[[#All],[Company or Name]:[Delivery Address]],16,FALSE),"")</f>
        <v>-</v>
      </c>
      <c r="L241" s="20"/>
      <c r="M241" s="20" t="str">
        <f>IFERROR(VLOOKUP(Table47[[#This Row],[ToSite-UPSName]],Table1[[#All],[Company or Name]:[Delivery Address]],18,FALSE),"")</f>
        <v>-</v>
      </c>
      <c r="N241" s="20" t="str">
        <f>IFERROR(VLOOKUP(Table47[[#This Row],[ToSite-UPSName]],Table1[[#All],[Company or Name]:[Delivery Address]],19,FALSE),"")</f>
        <v>-</v>
      </c>
      <c r="O241" s="13"/>
      <c r="P241" s="20"/>
      <c r="Q241" s="20"/>
      <c r="R241" s="20"/>
      <c r="S241" s="65"/>
      <c r="T241" s="65"/>
      <c r="U241" s="13" t="s">
        <v>126</v>
      </c>
      <c r="X241" s="13"/>
      <c r="Y241" s="20" t="str">
        <f>TEXT(Table47[[#This Row],[Confirmed Sampling Date]], "yyyy") &amp; "_" &amp; TEXT(Table47[[#This Row],[Confirmed Sampling Date]], "mm") &amp; "_" &amp; TEXT(Table47[[#This Row],[Confirmed Sampling Date]], "dd")</f>
        <v>2025_12_15</v>
      </c>
      <c r="Z241" s="20" t="str">
        <f>IFERROR(LEFT(J241, FIND(" ", J241) - 1), J241)</f>
        <v>Wien</v>
      </c>
      <c r="AA241" s="20" t="str">
        <f>VLOOKUP(Table47[[#This Row],[ToSite-UPSName]],Table1[[Company or Name]:[NOTES]],2,FALSE)</f>
        <v>Austria</v>
      </c>
      <c r="AB241" s="20" t="str">
        <f>IFERROR(VLOOKUP(Table47[[#This Row],[ToSite-UPSName]], Table1[[#All],[Company or Name]:[Delivery Address]],20,FALSE),"")</f>
        <v>Währinger Gürtel 18-20, Wien, 1090, Austria</v>
      </c>
      <c r="AC241" s="20" t="str">
        <f>TEXT(Table47[[#This Row],[Shipping Date (SD-14)]]+3,"YYYY-MM-DD")</f>
        <v>2025-12-04</v>
      </c>
      <c r="AD241" s="20" t="str">
        <f>_xlfn.XLOOKUP(Table47[[#This Row],[Type]],kits!C:C,kits!D:D,"",0)</f>
        <v>boxcontentlabel_template_outbound1.docx</v>
      </c>
    </row>
    <row r="242" spans="2:30" ht="14.1" customHeight="1" x14ac:dyDescent="0.25">
      <c r="B242" s="13">
        <v>28</v>
      </c>
      <c r="C242" s="14" t="s">
        <v>1271</v>
      </c>
      <c r="D242" s="13">
        <v>2</v>
      </c>
      <c r="E242" s="22">
        <v>46007</v>
      </c>
      <c r="F242" s="34">
        <f>_xlfn.LET(
    _xlpm.baseDate, Table47[[#This Row],[Confirmed Sampling Date]] - 14,
    _xlpm.weekdayNum, WEEKDAY(_xlpm.baseDate, 2),
    IF(_xlpm.weekdayNum = 6, _xlpm.baseDate + 2, IF(_xlpm.weekdayNum = 7, _xlpm.baseDate + 1, _xlpm.baseDate))
)</f>
        <v>45993</v>
      </c>
      <c r="G242" s="13">
        <f>IFERROR(WEEKNUM(Table47[[#This Row],[Shipping Date (SD-14)]]),"TBD")</f>
        <v>49</v>
      </c>
      <c r="H242" s="13" t="str">
        <f>IFERROR(TEXT(Table47[[#This Row],[Shipping Date (SD-14)]],"yyyy-mm"),"TBD")</f>
        <v>2025-12</v>
      </c>
      <c r="I242" s="13" t="s">
        <v>19</v>
      </c>
      <c r="J242" s="13" t="str">
        <f>IFERROR(VLOOKUP(Table47[[#This Row],[ToSite-UPSName]],Table1[[#All],[Company or Name]:[Delivery Address]],15,FALSE),"")</f>
        <v>Munich WWTP</v>
      </c>
      <c r="K242" s="13" t="str">
        <f>IFERROR(VLOOKUP(Table47[[#This Row],[ToSite-UPSName]],Table1[[#All],[Company or Name]:[Delivery Address]],16,FALSE),"")</f>
        <v>Munich Airport</v>
      </c>
      <c r="L242" s="13" t="str">
        <f>IFERROR(VLOOKUP(Table47[[#This Row],[ToSite-UPSName]],Table1[[#All],[Company or Name]:[Delivery Address]],17,FALSE),"")</f>
        <v>-</v>
      </c>
      <c r="M242" s="13" t="str">
        <f>IFERROR(VLOOKUP(Table47[[#This Row],[ToSite-UPSName]],Table1[[#All],[Company or Name]:[Delivery Address]],18,FALSE),"")</f>
        <v>-</v>
      </c>
      <c r="N242" s="13" t="str">
        <f>IFERROR(VLOOKUP(Table47[[#This Row],[ToSite-UPSName]],Table1[[#All],[Company or Name]:[Delivery Address]],19,FALSE),"")</f>
        <v>-</v>
      </c>
      <c r="O242" s="13"/>
      <c r="P242" s="13"/>
      <c r="Q242" s="13"/>
      <c r="R242" s="13"/>
      <c r="S242" s="13"/>
      <c r="U242" s="13" t="s">
        <v>126</v>
      </c>
      <c r="X242" s="13"/>
      <c r="Y242" s="20" t="str">
        <f>TEXT(Table47[[#This Row],[Confirmed Sampling Date]], "yyyy") &amp; "_" &amp; TEXT(Table47[[#This Row],[Confirmed Sampling Date]], "mm") &amp; "_" &amp; TEXT(Table47[[#This Row],[Confirmed Sampling Date]], "dd")</f>
        <v>2025_12_16</v>
      </c>
      <c r="Z242" s="20" t="str">
        <f>IFERROR(LEFT(J242, FIND(" ", J242) - 1), J242)</f>
        <v>Munich</v>
      </c>
      <c r="AA242" s="20" t="str">
        <f>VLOOKUP(Table47[[#This Row],[ToSite-UPSName]],Table1[[Company or Name]:[NOTES]],2,FALSE)</f>
        <v>Germany</v>
      </c>
      <c r="AB242" s="20" t="str">
        <f>IFERROR(VLOOKUP(Table47[[#This Row],[ToSite-UPSName]], Table1[[#All],[Company or Name]:[Delivery Address]],20,FALSE),"")</f>
        <v>Leopoldstrasse 5, Institut fuer Infektions- und Tropenmedizin, Munich, 80802, Germany</v>
      </c>
      <c r="AC242" s="20" t="str">
        <f>TEXT(Table47[[#This Row],[Shipping Date (SD-14)]]+3,"YYYY-MM-DD")</f>
        <v>2025-12-05</v>
      </c>
      <c r="AD242" s="20" t="str">
        <f>_xlfn.XLOOKUP(Table47[[#This Row],[Type]],kits!C:C,kits!D:D,"",0)</f>
        <v>boxcontentlabel_template_outbound1.docx</v>
      </c>
    </row>
    <row r="243" spans="2:30" ht="14.1" customHeight="1" x14ac:dyDescent="0.25">
      <c r="B243" s="13">
        <v>42</v>
      </c>
      <c r="C243" s="14" t="s">
        <v>1271</v>
      </c>
      <c r="D243" s="13">
        <v>1</v>
      </c>
      <c r="E243" s="22">
        <v>46007</v>
      </c>
      <c r="F243" s="34">
        <f>_xlfn.LET(
    _xlpm.baseDate, Table47[[#This Row],[Confirmed Sampling Date]] - 14,
    _xlpm.weekdayNum, WEEKDAY(_xlpm.baseDate, 2),
    IF(_xlpm.weekdayNum = 6, _xlpm.baseDate + 2, IF(_xlpm.weekdayNum = 7, _xlpm.baseDate + 1, _xlpm.baseDate))
)</f>
        <v>45993</v>
      </c>
      <c r="G243" s="13">
        <f>IFERROR(WEEKNUM(Table47[[#This Row],[Shipping Date (SD-14)]]),"TBD")</f>
        <v>49</v>
      </c>
      <c r="H243" s="13" t="str">
        <f>IFERROR(TEXT(Table47[[#This Row],[Shipping Date (SD-14)]],"yyyy-mm"),"TBD")</f>
        <v>2025-12</v>
      </c>
      <c r="I243" s="13" t="s">
        <v>677</v>
      </c>
      <c r="J243" s="13" t="str">
        <f>IFERROR(VLOOKUP(Table47[[#This Row],[ToSite-UPSName]],Table1[[#All],[Company or Name]:[Delivery Address]],15,FALSE),"")</f>
        <v>Frankfurt WWTP</v>
      </c>
      <c r="K243" s="13" t="str">
        <f>IFERROR(VLOOKUP(Table47[[#This Row],[ToSite-UPSName]],Table1[[#All],[Company or Name]:[Delivery Address]],16,FALSE),"")</f>
        <v>Frankfurt Airport</v>
      </c>
      <c r="L243" s="13" t="str">
        <f>IFERROR(VLOOKUP(Table47[[#This Row],[ToSite-UPSName]],Table1[[#All],[Company or Name]:[Delivery Address]],17,FALSE),"")</f>
        <v>-</v>
      </c>
      <c r="M243" s="13" t="str">
        <f>IFERROR(VLOOKUP(Table47[[#This Row],[ToSite-UPSName]],Table1[[#All],[Company or Name]:[Delivery Address]],18,FALSE),"")</f>
        <v>-</v>
      </c>
      <c r="N243" s="13" t="str">
        <f>IFERROR(VLOOKUP(Table47[[#This Row],[ToSite-UPSName]],Table1[[#All],[Company or Name]:[Delivery Address]],19,FALSE),"")</f>
        <v>-</v>
      </c>
      <c r="O243" s="13"/>
      <c r="P243" s="13"/>
      <c r="Q243" s="13"/>
      <c r="R243" s="13"/>
      <c r="S243" s="13"/>
      <c r="T243" s="64"/>
      <c r="U243" s="13" t="s">
        <v>126</v>
      </c>
      <c r="X243" s="13"/>
      <c r="Y243" s="20" t="str">
        <f>TEXT(Table47[[#This Row],[Confirmed Sampling Date]], "yyyy") &amp; "_" &amp; TEXT(Table47[[#This Row],[Confirmed Sampling Date]], "mm") &amp; "_" &amp; TEXT(Table47[[#This Row],[Confirmed Sampling Date]], "dd")</f>
        <v>2025_12_16</v>
      </c>
      <c r="Z243" s="20" t="str">
        <f>IFERROR(LEFT(J243, FIND(" ", J243) - 1), J243)</f>
        <v>Frankfurt</v>
      </c>
      <c r="AA243" s="20" t="str">
        <f>VLOOKUP(Table47[[#This Row],[ToSite-UPSName]],Table1[[Company or Name]:[NOTES]],2,FALSE)</f>
        <v>Germany</v>
      </c>
      <c r="AB243" s="20" t="str">
        <f>IFERROR(VLOOKUP(Table47[[#This Row],[ToSite-UPSName]], Table1[[#All],[Company or Name]:[Delivery Address]],20,FALSE),"")</f>
        <v>Goldsteinstraße 160, Gebäude 71 , Frankfurt am Main , 60528, Germany</v>
      </c>
      <c r="AC243" s="20" t="str">
        <f>TEXT(Table47[[#This Row],[Shipping Date (SD-14)]]+3,"YYYY-MM-DD")</f>
        <v>2025-12-05</v>
      </c>
      <c r="AD243" s="20" t="str">
        <f>_xlfn.XLOOKUP(Table47[[#This Row],[Type]],kits!C:C,kits!D:D,"",0)</f>
        <v>boxcontentlabel_template_outbound1.docx</v>
      </c>
    </row>
    <row r="244" spans="2:30" ht="14.1" customHeight="1" x14ac:dyDescent="0.25">
      <c r="B244" s="13">
        <v>110</v>
      </c>
      <c r="C244" s="14" t="s">
        <v>1271</v>
      </c>
      <c r="D244" s="13">
        <v>4</v>
      </c>
      <c r="E244" s="83">
        <v>46007</v>
      </c>
      <c r="F244" s="34">
        <f>_xlfn.LET(
    _xlpm.baseDate, Table47[[#This Row],[Confirmed Sampling Date]] - 14,
    _xlpm.weekdayNum, WEEKDAY(_xlpm.baseDate, 2),
    IF(_xlpm.weekdayNum = 6, _xlpm.baseDate + 2, IF(_xlpm.weekdayNum = 7, _xlpm.baseDate + 1, _xlpm.baseDate))
)</f>
        <v>45993</v>
      </c>
      <c r="G244" s="20">
        <f>IFERROR(WEEKNUM(Table47[[#This Row],[Shipping Date (SD-14)]]),"TBD")</f>
        <v>49</v>
      </c>
      <c r="H244" s="20" t="str">
        <f>IFERROR(TEXT(Table47[[#This Row],[Shipping Date (SD-14)]],"yyyy-mm"),"TBD")</f>
        <v>2025-12</v>
      </c>
      <c r="I244" s="13" t="s">
        <v>877</v>
      </c>
      <c r="J244" s="20" t="str">
        <f>IFERROR(VLOOKUP(Table47[[#This Row],[ToSite-UPSName]],Table1[[#All],[Company or Name]:[Delivery Address]],15,FALSE),"")</f>
        <v>Prague National Institute</v>
      </c>
      <c r="K244" s="20" t="str">
        <f>IFERROR(VLOOKUP(Table47[[#This Row],[ToSite-UPSName]],Table1[[#All],[Company or Name]:[Delivery Address]],16,FALSE),"")</f>
        <v>Prague WWTP FLOW 1</v>
      </c>
      <c r="L244" s="13" t="str">
        <f>IFERROR(VLOOKUP(Table47[[#This Row],[ToSite-UPSName]],Table1[[#All],[Company or Name]:[Delivery Address]],17,FALSE),"")</f>
        <v>Prague WWTP FLOW 2</v>
      </c>
      <c r="M244" s="20" t="str">
        <f>IFERROR(VLOOKUP(Table47[[#This Row],[ToSite-UPSName]],Table1[[#All],[Company or Name]:[Delivery Address]],18,FALSE),"")</f>
        <v>Prague Airport</v>
      </c>
      <c r="N244" s="20" t="str">
        <f>IFERROR(VLOOKUP(Table47[[#This Row],[ToSite-UPSName]],Table1[[#All],[Company or Name]:[Delivery Address]],19,FALSE),"")</f>
        <v>Prague Hospital</v>
      </c>
      <c r="O244" s="13"/>
      <c r="P244" s="20"/>
      <c r="Q244" s="20"/>
      <c r="R244" s="20"/>
      <c r="S244" s="65"/>
      <c r="T244" s="125"/>
      <c r="U244" s="13" t="s">
        <v>126</v>
      </c>
      <c r="X244" s="13"/>
      <c r="Y244" s="20" t="str">
        <f>TEXT(Table47[[#This Row],[Confirmed Sampling Date]], "yyyy") &amp; "_" &amp; TEXT(Table47[[#This Row],[Confirmed Sampling Date]], "mm") &amp; "_" &amp; TEXT(Table47[[#This Row],[Confirmed Sampling Date]], "dd")</f>
        <v>2025_12_16</v>
      </c>
      <c r="Z244" s="20" t="str">
        <f>IFERROR(LEFT(J244, FIND(" ", J244) - 1), J244)</f>
        <v>Prague</v>
      </c>
      <c r="AA244" s="20" t="str">
        <f>VLOOKUP(Table47[[#This Row],[ToSite-UPSName]],Table1[[Company or Name]:[NOTES]],2,FALSE)</f>
        <v>Czech Republic</v>
      </c>
      <c r="AB244" s="20" t="str">
        <f>IFERROR(VLOOKUP(Table47[[#This Row],[ToSite-UPSName]], Table1[[#All],[Company or Name]:[Delivery Address]],20,FALSE),"")</f>
        <v>Šrobárova 49/48, Státní zdravotní ústav, Praha, 100 00, Czech Republic</v>
      </c>
      <c r="AC244" s="20" t="str">
        <f>TEXT(Table47[[#This Row],[Shipping Date (SD-14)]]+3,"YYYY-MM-DD")</f>
        <v>2025-12-05</v>
      </c>
      <c r="AD244" s="20" t="str">
        <f>_xlfn.XLOOKUP(Table47[[#This Row],[Type]],kits!C:C,kits!D:D,"",0)</f>
        <v>boxcontentlabel_template_outbound1.docx</v>
      </c>
    </row>
    <row r="245" spans="2:30" ht="14.1" customHeight="1" x14ac:dyDescent="0.25">
      <c r="B245" s="13">
        <v>123</v>
      </c>
      <c r="C245" s="14" t="s">
        <v>1271</v>
      </c>
      <c r="D245" s="13">
        <v>2</v>
      </c>
      <c r="E245" s="34">
        <v>46007</v>
      </c>
      <c r="F245" s="34">
        <f>_xlfn.LET(
    _xlpm.baseDate, Table47[[#This Row],[Confirmed Sampling Date]] - 14,
    _xlpm.weekdayNum, WEEKDAY(_xlpm.baseDate, 2),
    IF(_xlpm.weekdayNum = 6, _xlpm.baseDate + 2, IF(_xlpm.weekdayNum = 7, _xlpm.baseDate + 1, _xlpm.baseDate))
)</f>
        <v>45993</v>
      </c>
      <c r="G245" s="20">
        <f>IFERROR(WEEKNUM(Table47[[#This Row],[Shipping Date (SD-14)]]),"TBD")</f>
        <v>49</v>
      </c>
      <c r="H245" s="20" t="str">
        <f>IFERROR(TEXT(Table47[[#This Row],[Shipping Date (SD-14)]],"yyyy-mm"),"TBD")</f>
        <v>2025-12</v>
      </c>
      <c r="I245" s="13" t="s">
        <v>779</v>
      </c>
      <c r="J245" s="20" t="str">
        <f>IFERROR(VLOOKUP(Table47[[#This Row],[ToSite-UPSName]],Table1[[#All],[Company or Name]:[Delivery Address]],15,FALSE),"")</f>
        <v>Larnaca WWTP</v>
      </c>
      <c r="K245" s="20" t="str">
        <f>IFERROR(VLOOKUP(Table47[[#This Row],[ToSite-UPSName]],Table1[[#All],[Company or Name]:[Delivery Address]],16,FALSE),"")</f>
        <v>Larnaca Airport</v>
      </c>
      <c r="L245" s="20"/>
      <c r="M245" s="20">
        <f>IFERROR(VLOOKUP(Table47[[#This Row],[ToSite-UPSName]],Table1[[#All],[Company or Name]:[Delivery Address]],18,FALSE),"")</f>
        <v>0</v>
      </c>
      <c r="N245" s="20">
        <f>IFERROR(VLOOKUP(Table47[[#This Row],[ToSite-UPSName]],Table1[[#All],[Company or Name]:[Delivery Address]],19,FALSE),"")</f>
        <v>0</v>
      </c>
      <c r="O245" s="13"/>
      <c r="P245" s="20"/>
      <c r="Q245" s="20"/>
      <c r="R245" s="20"/>
      <c r="S245" s="20"/>
      <c r="T245" s="20"/>
      <c r="U245" s="13" t="s">
        <v>126</v>
      </c>
      <c r="X245" s="13"/>
      <c r="Y245" s="20" t="str">
        <f>TEXT(Table47[[#This Row],[Confirmed Sampling Date]], "yyyy") &amp; "_" &amp; TEXT(Table47[[#This Row],[Confirmed Sampling Date]], "mm") &amp; "_" &amp; TEXT(Table47[[#This Row],[Confirmed Sampling Date]], "dd")</f>
        <v>2025_12_16</v>
      </c>
      <c r="Z245" s="20" t="str">
        <f>IFERROR(LEFT(J245, FIND(" ", J245) - 1), J245)</f>
        <v>Larnaca</v>
      </c>
      <c r="AA245" s="20" t="str">
        <f>VLOOKUP(Table47[[#This Row],[ToSite-UPSName]],Table1[[Company or Name]:[NOTES]],2,FALSE)</f>
        <v>Cyprus</v>
      </c>
      <c r="AB245" s="20" t="str">
        <f>IFERROR(VLOOKUP(Table47[[#This Row],[ToSite-UPSName]], Table1[[#All],[Company or Name]:[Delivery Address]],20,FALSE),"")</f>
        <v>Adamantiou Korai street 12, Larnaca District Local Government Organization offices, Larnaca, 6010, Cyprus</v>
      </c>
      <c r="AC245" s="20" t="str">
        <f>TEXT(Table47[[#This Row],[Shipping Date (SD-14)]]+3,"YYYY-MM-DD")</f>
        <v>2025-12-05</v>
      </c>
      <c r="AD245" s="20" t="str">
        <f>_xlfn.XLOOKUP(Table47[[#This Row],[Type]],kits!C:C,kits!D:D,"",0)</f>
        <v>boxcontentlabel_template_outbound1.docx</v>
      </c>
    </row>
    <row r="246" spans="2:30" ht="14.1" customHeight="1" x14ac:dyDescent="0.25">
      <c r="B246" s="13">
        <v>135</v>
      </c>
      <c r="C246" s="14" t="s">
        <v>1271</v>
      </c>
      <c r="D246" s="13">
        <v>2</v>
      </c>
      <c r="E246" s="83">
        <v>46007</v>
      </c>
      <c r="F246" s="34">
        <f>_xlfn.LET(
    _xlpm.baseDate, Table47[[#This Row],[Confirmed Sampling Date]] - 14,
    _xlpm.weekdayNum, WEEKDAY(_xlpm.baseDate, 2),
    IF(_xlpm.weekdayNum = 6, _xlpm.baseDate + 2, IF(_xlpm.weekdayNum = 7, _xlpm.baseDate + 1, _xlpm.baseDate))
)</f>
        <v>45993</v>
      </c>
      <c r="G246" s="20">
        <f>IFERROR(WEEKNUM(Table47[[#This Row],[Shipping Date (SD-14)]]),"TBD")</f>
        <v>49</v>
      </c>
      <c r="H246" s="20" t="str">
        <f>IFERROR(TEXT(Table47[[#This Row],[Shipping Date (SD-14)]],"yyyy-mm"),"TBD")</f>
        <v>2025-12</v>
      </c>
      <c r="I246" s="13" t="s">
        <v>863</v>
      </c>
      <c r="J246" s="20" t="str">
        <f>IFERROR(VLOOKUP(Table47[[#This Row],[ToSite-UPSName]],Table1[[#All],[Company or Name]:[Delivery Address]],15,FALSE),"")</f>
        <v>Dusseldorf WWTP 2101</v>
      </c>
      <c r="K246" s="20" t="str">
        <f>IFERROR(VLOOKUP(Table47[[#This Row],[ToSite-UPSName]],Table1[[#All],[Company or Name]:[Delivery Address]],16,FALSE),"")</f>
        <v>Dusseldorf WWTP 601</v>
      </c>
      <c r="L246" s="20"/>
      <c r="M246" s="20">
        <f>IFERROR(VLOOKUP(Table47[[#This Row],[ToSite-UPSName]],Table1[[#All],[Company or Name]:[Delivery Address]],18,FALSE),"")</f>
        <v>0</v>
      </c>
      <c r="N246" s="20">
        <f>IFERROR(VLOOKUP(Table47[[#This Row],[ToSite-UPSName]],Table1[[#All],[Company or Name]:[Delivery Address]],19,FALSE),"")</f>
        <v>0</v>
      </c>
      <c r="O246" s="13"/>
      <c r="P246" s="20"/>
      <c r="Q246" s="20"/>
      <c r="R246" s="20"/>
      <c r="S246" s="20"/>
      <c r="T246" s="65"/>
      <c r="U246" s="13" t="s">
        <v>126</v>
      </c>
      <c r="X246" s="13"/>
      <c r="Y246" s="20" t="str">
        <f>TEXT(Table47[[#This Row],[Confirmed Sampling Date]], "yyyy") &amp; "_" &amp; TEXT(Table47[[#This Row],[Confirmed Sampling Date]], "mm") &amp; "_" &amp; TEXT(Table47[[#This Row],[Confirmed Sampling Date]], "dd")</f>
        <v>2025_12_16</v>
      </c>
      <c r="Z246" s="20" t="str">
        <f>IFERROR(LEFT(J246, FIND(" ", J246) - 1), J246)</f>
        <v>Dusseldorf</v>
      </c>
      <c r="AA246" s="20" t="str">
        <f>VLOOKUP(Table47[[#This Row],[ToSite-UPSName]],Table1[[Company or Name]:[NOTES]],2,FALSE)</f>
        <v>Germany</v>
      </c>
      <c r="AB246" s="20" t="str">
        <f>IFERROR(VLOOKUP(Table47[[#This Row],[ToSite-UPSName]], Table1[[#All],[Company or Name]:[Delivery Address]],20,FALSE),"")</f>
        <v>Auf dem Draap 15, Chemisch-Biologische Laboratorien, Dusseldorf, 40221, Germany</v>
      </c>
      <c r="AC246" s="20" t="str">
        <f>TEXT(Table47[[#This Row],[Shipping Date (SD-14)]]+3,"YYYY-MM-DD")</f>
        <v>2025-12-05</v>
      </c>
      <c r="AD246" s="20" t="str">
        <f>_xlfn.XLOOKUP(Table47[[#This Row],[Type]],kits!C:C,kits!D:D,"",0)</f>
        <v>boxcontentlabel_template_outbound1.docx</v>
      </c>
    </row>
    <row r="247" spans="2:30" ht="14.1" customHeight="1" x14ac:dyDescent="0.25">
      <c r="B247" s="13">
        <v>147</v>
      </c>
      <c r="C247" s="14" t="s">
        <v>1271</v>
      </c>
      <c r="D247" s="13">
        <v>3</v>
      </c>
      <c r="E247" s="34">
        <v>46007</v>
      </c>
      <c r="F247" s="34">
        <f>_xlfn.LET(
    _xlpm.baseDate, Table47[[#This Row],[Confirmed Sampling Date]] - 14,
    _xlpm.weekdayNum, WEEKDAY(_xlpm.baseDate, 2),
    IF(_xlpm.weekdayNum = 6, _xlpm.baseDate + 2, IF(_xlpm.weekdayNum = 7, _xlpm.baseDate + 1, _xlpm.baseDate))
)</f>
        <v>45993</v>
      </c>
      <c r="G247" s="20">
        <f>IFERROR(WEEKNUM(Table47[[#This Row],[Shipping Date (SD-14)]]),"TBD")</f>
        <v>49</v>
      </c>
      <c r="H247" s="20" t="str">
        <f>IFERROR(TEXT(Table47[[#This Row],[Shipping Date (SD-14)]],"yyyy-mm"),"TBD")</f>
        <v>2025-12</v>
      </c>
      <c r="I247" s="13" t="s">
        <v>975</v>
      </c>
      <c r="J247" s="20" t="str">
        <f>IFERROR(VLOOKUP(Table47[[#This Row],[ToSite-UPSName]],Table1[[#All],[Company or Name]:[Delivery Address]],15,FALSE),"")</f>
        <v>Vilnius WWTP</v>
      </c>
      <c r="K247" s="20" t="str">
        <f>IFERROR(VLOOKUP(Table47[[#This Row],[ToSite-UPSName]],Table1[[#All],[Company or Name]:[Delivery Address]],16,FALSE),"")</f>
        <v>Vilnius Bus Terminal</v>
      </c>
      <c r="L247" s="20"/>
      <c r="M247" s="20">
        <f>IFERROR(VLOOKUP(Table47[[#This Row],[ToSite-UPSName]],Table1[[#All],[Company or Name]:[Delivery Address]],18,FALSE),"")</f>
        <v>0</v>
      </c>
      <c r="N247" s="20">
        <f>IFERROR(VLOOKUP(Table47[[#This Row],[ToSite-UPSName]],Table1[[#All],[Company or Name]:[Delivery Address]],19,FALSE),"")</f>
        <v>0</v>
      </c>
      <c r="O247" s="13"/>
      <c r="P247" s="20"/>
      <c r="Q247" s="20"/>
      <c r="R247" s="20"/>
      <c r="S247" s="20"/>
      <c r="T247" s="20"/>
      <c r="U247" s="13" t="s">
        <v>126</v>
      </c>
      <c r="X247" s="13"/>
      <c r="Y247" s="20" t="str">
        <f>TEXT(Table47[[#This Row],[Confirmed Sampling Date]], "yyyy") &amp; "_" &amp; TEXT(Table47[[#This Row],[Confirmed Sampling Date]], "mm") &amp; "_" &amp; TEXT(Table47[[#This Row],[Confirmed Sampling Date]], "dd")</f>
        <v>2025_12_16</v>
      </c>
      <c r="Z247" s="20" t="str">
        <f>IFERROR(LEFT(J247, FIND(" ", J247) - 1), J247)</f>
        <v>Vilnius</v>
      </c>
      <c r="AA247" s="20" t="str">
        <f>VLOOKUP(Table47[[#This Row],[ToSite-UPSName]],Table1[[Company or Name]:[NOTES]],2,FALSE)</f>
        <v>Lithuania</v>
      </c>
      <c r="AB247" s="20" t="str">
        <f>IFERROR(VLOOKUP(Table47[[#This Row],[ToSite-UPSName]], Table1[[#All],[Company or Name]:[Delivery Address]],20,FALSE),"")</f>
        <v>Zolyno 36 gatve, Vilnius, 10210, Lithuania</v>
      </c>
      <c r="AC247" s="20" t="str">
        <f>TEXT(Table47[[#This Row],[Shipping Date (SD-14)]]+3,"YYYY-MM-DD")</f>
        <v>2025-12-05</v>
      </c>
      <c r="AD247" s="20" t="str">
        <f>_xlfn.XLOOKUP(Table47[[#This Row],[Type]],kits!C:C,kits!D:D,"",0)</f>
        <v>boxcontentlabel_template_outbound1.docx</v>
      </c>
    </row>
    <row r="248" spans="2:30" ht="14.1" customHeight="1" x14ac:dyDescent="0.25">
      <c r="B248" s="13">
        <v>175</v>
      </c>
      <c r="C248" s="14" t="s">
        <v>1271</v>
      </c>
      <c r="D248" s="13">
        <v>1</v>
      </c>
      <c r="E248" s="34">
        <v>46007</v>
      </c>
      <c r="F248" s="34">
        <f>_xlfn.LET(
    _xlpm.baseDate, Table47[[#This Row],[Confirmed Sampling Date]] - 14,
    _xlpm.weekdayNum, WEEKDAY(_xlpm.baseDate, 2),
    IF(_xlpm.weekdayNum = 6, _xlpm.baseDate + 2, IF(_xlpm.weekdayNum = 7, _xlpm.baseDate + 1, _xlpm.baseDate))
)</f>
        <v>45993</v>
      </c>
      <c r="G248" s="20">
        <f>IFERROR(WEEKNUM(Table47[[#This Row],[Shipping Date (SD-14)]]),"TBD")</f>
        <v>49</v>
      </c>
      <c r="H248" s="20" t="str">
        <f>IFERROR(TEXT(Table47[[#This Row],[Shipping Date (SD-14)]],"yyyy-mm"),"TBD")</f>
        <v>2025-12</v>
      </c>
      <c r="I248" s="78" t="s">
        <v>1125</v>
      </c>
      <c r="J248" s="20" t="str">
        <f>IFERROR(VLOOKUP(Table47[[#This Row],[ToSite-UPSName]],Table1[[#All],[Company or Name]:[Delivery Address]],15,FALSE),"")</f>
        <v>Cluj-SCBI</v>
      </c>
      <c r="K248" s="20" t="str">
        <f>IFERROR(VLOOKUP(Table47[[#This Row],[ToSite-UPSName]],Table1[[#All],[Company or Name]:[Delivery Address]],16,FALSE),"")</f>
        <v>-</v>
      </c>
      <c r="L248" s="20"/>
      <c r="M248" s="20" t="str">
        <f>IFERROR(VLOOKUP(Table47[[#This Row],[ToSite-UPSName]],Table1[[#All],[Company or Name]:[Delivery Address]],18,FALSE),"")</f>
        <v>-</v>
      </c>
      <c r="N248" s="20" t="str">
        <f>IFERROR(VLOOKUP(Table47[[#This Row],[ToSite-UPSName]],Table1[[#All],[Company or Name]:[Delivery Address]],19,FALSE),"")</f>
        <v>-</v>
      </c>
      <c r="O248" s="13"/>
      <c r="P248" s="20"/>
      <c r="Q248" s="20"/>
      <c r="R248" s="20"/>
      <c r="S248" s="65"/>
      <c r="T248" s="20"/>
      <c r="U248" s="13" t="s">
        <v>126</v>
      </c>
      <c r="X248" s="13"/>
      <c r="Y248" s="20" t="str">
        <f>TEXT(Table47[[#This Row],[Confirmed Sampling Date]], "yyyy") &amp; "_" &amp; TEXT(Table47[[#This Row],[Confirmed Sampling Date]], "mm") &amp; "_" &amp; TEXT(Table47[[#This Row],[Confirmed Sampling Date]], "dd")</f>
        <v>2025_12_16</v>
      </c>
      <c r="Z248" s="20" t="str">
        <f>IFERROR(LEFT(J248, FIND(" ", J248) - 1), J248)</f>
        <v>Cluj-SCBI</v>
      </c>
      <c r="AA248" s="20" t="str">
        <f>VLOOKUP(Table47[[#This Row],[ToSite-UPSName]],Table1[[Company or Name]:[NOTES]],2,FALSE)</f>
        <v>Romania</v>
      </c>
      <c r="AB248" s="20" t="str">
        <f>IFERROR(VLOOKUP(Table47[[#This Row],[ToSite-UPSName]], Table1[[#All],[Company or Name]:[Delivery Address]],20,FALSE),"")</f>
        <v>Strada Iuliu Moldovan 23, Cluj-Napoca, 400003, Romania</v>
      </c>
      <c r="AC248" s="20" t="str">
        <f>TEXT(Table47[[#This Row],[Shipping Date (SD-14)]]+3,"YYYY-MM-DD")</f>
        <v>2025-12-05</v>
      </c>
      <c r="AD248" s="20" t="str">
        <f>_xlfn.XLOOKUP(Table47[[#This Row],[Type]],kits!C:C,kits!D:D,"",0)</f>
        <v>boxcontentlabel_template_outbound1.docx</v>
      </c>
    </row>
    <row r="249" spans="2:30" ht="14.1" customHeight="1" x14ac:dyDescent="0.25">
      <c r="B249" s="13">
        <v>184</v>
      </c>
      <c r="C249" s="14" t="s">
        <v>1271</v>
      </c>
      <c r="D249" s="13">
        <v>1</v>
      </c>
      <c r="E249" s="83">
        <v>46007</v>
      </c>
      <c r="F249" s="83">
        <f>_xlfn.LET(
    _xlpm.baseDate, Table47[[#This Row],[Confirmed Sampling Date]] - 14,
    _xlpm.weekdayNum, WEEKDAY(_xlpm.baseDate, 2),
    IF(_xlpm.weekdayNum = 6, _xlpm.baseDate + 2, IF(_xlpm.weekdayNum = 7, _xlpm.baseDate + 1, _xlpm.baseDate))
)</f>
        <v>45993</v>
      </c>
      <c r="G249" s="20">
        <f>IFERROR(WEEKNUM(Table47[[#This Row],[Shipping Date (SD-14)]]),"TBD")</f>
        <v>49</v>
      </c>
      <c r="H249" s="20" t="str">
        <f>IFERROR(TEXT(Table47[[#This Row],[Shipping Date (SD-14)]],"yyyy-mm"),"TBD")</f>
        <v>2025-12</v>
      </c>
      <c r="I249" s="78" t="s">
        <v>1132</v>
      </c>
      <c r="J249" s="20" t="str">
        <f>IFERROR(VLOOKUP(Table47[[#This Row],[ToSite-UPSName]],Table1[[#All],[Company or Name]:[Delivery Address]],15,FALSE),"")</f>
        <v>Cluj-MNC</v>
      </c>
      <c r="K249" s="20" t="str">
        <f>IFERROR(VLOOKUP(Table47[[#This Row],[ToSite-UPSName]],Table1[[#All],[Company or Name]:[Delivery Address]],16,FALSE),"")</f>
        <v>-</v>
      </c>
      <c r="L249" s="20"/>
      <c r="M249" s="20" t="str">
        <f>IFERROR(VLOOKUP(Table47[[#This Row],[ToSite-UPSName]],Table1[[#All],[Company or Name]:[Delivery Address]],18,FALSE),"")</f>
        <v>-</v>
      </c>
      <c r="N249" s="20" t="str">
        <f>IFERROR(VLOOKUP(Table47[[#This Row],[ToSite-UPSName]],Table1[[#All],[Company or Name]:[Delivery Address]],19,FALSE),"")</f>
        <v>-</v>
      </c>
      <c r="O249" s="13"/>
      <c r="P249" s="20"/>
      <c r="Q249" s="20"/>
      <c r="R249" s="20"/>
      <c r="S249" s="20"/>
      <c r="T249" s="20"/>
      <c r="U249" s="13" t="s">
        <v>126</v>
      </c>
      <c r="X249" s="13"/>
      <c r="Y249" s="20" t="str">
        <f>TEXT(Table47[[#This Row],[Confirmed Sampling Date]], "yyyy") &amp; "_" &amp; TEXT(Table47[[#This Row],[Confirmed Sampling Date]], "mm") &amp; "_" &amp; TEXT(Table47[[#This Row],[Confirmed Sampling Date]], "dd")</f>
        <v>2025_12_16</v>
      </c>
      <c r="Z249" s="20" t="str">
        <f>IFERROR(LEFT(J249, FIND(" ", J249) - 1), J249)</f>
        <v>Cluj-MNC</v>
      </c>
      <c r="AA249" s="20" t="str">
        <f>VLOOKUP(Table47[[#This Row],[ToSite-UPSName]],Table1[[Company or Name]:[NOTES]],2,FALSE)</f>
        <v>Romania</v>
      </c>
      <c r="AB249" s="20" t="str">
        <f>IFERROR(VLOOKUP(Table47[[#This Row],[ToSite-UPSName]], Table1[[#All],[Company or Name]:[Delivery Address]],20,FALSE),"")</f>
        <v>Strada Tăbăcarilor 11, Cluj-Napoca, 400139, Romania</v>
      </c>
      <c r="AC249" s="20" t="str">
        <f>TEXT(Table47[[#This Row],[Shipping Date (SD-14)]]+3,"YYYY-MM-DD")</f>
        <v>2025-12-05</v>
      </c>
      <c r="AD249" s="20" t="str">
        <f>_xlfn.XLOOKUP(Table47[[#This Row],[Type]],kits!C:C,kits!D:D,"",0)</f>
        <v>boxcontentlabel_template_outbound1.docx</v>
      </c>
    </row>
    <row r="250" spans="2:30" ht="14.1" customHeight="1" x14ac:dyDescent="0.25">
      <c r="B250" s="13">
        <v>233</v>
      </c>
      <c r="C250" s="14" t="s">
        <v>1271</v>
      </c>
      <c r="D250" s="13">
        <v>2</v>
      </c>
      <c r="E250" s="83">
        <v>46007</v>
      </c>
      <c r="F250" s="83">
        <f>_xlfn.LET(
    _xlpm.baseDate, Table47[[#This Row],[Confirmed Sampling Date]] - 14,
    _xlpm.weekdayNum, WEEKDAY(_xlpm.baseDate, 2),
    IF(_xlpm.weekdayNum = 6, _xlpm.baseDate + 2, IF(_xlpm.weekdayNum = 7, _xlpm.baseDate + 1, _xlpm.baseDate))
)</f>
        <v>45993</v>
      </c>
      <c r="G250" s="20">
        <f>IFERROR(WEEKNUM(Table47[[#This Row],[Shipping Date (SD-14)]]),"TBD")</f>
        <v>49</v>
      </c>
      <c r="H250" s="20" t="str">
        <f>IFERROR(TEXT(Table47[[#This Row],[Shipping Date (SD-14)]],"yyyy-mm"),"TBD")</f>
        <v>2025-12</v>
      </c>
      <c r="I250" s="13" t="s">
        <v>1598</v>
      </c>
      <c r="J250" s="20" t="str">
        <f>IFERROR(VLOOKUP(Table47[[#This Row],[ToSite-UPSName]],Table1[[#All],[Company or Name]:[Delivery Address]],15,FALSE),"")</f>
        <v>Heraklion WWTP</v>
      </c>
      <c r="K250" s="20" t="str">
        <f>IFERROR(VLOOKUP(Table47[[#This Row],[ToSite-UPSName]],Table1[[#All],[Company or Name]:[Delivery Address]],16,FALSE),"")</f>
        <v>Heraklion Airport</v>
      </c>
      <c r="L250" s="20"/>
      <c r="M250" s="20" t="str">
        <f>IFERROR(VLOOKUP(Table47[[#This Row],[ToSite-UPSName]],Table1[[#All],[Company or Name]:[Delivery Address]],18,FALSE),"")</f>
        <v>-</v>
      </c>
      <c r="N250" s="20" t="str">
        <f>IFERROR(VLOOKUP(Table47[[#This Row],[ToSite-UPSName]],Table1[[#All],[Company or Name]:[Delivery Address]],19,FALSE),"")</f>
        <v>-</v>
      </c>
      <c r="O250" s="13"/>
      <c r="P250" s="20"/>
      <c r="Q250" s="20"/>
      <c r="R250" s="20"/>
      <c r="S250" s="65"/>
      <c r="T250" s="65"/>
      <c r="U250" s="13" t="s">
        <v>126</v>
      </c>
      <c r="X250" s="13"/>
      <c r="Y250" s="20" t="str">
        <f>TEXT(Table47[[#This Row],[Confirmed Sampling Date]], "yyyy") &amp; "_" &amp; TEXT(Table47[[#This Row],[Confirmed Sampling Date]], "mm") &amp; "_" &amp; TEXT(Table47[[#This Row],[Confirmed Sampling Date]], "dd")</f>
        <v>2025_12_16</v>
      </c>
      <c r="Z250" s="20" t="str">
        <f>IFERROR(LEFT(J250, FIND(" ", J250) - 1), J250)</f>
        <v>Heraklion</v>
      </c>
      <c r="AA250" s="20" t="str">
        <f>VLOOKUP(Table47[[#This Row],[ToSite-UPSName]],Table1[[Company or Name]:[NOTES]],2,FALSE)</f>
        <v>Greece</v>
      </c>
      <c r="AB250" s="20" t="str">
        <f>IFERROR(VLOOKUP(Table47[[#This Row],[ToSite-UPSName]], Table1[[#All],[Company or Name]:[Delivery Address]],20,FALSE),"")</f>
        <v>Andrea Kalokerinou 13, Pteryga 3D, Giofirakia, 715 00, Greece</v>
      </c>
      <c r="AC250" s="20" t="str">
        <f>TEXT(Table47[[#This Row],[Shipping Date (SD-14)]]+3,"YYYY-MM-DD")</f>
        <v>2025-12-05</v>
      </c>
      <c r="AD250" s="20" t="str">
        <f>_xlfn.XLOOKUP(Table47[[#This Row],[Type]],kits!C:C,kits!D:D,"",0)</f>
        <v>boxcontentlabel_template_outbound1.docx</v>
      </c>
    </row>
    <row r="251" spans="2:30" ht="14.1" customHeight="1" x14ac:dyDescent="0.25">
      <c r="B251" s="13">
        <v>83</v>
      </c>
      <c r="C251" s="14" t="s">
        <v>1271</v>
      </c>
      <c r="D251" s="13">
        <v>1</v>
      </c>
      <c r="E251" s="83">
        <v>46008</v>
      </c>
      <c r="F251" s="83">
        <f>_xlfn.LET(
    _xlpm.baseDate, Table47[[#This Row],[Confirmed Sampling Date]] - 14,
    _xlpm.weekdayNum, WEEKDAY(_xlpm.baseDate, 2),
    IF(_xlpm.weekdayNum = 6, _xlpm.baseDate + 2, IF(_xlpm.weekdayNum = 7, _xlpm.baseDate + 1, _xlpm.baseDate))
)</f>
        <v>45994</v>
      </c>
      <c r="G251" s="20">
        <f>IFERROR(WEEKNUM(Table47[[#This Row],[Shipping Date (SD-14)]]),"TBD")</f>
        <v>49</v>
      </c>
      <c r="H251" s="20" t="str">
        <f>IFERROR(TEXT(Table47[[#This Row],[Shipping Date (SD-14)]],"yyyy-mm"),"TBD")</f>
        <v>2025-12</v>
      </c>
      <c r="I251" s="13" t="s">
        <v>680</v>
      </c>
      <c r="J251" s="13" t="str">
        <f>IFERROR(VLOOKUP(Table47[[#This Row],[ToSite-UPSName]],Table1[[#All],[Company or Name]:[Delivery Address]],15,FALSE),"")</f>
        <v>Rome WWTP</v>
      </c>
      <c r="K251" s="20" t="str">
        <f>IFERROR(VLOOKUP(Table47[[#This Row],[ToSite-UPSName]],Table1[[#All],[Company or Name]:[Delivery Address]],16,FALSE),"")</f>
        <v>-</v>
      </c>
      <c r="L251" s="13" t="str">
        <f>IFERROR(VLOOKUP(Table47[[#This Row],[ToSite-UPSName]],Table1[[#All],[Company or Name]:[Delivery Address]],17,FALSE),"")</f>
        <v>-</v>
      </c>
      <c r="M251" s="20" t="str">
        <f>IFERROR(VLOOKUP(Table47[[#This Row],[ToSite-UPSName]],Table1[[#All],[Company or Name]:[Delivery Address]],18,FALSE),"")</f>
        <v>-</v>
      </c>
      <c r="N251" s="20" t="str">
        <f>IFERROR(VLOOKUP(Table47[[#This Row],[ToSite-UPSName]],Table1[[#All],[Company or Name]:[Delivery Address]],19,FALSE),"")</f>
        <v>-</v>
      </c>
      <c r="O251" s="13"/>
      <c r="P251" s="20"/>
      <c r="Q251" s="20"/>
      <c r="R251" s="20"/>
      <c r="S251" s="20"/>
      <c r="T251" s="65"/>
      <c r="U251" s="13" t="s">
        <v>126</v>
      </c>
      <c r="X251" s="13"/>
      <c r="Y251" s="20" t="str">
        <f>TEXT(Table47[[#This Row],[Confirmed Sampling Date]], "yyyy") &amp; "_" &amp; TEXT(Table47[[#This Row],[Confirmed Sampling Date]], "mm") &amp; "_" &amp; TEXT(Table47[[#This Row],[Confirmed Sampling Date]], "dd")</f>
        <v>2025_12_17</v>
      </c>
      <c r="Z251" s="20" t="str">
        <f>IFERROR(LEFT(J251, FIND(" ", J251) - 1), J251)</f>
        <v>Rome</v>
      </c>
      <c r="AA251" s="20" t="str">
        <f>VLOOKUP(Table47[[#This Row],[ToSite-UPSName]],Table1[[Company or Name]:[NOTES]],2,FALSE)</f>
        <v>Italy</v>
      </c>
      <c r="AB251" s="20" t="str">
        <f>IFERROR(VLOOKUP(Table47[[#This Row],[ToSite-UPSName]], Table1[[#All],[Company or Name]:[Delivery Address]],20,FALSE),"")</f>
        <v>Via dell'Equitazione 10, Rome, 00144, Italy</v>
      </c>
      <c r="AC251" s="20" t="str">
        <f>TEXT(Table47[[#This Row],[Shipping Date (SD-14)]]+3,"YYYY-MM-DD")</f>
        <v>2025-12-06</v>
      </c>
      <c r="AD251" s="20" t="str">
        <f>_xlfn.XLOOKUP(Table47[[#This Row],[Type]],kits!C:C,kits!D:D,"",0)</f>
        <v>boxcontentlabel_template_outbound1.docx</v>
      </c>
    </row>
    <row r="252" spans="2:30" ht="14.1" customHeight="1" x14ac:dyDescent="0.25">
      <c r="B252" s="13">
        <v>97</v>
      </c>
      <c r="C252" s="14" t="s">
        <v>1271</v>
      </c>
      <c r="D252" s="13">
        <v>1</v>
      </c>
      <c r="E252" s="83">
        <v>46008</v>
      </c>
      <c r="F252" s="83">
        <f>_xlfn.LET(
    _xlpm.baseDate, Table47[[#This Row],[Confirmed Sampling Date]] - 14,
    _xlpm.weekdayNum, WEEKDAY(_xlpm.baseDate, 2),
    IF(_xlpm.weekdayNum = 6, _xlpm.baseDate + 2, IF(_xlpm.weekdayNum = 7, _xlpm.baseDate + 1, _xlpm.baseDate))
)</f>
        <v>45994</v>
      </c>
      <c r="G252" s="20">
        <f>IFERROR(WEEKNUM(Table47[[#This Row],[Shipping Date (SD-14)]]),"TBD")</f>
        <v>49</v>
      </c>
      <c r="H252" s="20" t="str">
        <f>IFERROR(TEXT(Table47[[#This Row],[Shipping Date (SD-14)]],"yyyy-mm"),"TBD")</f>
        <v>2025-12</v>
      </c>
      <c r="I252" s="13" t="s">
        <v>771</v>
      </c>
      <c r="J252" s="20" t="str">
        <f>IFERROR(VLOOKUP(Table47[[#This Row],[ToSite-UPSName]],Table1[[#All],[Company or Name]:[Delivery Address]],15,FALSE),"")</f>
        <v>RomeAirport</v>
      </c>
      <c r="K252" s="20" t="str">
        <f>IFERROR(VLOOKUP(Table47[[#This Row],[ToSite-UPSName]],Table1[[#All],[Company or Name]:[Delivery Address]],16,FALSE),"")</f>
        <v>-</v>
      </c>
      <c r="L252" s="13" t="str">
        <f>IFERROR(VLOOKUP(Table47[[#This Row],[ToSite-UPSName]],Table1[[#All],[Company or Name]:[Delivery Address]],17,FALSE),"")</f>
        <v>-</v>
      </c>
      <c r="M252" s="20" t="str">
        <f>IFERROR(VLOOKUP(Table47[[#This Row],[ToSite-UPSName]],Table1[[#All],[Company or Name]:[Delivery Address]],18,FALSE),"")</f>
        <v>-</v>
      </c>
      <c r="N252" s="20" t="str">
        <f>IFERROR(VLOOKUP(Table47[[#This Row],[ToSite-UPSName]],Table1[[#All],[Company or Name]:[Delivery Address]],19,FALSE),"")</f>
        <v>-</v>
      </c>
      <c r="O252" s="13"/>
      <c r="P252" s="20"/>
      <c r="Q252" s="20"/>
      <c r="R252" s="20"/>
      <c r="S252" s="20"/>
      <c r="T252" s="20"/>
      <c r="U252" s="13" t="s">
        <v>126</v>
      </c>
      <c r="X252" s="13"/>
      <c r="Y252" s="20" t="str">
        <f>TEXT(Table47[[#This Row],[Confirmed Sampling Date]], "yyyy") &amp; "_" &amp; TEXT(Table47[[#This Row],[Confirmed Sampling Date]], "mm") &amp; "_" &amp; TEXT(Table47[[#This Row],[Confirmed Sampling Date]], "dd")</f>
        <v>2025_12_17</v>
      </c>
      <c r="Z252" s="20" t="str">
        <f>IFERROR(LEFT(J252, FIND(" ", J252) - 1), J252)</f>
        <v>RomeAirport</v>
      </c>
      <c r="AA252" s="20" t="str">
        <f>VLOOKUP(Table47[[#This Row],[ToSite-UPSName]],Table1[[Company or Name]:[NOTES]],2,FALSE)</f>
        <v>Italy</v>
      </c>
      <c r="AB252" s="20" t="str">
        <f>IFERROR(VLOOKUP(Table47[[#This Row],[ToSite-UPSName]], Table1[[#All],[Company or Name]:[Delivery Address]],20,FALSE),"")</f>
        <v>VIA FRATELLI WRIGHT (DEPURATORE BIOLOGICO), FIUMICINO, 00054, Italy</v>
      </c>
      <c r="AC252" s="20" t="str">
        <f>TEXT(Table47[[#This Row],[Shipping Date (SD-14)]]+3,"YYYY-MM-DD")</f>
        <v>2025-12-06</v>
      </c>
      <c r="AD252" s="20" t="str">
        <f>_xlfn.XLOOKUP(Table47[[#This Row],[Type]],kits!C:C,kits!D:D,"",0)</f>
        <v>boxcontentlabel_template_outbound1.docx</v>
      </c>
    </row>
    <row r="253" spans="2:30" ht="14.1" customHeight="1" x14ac:dyDescent="0.25">
      <c r="B253" s="13">
        <v>157</v>
      </c>
      <c r="C253" s="14" t="s">
        <v>1271</v>
      </c>
      <c r="D253" s="13">
        <v>20</v>
      </c>
      <c r="E253" s="80">
        <v>46008</v>
      </c>
      <c r="F253" s="83">
        <f>_xlfn.LET(
    _xlpm.baseDate, Table47[[#This Row],[Confirmed Sampling Date]] - 14,
    _xlpm.weekdayNum, WEEKDAY(_xlpm.baseDate, 2),
    IF(_xlpm.weekdayNum = 6, _xlpm.baseDate + 2, IF(_xlpm.weekdayNum = 7, _xlpm.baseDate + 1, _xlpm.baseDate))
)</f>
        <v>45994</v>
      </c>
      <c r="G253" s="20">
        <f>IFERROR(WEEKNUM(Table47[[#This Row],[Shipping Date (SD-14)]]),"TBD")</f>
        <v>49</v>
      </c>
      <c r="H253" s="20" t="str">
        <f>IFERROR(TEXT(Table47[[#This Row],[Shipping Date (SD-14)]],"yyyy-mm"),"TBD")</f>
        <v>2025-12</v>
      </c>
      <c r="I253" s="78" t="s">
        <v>1628</v>
      </c>
      <c r="J253" s="20" t="str">
        <f>IFERROR(VLOOKUP(Table47[[#This Row],[ToSite-UPSName]],Table1[[#All],[Company or Name]:[Delivery Address]],15,FALSE),"")</f>
        <v>Funchal WWTP</v>
      </c>
      <c r="K253" s="20" t="str">
        <f>IFERROR(VLOOKUP(Table47[[#This Row],[ToSite-UPSName]],Table1[[#All],[Company or Name]:[Delivery Address]],16,FALSE),"")</f>
        <v>Madeira, 10 locations</v>
      </c>
      <c r="L253" s="20"/>
      <c r="M253" s="20">
        <f>IFERROR(VLOOKUP(Table47[[#This Row],[ToSite-UPSName]],Table1[[#All],[Company or Name]:[Delivery Address]],18,FALSE),"")</f>
        <v>0</v>
      </c>
      <c r="N253" s="20">
        <f>IFERROR(VLOOKUP(Table47[[#This Row],[ToSite-UPSName]],Table1[[#All],[Company or Name]:[Delivery Address]],19,FALSE),"")</f>
        <v>0</v>
      </c>
      <c r="O253" s="13"/>
      <c r="P253" s="20"/>
      <c r="Q253" s="20"/>
      <c r="R253" s="20"/>
      <c r="S253" s="65"/>
      <c r="T253" s="65"/>
      <c r="U253" s="13" t="s">
        <v>126</v>
      </c>
      <c r="X253" s="13"/>
      <c r="Y253" s="20" t="str">
        <f>TEXT(Table47[[#This Row],[Confirmed Sampling Date]], "yyyy") &amp; "_" &amp; TEXT(Table47[[#This Row],[Confirmed Sampling Date]], "mm") &amp; "_" &amp; TEXT(Table47[[#This Row],[Confirmed Sampling Date]], "dd")</f>
        <v>2025_12_17</v>
      </c>
      <c r="Z253" s="20" t="str">
        <f>IFERROR(LEFT(J253, FIND(" ", J253) - 1), J253)</f>
        <v>Funchal</v>
      </c>
      <c r="AA253" s="20" t="str">
        <f>VLOOKUP(Table47[[#This Row],[ToSite-UPSName]],Table1[[Company or Name]:[NOTES]],2,FALSE)</f>
        <v>Portugal</v>
      </c>
      <c r="AB253" s="20" t="str">
        <f>IFERROR(VLOOKUP(Table47[[#This Row],[ToSite-UPSName]], Table1[[#All],[Company or Name]:[Delivery Address]],20,FALSE),"")</f>
        <v>R. do Matadouro 4, Funchal, 9050-100, Portugal</v>
      </c>
      <c r="AC253" s="20" t="str">
        <f>TEXT(Table47[[#This Row],[Shipping Date (SD-14)]]+3,"YYYY-MM-DD")</f>
        <v>2025-12-06</v>
      </c>
      <c r="AD253" s="20" t="str">
        <f>_xlfn.XLOOKUP(Table47[[#This Row],[Type]],kits!C:C,kits!D:D,"",0)</f>
        <v>boxcontentlabel_template_outbound1.docx</v>
      </c>
    </row>
    <row r="254" spans="2:30" ht="14.1" customHeight="1" x14ac:dyDescent="0.25">
      <c r="B254" s="13">
        <v>201</v>
      </c>
      <c r="C254" s="85" t="s">
        <v>1272</v>
      </c>
      <c r="D254" s="13">
        <v>4</v>
      </c>
      <c r="E254" s="83">
        <v>46008</v>
      </c>
      <c r="F254" s="83">
        <f>_xlfn.LET(
    _xlpm.baseDate, Table47[[#This Row],[Confirmed Sampling Date]] - 14,
    _xlpm.weekdayNum, WEEKDAY(_xlpm.baseDate, 2),
    IF(_xlpm.weekdayNum = 6, _xlpm.baseDate + 2, IF(_xlpm.weekdayNum = 7, _xlpm.baseDate + 1, _xlpm.baseDate))
)</f>
        <v>45994</v>
      </c>
      <c r="G254" s="20">
        <f>IFERROR(WEEKNUM(Table47[[#This Row],[Shipping Date (SD-14)]]),"TBD")</f>
        <v>49</v>
      </c>
      <c r="H254" s="20" t="str">
        <f>IFERROR(TEXT(Table47[[#This Row],[Shipping Date (SD-14)]],"yyyy-mm"),"TBD")</f>
        <v>2025-12</v>
      </c>
      <c r="I254" s="13" t="s">
        <v>1628</v>
      </c>
      <c r="J254" s="20" t="str">
        <f>IFERROR(VLOOKUP(Table47[[#This Row],[ToSite-UPSName]],Table1[[#All],[Company or Name]:[Delivery Address]],15,FALSE),"")</f>
        <v>Funchal WWTP</v>
      </c>
      <c r="K254" s="20" t="str">
        <f>IFERROR(VLOOKUP(Table47[[#This Row],[ToSite-UPSName]],Table1[[#All],[Company or Name]:[Delivery Address]],16,FALSE),"")</f>
        <v>Madeira, 10 locations</v>
      </c>
      <c r="L254" s="20"/>
      <c r="M254" s="20">
        <f>IFERROR(VLOOKUP(Table47[[#This Row],[ToSite-UPSName]],Table1[[#All],[Company or Name]:[Delivery Address]],18,FALSE),"")</f>
        <v>0</v>
      </c>
      <c r="N254" s="20">
        <f>IFERROR(VLOOKUP(Table47[[#This Row],[ToSite-UPSName]],Table1[[#All],[Company or Name]:[Delivery Address]],19,FALSE),"")</f>
        <v>0</v>
      </c>
      <c r="O254" s="13"/>
      <c r="P254" s="20"/>
      <c r="Q254" s="20"/>
      <c r="R254" s="20"/>
      <c r="S254" s="20"/>
      <c r="T254" s="20"/>
      <c r="U254" s="13" t="s">
        <v>126</v>
      </c>
      <c r="X254" s="13"/>
      <c r="Y254" s="20" t="str">
        <f>TEXT(Table47[[#This Row],[Confirmed Sampling Date]], "yyyy") &amp; "_" &amp; TEXT(Table47[[#This Row],[Confirmed Sampling Date]], "mm") &amp; "_" &amp; TEXT(Table47[[#This Row],[Confirmed Sampling Date]], "dd")</f>
        <v>2025_12_17</v>
      </c>
      <c r="Z254" s="20" t="str">
        <f>IFERROR(LEFT(J254, FIND(" ", J254) - 1), J254)</f>
        <v>Funchal</v>
      </c>
      <c r="AA254" s="20" t="str">
        <f>VLOOKUP(Table47[[#This Row],[ToSite-UPSName]],Table1[[Company or Name]:[NOTES]],2,FALSE)</f>
        <v>Portugal</v>
      </c>
      <c r="AB254" s="20" t="str">
        <f>IFERROR(VLOOKUP(Table47[[#This Row],[ToSite-UPSName]], Table1[[#All],[Company or Name]:[Delivery Address]],20,FALSE),"")</f>
        <v>R. do Matadouro 4, Funchal, 9050-100, Portugal</v>
      </c>
      <c r="AC254" s="20" t="str">
        <f>TEXT(Table47[[#This Row],[Shipping Date (SD-14)]]+3,"YYYY-MM-DD")</f>
        <v>2025-12-06</v>
      </c>
      <c r="AD254" s="20" t="str">
        <f>_xlfn.XLOOKUP(Table47[[#This Row],[Type]],kits!C:C,kits!D:D,"",0)</f>
        <v>boxcontentlabel_template_outbound2.docx</v>
      </c>
    </row>
    <row r="255" spans="2:30" ht="14.1" customHeight="1" x14ac:dyDescent="0.25">
      <c r="B255" s="13">
        <v>226</v>
      </c>
      <c r="C255" s="14" t="s">
        <v>1271</v>
      </c>
      <c r="D255" s="13">
        <v>2</v>
      </c>
      <c r="E255" s="83">
        <v>46008</v>
      </c>
      <c r="F255" s="83">
        <f>_xlfn.LET(
    _xlpm.baseDate, Table47[[#This Row],[Confirmed Sampling Date]] - 14,
    _xlpm.weekdayNum, WEEKDAY(_xlpm.baseDate, 2),
    IF(_xlpm.weekdayNum = 6, _xlpm.baseDate + 2, IF(_xlpm.weekdayNum = 7, _xlpm.baseDate + 1, _xlpm.baseDate))
)</f>
        <v>45994</v>
      </c>
      <c r="G255" s="20">
        <f>IFERROR(WEEKNUM(Table47[[#This Row],[Shipping Date (SD-14)]]),"TBD")</f>
        <v>49</v>
      </c>
      <c r="H255" s="20" t="str">
        <f>IFERROR(TEXT(Table47[[#This Row],[Shipping Date (SD-14)]],"yyyy-mm"),"TBD")</f>
        <v>2025-12</v>
      </c>
      <c r="I255" s="13" t="s">
        <v>1590</v>
      </c>
      <c r="J255" s="20" t="str">
        <f>IFERROR(VLOOKUP(Table47[[#This Row],[ToSite-UPSName]],Table1[[#All],[Company or Name]:[Delivery Address]],15,FALSE),"")</f>
        <v>Àthens WWTP</v>
      </c>
      <c r="K255" s="20" t="str">
        <f>IFERROR(VLOOKUP(Table47[[#This Row],[ToSite-UPSName]],Table1[[#All],[Company or Name]:[Delivery Address]],16,FALSE),"")</f>
        <v>Athens Airport</v>
      </c>
      <c r="L255" s="20"/>
      <c r="M255" s="20" t="str">
        <f>IFERROR(VLOOKUP(Table47[[#This Row],[ToSite-UPSName]],Table1[[#All],[Company or Name]:[Delivery Address]],18,FALSE),"")</f>
        <v>-</v>
      </c>
      <c r="N255" s="20" t="str">
        <f>IFERROR(VLOOKUP(Table47[[#This Row],[ToSite-UPSName]],Table1[[#All],[Company or Name]:[Delivery Address]],19,FALSE),"")</f>
        <v>-</v>
      </c>
      <c r="O255" s="13"/>
      <c r="P255" s="20"/>
      <c r="Q255" s="20"/>
      <c r="R255" s="20"/>
      <c r="S255" s="20"/>
      <c r="T255" s="20"/>
      <c r="U255" s="13" t="s">
        <v>126</v>
      </c>
      <c r="X255" s="13"/>
      <c r="Y255" s="20" t="str">
        <f>TEXT(Table47[[#This Row],[Confirmed Sampling Date]], "yyyy") &amp; "_" &amp; TEXT(Table47[[#This Row],[Confirmed Sampling Date]], "mm") &amp; "_" &amp; TEXT(Table47[[#This Row],[Confirmed Sampling Date]], "dd")</f>
        <v>2025_12_17</v>
      </c>
      <c r="Z255" s="20" t="str">
        <f>IFERROR(LEFT(J255, FIND(" ", J255) - 1), J255)</f>
        <v>Àthens</v>
      </c>
      <c r="AA255" s="20" t="str">
        <f>VLOOKUP(Table47[[#This Row],[ToSite-UPSName]],Table1[[Company or Name]:[NOTES]],2,FALSE)</f>
        <v>Greece</v>
      </c>
      <c r="AB255" s="20" t="str">
        <f>IFERROR(VLOOKUP(Table47[[#This Row],[ToSite-UPSName]], Table1[[#All],[Company or Name]:[Delivery Address]],20,FALSE),"")</f>
        <v>Zografou, 4ος όροφος, εργαστήριο αριθμός 8, Athens,  157 71, Greece</v>
      </c>
      <c r="AC255" s="20" t="str">
        <f>TEXT(Table47[[#This Row],[Shipping Date (SD-14)]]+3,"YYYY-MM-DD")</f>
        <v>2025-12-06</v>
      </c>
      <c r="AD255" s="20" t="str">
        <f>_xlfn.XLOOKUP(Table47[[#This Row],[Type]],kits!C:C,kits!D:D,"",0)</f>
        <v>boxcontentlabel_template_outbound1.docx</v>
      </c>
    </row>
    <row r="256" spans="2:30" ht="14.1" customHeight="1" x14ac:dyDescent="0.25">
      <c r="B256" s="13">
        <v>246</v>
      </c>
      <c r="C256" s="14" t="s">
        <v>1271</v>
      </c>
      <c r="D256" s="13">
        <v>2</v>
      </c>
      <c r="E256" s="83">
        <v>46008</v>
      </c>
      <c r="F256" s="83">
        <f>_xlfn.LET(
    _xlpm.baseDate, Table47[[#This Row],[Confirmed Sampling Date]] - 14,
    _xlpm.weekdayNum, WEEKDAY(_xlpm.baseDate, 2),
    IF(_xlpm.weekdayNum = 6, _xlpm.baseDate + 2, IF(_xlpm.weekdayNum = 7, _xlpm.baseDate + 1, _xlpm.baseDate))
)</f>
        <v>45994</v>
      </c>
      <c r="G256" s="20">
        <f>IFERROR(WEEKNUM(Table47[[#This Row],[Shipping Date (SD-14)]]),"TBD")</f>
        <v>49</v>
      </c>
      <c r="H256" s="20" t="str">
        <f>IFERROR(TEXT(Table47[[#This Row],[Shipping Date (SD-14)]],"yyyy-mm"),"TBD")</f>
        <v>2025-12</v>
      </c>
      <c r="I256" s="13" t="s">
        <v>637</v>
      </c>
      <c r="J256" s="20" t="str">
        <f>IFERROR(VLOOKUP(Table47[[#This Row],[ToSite-UPSName]],Table1[[#All],[Company or Name]:[Delivery Address]],15,FALSE),"")</f>
        <v>Luxembourg (Beggen) WWTP</v>
      </c>
      <c r="K256" s="20" t="str">
        <f>IFERROR(VLOOKUP(Table47[[#This Row],[ToSite-UPSName]],Table1[[#All],[Company or Name]:[Delivery Address]],16,FALSE),"")</f>
        <v>Luxembourg Airport</v>
      </c>
      <c r="L256" s="20"/>
      <c r="M256" s="20" t="str">
        <f>IFERROR(VLOOKUP(Table47[[#This Row],[ToSite-UPSName]],Table1[[#All],[Company or Name]:[Delivery Address]],18,FALSE),"")</f>
        <v>-</v>
      </c>
      <c r="N256" s="20" t="str">
        <f>IFERROR(VLOOKUP(Table47[[#This Row],[ToSite-UPSName]],Table1[[#All],[Company or Name]:[Delivery Address]],19,FALSE),"")</f>
        <v>-</v>
      </c>
      <c r="O256" s="13"/>
      <c r="P256" s="20"/>
      <c r="Q256" s="20"/>
      <c r="R256" s="20"/>
      <c r="S256" s="20"/>
      <c r="T256" s="20"/>
      <c r="U256" s="13" t="s">
        <v>126</v>
      </c>
      <c r="X256" s="13"/>
      <c r="Y256" s="20" t="str">
        <f>TEXT(Table47[[#This Row],[Confirmed Sampling Date]], "yyyy") &amp; "_" &amp; TEXT(Table47[[#This Row],[Confirmed Sampling Date]], "mm") &amp; "_" &amp; TEXT(Table47[[#This Row],[Confirmed Sampling Date]], "dd")</f>
        <v>2025_12_17</v>
      </c>
      <c r="Z256" s="20" t="str">
        <f>IFERROR(LEFT(J256, FIND(" ", J256) - 1), J256)</f>
        <v>Luxembourg</v>
      </c>
      <c r="AA256" s="20" t="str">
        <f>VLOOKUP(Table47[[#This Row],[ToSite-UPSName]],Table1[[Company or Name]:[NOTES]],2,FALSE)</f>
        <v>Luxembourg</v>
      </c>
      <c r="AB256" s="20" t="str">
        <f>IFERROR(VLOOKUP(Table47[[#This Row],[ToSite-UPSName]], Table1[[#All],[Company or Name]:[Delivery Address]],20,FALSE),"")</f>
        <v>41 rue du Brill, Luxembourg, L-4422 , Luxembourg</v>
      </c>
      <c r="AC256" s="20" t="str">
        <f>TEXT(Table47[[#This Row],[Shipping Date (SD-14)]]+3,"YYYY-MM-DD")</f>
        <v>2025-12-06</v>
      </c>
      <c r="AD256" s="20" t="str">
        <f>_xlfn.XLOOKUP(Table47[[#This Row],[Type]],kits!C:C,kits!D:D,"",0)</f>
        <v>boxcontentlabel_template_outbound1.docx</v>
      </c>
    </row>
  </sheetData>
  <phoneticPr fontId="3" type="noConversion"/>
  <conditionalFormatting sqref="U5:U256 X5:X256">
    <cfRule type="cellIs" dxfId="1" priority="4" operator="equal">
      <formula>"YES"</formula>
    </cfRule>
    <cfRule type="cellIs" dxfId="0" priority="5" operator="equal">
      <formula>"NO"</formula>
    </cfRule>
  </conditionalFormatting>
  <conditionalFormatting sqref="T66">
    <cfRule type="cellIs" dxfId="177" priority="1" operator="equal">
      <formula>"YES"</formula>
    </cfRule>
    <cfRule type="cellIs" dxfId="176" priority="2" operator="equal">
      <formula>"NO"</formula>
    </cfRule>
  </conditionalFormatting>
  <dataValidations count="1">
    <dataValidation type="list" allowBlank="1" showInputMessage="1" showErrorMessage="1" sqref="U5:U256" xr:uid="{B9301EF1-746B-4425-9030-9EC24582B9CB}">
      <formula1>"YES,NO"</formula1>
    </dataValidation>
  </dataValidations>
  <hyperlinks>
    <hyperlink ref="T10" r:id="rId1" display="https://eur05.safelinks.protection.outlook.com/?url=https%3A%2F%2Fmydhl.express.dhl%2Fnl%2Fen%2Ftracking.html%23%2Fresults%3Fid%3D1016562094&amp;data=05%7C02%7C%7Cdefbc01a38db433c802608dda818a357%7Cc94e273229d641d689d908c9798a6601%7C0%7C0%7C638851546266569490%7CUnknown%7CTWFpbGZsb3d8eyJFbXB0eU1hcGkiOnRydWUsIlYiOiIwLjAuMDAwMCIsIlAiOiJXaW4zMiIsIkFOIjoiTWFpbCIsIldUIjoyfQ%3D%3D%7C0%7C%7C%7C&amp;sdata=3GptTIxyQdTA3g4gDLs2GpvXpXhwV6ZGe6HG%2BDz%2BL9s%3D&amp;reserved=0" xr:uid="{22F5B7BD-0ABE-4629-8422-4E3D2D7E2A4D}"/>
  </hyperlinks>
  <pageMargins left="0.7" right="0.7" top="0.75" bottom="0.75" header="0.3" footer="0.3"/>
  <pageSetup paperSize="9" orientation="portrait" r:id="rId2"/>
  <drawing r:id="rId3"/>
  <legacyDrawing r:id="rId4"/>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2FC93BE7-0137-4534-AD62-F2407B852954}">
          <x14:formula1>
            <xm:f>kits!$C$3:$C$5</xm:f>
          </x14:formula1>
          <xm:sqref>C5:C256</xm:sqref>
        </x14:dataValidation>
        <x14:dataValidation type="list" allowBlank="1" showInputMessage="1" showErrorMessage="1" xr:uid="{777604DF-C192-403B-9417-6E0EB87B5333}">
          <x14:formula1>
            <xm:f>sites!$D$3:$D$25</xm:f>
          </x14:formula1>
          <xm:sqref>I5:I256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28EA5-CEBC-48E2-BD62-A8E41891EC02}">
  <dimension ref="F1:M52"/>
  <sheetViews>
    <sheetView topLeftCell="A25" workbookViewId="0">
      <selection activeCell="G25" sqref="G25"/>
    </sheetView>
  </sheetViews>
  <sheetFormatPr defaultRowHeight="15" x14ac:dyDescent="0.25"/>
  <cols>
    <col min="6" max="6" width="27.7109375" style="13" bestFit="1" customWidth="1"/>
    <col min="7" max="7" width="19.5703125" bestFit="1" customWidth="1"/>
    <col min="9" max="9" width="32.5703125" bestFit="1" customWidth="1"/>
    <col min="10" max="10" width="19.140625" style="133" bestFit="1" customWidth="1"/>
    <col min="12" max="12" width="10.5703125" bestFit="1" customWidth="1"/>
    <col min="13" max="13" width="19.85546875" bestFit="1" customWidth="1"/>
  </cols>
  <sheetData>
    <row r="1" spans="6:13" x14ac:dyDescent="0.25">
      <c r="I1" s="108"/>
      <c r="L1" s="108"/>
      <c r="M1" s="108"/>
    </row>
    <row r="2" spans="6:13" x14ac:dyDescent="0.25">
      <c r="F2" s="13" t="s">
        <v>1974</v>
      </c>
      <c r="G2" t="s">
        <v>1975</v>
      </c>
      <c r="I2" s="108"/>
      <c r="M2" s="108"/>
    </row>
    <row r="3" spans="6:13" ht="30" customHeight="1" x14ac:dyDescent="0.25">
      <c r="F3" s="13" t="s">
        <v>1956</v>
      </c>
      <c r="G3" s="133" t="s">
        <v>2004</v>
      </c>
      <c r="I3" s="108"/>
      <c r="M3" s="108"/>
    </row>
    <row r="4" spans="6:13" ht="32.25" customHeight="1" x14ac:dyDescent="0.25">
      <c r="F4" s="13" t="s">
        <v>1971</v>
      </c>
      <c r="G4" s="133" t="s">
        <v>1951</v>
      </c>
      <c r="I4" s="108"/>
      <c r="M4" s="108"/>
    </row>
    <row r="5" spans="6:13" ht="32.25" customHeight="1" x14ac:dyDescent="0.25">
      <c r="F5" s="13" t="s">
        <v>1940</v>
      </c>
      <c r="G5" s="133" t="s">
        <v>1942</v>
      </c>
      <c r="I5" s="108"/>
      <c r="M5" s="108"/>
    </row>
    <row r="6" spans="6:13" ht="30.75" customHeight="1" x14ac:dyDescent="0.25">
      <c r="F6" s="13" t="s">
        <v>1953</v>
      </c>
      <c r="G6" s="133" t="s">
        <v>1943</v>
      </c>
      <c r="I6" s="108"/>
      <c r="M6" s="108"/>
    </row>
    <row r="7" spans="6:13" ht="16.5" customHeight="1" x14ac:dyDescent="0.25">
      <c r="F7" s="13" t="s">
        <v>1957</v>
      </c>
      <c r="G7" s="133" t="s">
        <v>1783</v>
      </c>
      <c r="I7" s="108"/>
      <c r="M7" s="108"/>
    </row>
    <row r="8" spans="6:13" ht="32.25" customHeight="1" x14ac:dyDescent="0.25">
      <c r="F8" s="13" t="s">
        <v>1954</v>
      </c>
      <c r="G8" s="133" t="s">
        <v>1944</v>
      </c>
      <c r="I8" s="108"/>
      <c r="L8" s="108"/>
      <c r="M8" s="108"/>
    </row>
    <row r="9" spans="6:13" ht="16.5" customHeight="1" x14ac:dyDescent="0.25">
      <c r="F9" s="13" t="s">
        <v>1965</v>
      </c>
      <c r="G9" s="133" t="s">
        <v>1791</v>
      </c>
      <c r="I9" s="108"/>
      <c r="L9" s="108"/>
      <c r="M9" s="108"/>
    </row>
    <row r="10" spans="6:13" ht="18" customHeight="1" x14ac:dyDescent="0.25">
      <c r="F10" s="13" t="s">
        <v>1964</v>
      </c>
      <c r="G10" s="133" t="s">
        <v>1790</v>
      </c>
      <c r="I10" s="108"/>
      <c r="L10" s="108"/>
      <c r="M10" s="108"/>
    </row>
    <row r="11" spans="6:13" ht="30.75" customHeight="1" x14ac:dyDescent="0.25">
      <c r="F11" s="13" t="s">
        <v>1963</v>
      </c>
      <c r="G11" s="133" t="s">
        <v>1946</v>
      </c>
      <c r="I11" s="108"/>
      <c r="L11" s="108"/>
      <c r="M11" s="108"/>
    </row>
    <row r="12" spans="6:13" ht="16.5" customHeight="1" x14ac:dyDescent="0.25">
      <c r="F12" s="13" t="s">
        <v>1961</v>
      </c>
      <c r="G12" s="133" t="s">
        <v>1793</v>
      </c>
      <c r="I12" s="108"/>
      <c r="L12" s="108"/>
      <c r="M12" s="108"/>
    </row>
    <row r="13" spans="6:13" ht="315.75" customHeight="1" x14ac:dyDescent="0.25">
      <c r="F13" s="13" t="s">
        <v>1970</v>
      </c>
      <c r="G13" s="133" t="s">
        <v>1972</v>
      </c>
      <c r="I13" s="108"/>
      <c r="L13" s="108"/>
      <c r="M13" s="108"/>
    </row>
    <row r="14" spans="6:13" ht="60" customHeight="1" x14ac:dyDescent="0.25">
      <c r="F14" s="13" t="s">
        <v>1970</v>
      </c>
      <c r="G14" s="133" t="s">
        <v>1950</v>
      </c>
      <c r="I14" s="108"/>
      <c r="L14" s="108"/>
      <c r="M14" s="108"/>
    </row>
    <row r="15" spans="6:13" x14ac:dyDescent="0.25">
      <c r="F15" s="13" t="s">
        <v>1967</v>
      </c>
      <c r="G15" s="133" t="s">
        <v>1952</v>
      </c>
      <c r="I15" s="108"/>
      <c r="J15" s="135"/>
      <c r="L15" s="108"/>
      <c r="M15" s="108"/>
    </row>
    <row r="16" spans="6:13" ht="30" x14ac:dyDescent="0.25">
      <c r="F16" s="13" t="s">
        <v>1959</v>
      </c>
      <c r="G16" s="133" t="s">
        <v>1949</v>
      </c>
    </row>
    <row r="17" spans="6:7" ht="31.5" customHeight="1" x14ac:dyDescent="0.25">
      <c r="F17" s="13" t="s">
        <v>1966</v>
      </c>
      <c r="G17" s="133" t="s">
        <v>2003</v>
      </c>
    </row>
    <row r="18" spans="6:7" ht="30.75" customHeight="1" x14ac:dyDescent="0.25">
      <c r="F18" s="13" t="s">
        <v>1960</v>
      </c>
      <c r="G18" s="133" t="s">
        <v>1948</v>
      </c>
    </row>
    <row r="19" spans="6:7" ht="15" customHeight="1" x14ac:dyDescent="0.25">
      <c r="F19" s="13" t="s">
        <v>1973</v>
      </c>
      <c r="G19" s="133" t="s">
        <v>1822</v>
      </c>
    </row>
    <row r="20" spans="6:7" ht="61.5" customHeight="1" x14ac:dyDescent="0.25">
      <c r="F20" s="13" t="s">
        <v>1962</v>
      </c>
      <c r="G20" s="133" t="s">
        <v>1945</v>
      </c>
    </row>
    <row r="21" spans="6:7" x14ac:dyDescent="0.25">
      <c r="F21" s="13" t="s">
        <v>2001</v>
      </c>
      <c r="G21" s="134" t="s">
        <v>1938</v>
      </c>
    </row>
    <row r="22" spans="6:7" ht="16.5" customHeight="1" x14ac:dyDescent="0.25">
      <c r="F22" s="13" t="s">
        <v>1969</v>
      </c>
      <c r="G22" s="133" t="s">
        <v>1782</v>
      </c>
    </row>
    <row r="23" spans="6:7" ht="16.5" customHeight="1" x14ac:dyDescent="0.25">
      <c r="F23" s="13" t="s">
        <v>1968</v>
      </c>
      <c r="G23" s="133" t="s">
        <v>1787</v>
      </c>
    </row>
    <row r="24" spans="6:7" ht="15.75" customHeight="1" x14ac:dyDescent="0.25">
      <c r="F24" s="13" t="s">
        <v>1955</v>
      </c>
      <c r="G24" s="133" t="s">
        <v>1789</v>
      </c>
    </row>
    <row r="25" spans="6:7" ht="47.25" customHeight="1" x14ac:dyDescent="0.25">
      <c r="F25" s="13" t="s">
        <v>1941</v>
      </c>
      <c r="G25" s="133" t="s">
        <v>1947</v>
      </c>
    </row>
    <row r="26" spans="6:7" ht="16.5" customHeight="1" x14ac:dyDescent="0.25">
      <c r="F26" s="13" t="s">
        <v>1958</v>
      </c>
      <c r="G26" s="133" t="s">
        <v>1833</v>
      </c>
    </row>
    <row r="27" spans="6:7" ht="30" x14ac:dyDescent="0.25">
      <c r="F27" s="14" t="s">
        <v>1989</v>
      </c>
      <c r="G27" s="133" t="s">
        <v>2002</v>
      </c>
    </row>
    <row r="28" spans="6:7" ht="30" x14ac:dyDescent="0.25">
      <c r="F28" s="14" t="s">
        <v>1995</v>
      </c>
      <c r="G28" s="133" t="s">
        <v>2000</v>
      </c>
    </row>
    <row r="29" spans="6:7" ht="30" x14ac:dyDescent="0.25">
      <c r="F29" s="14" t="s">
        <v>2014</v>
      </c>
      <c r="G29" s="133" t="s">
        <v>2005</v>
      </c>
    </row>
    <row r="30" spans="6:7" ht="30" x14ac:dyDescent="0.25">
      <c r="F30" s="14" t="s">
        <v>1976</v>
      </c>
      <c r="G30" s="133" t="s">
        <v>2006</v>
      </c>
    </row>
    <row r="31" spans="6:7" x14ac:dyDescent="0.25">
      <c r="F31" s="14" t="s">
        <v>1981</v>
      </c>
      <c r="G31" s="133" t="s">
        <v>1761</v>
      </c>
    </row>
    <row r="32" spans="6:7" ht="30" x14ac:dyDescent="0.25">
      <c r="F32" s="14" t="s">
        <v>1977</v>
      </c>
      <c r="G32" s="133" t="s">
        <v>2007</v>
      </c>
    </row>
    <row r="33" spans="6:7" x14ac:dyDescent="0.25">
      <c r="F33" s="14" t="s">
        <v>1980</v>
      </c>
      <c r="G33" s="133" t="s">
        <v>1771</v>
      </c>
    </row>
    <row r="34" spans="6:7" x14ac:dyDescent="0.25">
      <c r="F34" s="14" t="s">
        <v>1979</v>
      </c>
      <c r="G34" s="133" t="s">
        <v>1768</v>
      </c>
    </row>
    <row r="35" spans="6:7" ht="30" x14ac:dyDescent="0.25">
      <c r="F35" s="14" t="s">
        <v>1978</v>
      </c>
      <c r="G35" s="133" t="s">
        <v>2008</v>
      </c>
    </row>
    <row r="36" spans="6:7" x14ac:dyDescent="0.25">
      <c r="F36" s="14" t="s">
        <v>1983</v>
      </c>
      <c r="G36" s="133" t="s">
        <v>1772</v>
      </c>
    </row>
    <row r="37" spans="6:7" x14ac:dyDescent="0.25">
      <c r="F37" s="14" t="s">
        <v>2013</v>
      </c>
      <c r="G37" s="133" t="s">
        <v>1847</v>
      </c>
    </row>
    <row r="38" spans="6:7" ht="30" x14ac:dyDescent="0.25">
      <c r="F38" s="14" t="s">
        <v>1993</v>
      </c>
      <c r="G38" s="133" t="s">
        <v>1999</v>
      </c>
    </row>
    <row r="39" spans="6:7" x14ac:dyDescent="0.25">
      <c r="F39" s="14" t="s">
        <v>1996</v>
      </c>
      <c r="G39" s="135">
        <v>1094950813</v>
      </c>
    </row>
    <row r="40" spans="6:7" ht="30" x14ac:dyDescent="0.25">
      <c r="F40" s="14" t="s">
        <v>1987</v>
      </c>
      <c r="G40" s="133" t="s">
        <v>2009</v>
      </c>
    </row>
    <row r="41" spans="6:7" ht="30" x14ac:dyDescent="0.25">
      <c r="F41" s="14" t="s">
        <v>1991</v>
      </c>
      <c r="G41" s="133" t="s">
        <v>2010</v>
      </c>
    </row>
    <row r="42" spans="6:7" x14ac:dyDescent="0.25">
      <c r="F42" s="14" t="s">
        <v>1982</v>
      </c>
      <c r="G42" s="133" t="s">
        <v>1755</v>
      </c>
    </row>
    <row r="43" spans="6:7" x14ac:dyDescent="0.25">
      <c r="F43" s="14" t="s">
        <v>1982</v>
      </c>
      <c r="G43" s="133" t="s">
        <v>1756</v>
      </c>
    </row>
    <row r="44" spans="6:7" x14ac:dyDescent="0.25">
      <c r="F44" s="14" t="s">
        <v>1997</v>
      </c>
      <c r="G44" s="133" t="s">
        <v>1823</v>
      </c>
    </row>
    <row r="45" spans="6:7" ht="60" x14ac:dyDescent="0.25">
      <c r="F45" s="14" t="s">
        <v>1986</v>
      </c>
      <c r="G45" s="133" t="s">
        <v>2011</v>
      </c>
    </row>
    <row r="46" spans="6:7" x14ac:dyDescent="0.25">
      <c r="F46" s="14" t="s">
        <v>1998</v>
      </c>
      <c r="G46" s="133" t="s">
        <v>1939</v>
      </c>
    </row>
    <row r="47" spans="6:7" x14ac:dyDescent="0.25">
      <c r="F47" s="14" t="s">
        <v>1985</v>
      </c>
      <c r="G47" s="133" t="s">
        <v>1752</v>
      </c>
    </row>
    <row r="48" spans="6:7" x14ac:dyDescent="0.25">
      <c r="F48" s="14" t="s">
        <v>1984</v>
      </c>
      <c r="G48" s="133" t="s">
        <v>1764</v>
      </c>
    </row>
    <row r="49" spans="6:7" x14ac:dyDescent="0.25">
      <c r="F49" s="14" t="s">
        <v>1994</v>
      </c>
      <c r="G49" s="133" t="s">
        <v>1767</v>
      </c>
    </row>
    <row r="50" spans="6:7" ht="30" x14ac:dyDescent="0.25">
      <c r="F50" s="14" t="s">
        <v>1988</v>
      </c>
      <c r="G50" s="133" t="s">
        <v>2012</v>
      </c>
    </row>
    <row r="51" spans="6:7" x14ac:dyDescent="0.25">
      <c r="F51" s="14" t="s">
        <v>1992</v>
      </c>
      <c r="G51" s="133" t="s">
        <v>1775</v>
      </c>
    </row>
    <row r="52" spans="6:7" x14ac:dyDescent="0.25">
      <c r="F52" s="14" t="s">
        <v>1990</v>
      </c>
      <c r="G52" s="133" t="s">
        <v>1834</v>
      </c>
    </row>
  </sheetData>
  <sortState xmlns:xlrd2="http://schemas.microsoft.com/office/spreadsheetml/2017/richdata2" ref="F3:G26">
    <sortCondition ref="F3:F26"/>
  </sortState>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6AB8E-64FF-4677-B633-2B89F31FC4BC}">
  <sheetPr codeName="Sheet2">
    <tabColor theme="4"/>
  </sheetPr>
  <dimension ref="B4:AF1048511"/>
  <sheetViews>
    <sheetView showGridLines="0" topLeftCell="G339" zoomScale="85" zoomScaleNormal="85" workbookViewId="0">
      <selection activeCell="S367" sqref="S367"/>
    </sheetView>
  </sheetViews>
  <sheetFormatPr defaultColWidth="8.5703125" defaultRowHeight="15.6" customHeight="1" x14ac:dyDescent="0.25"/>
  <cols>
    <col min="1" max="1" width="3.5703125" style="14" customWidth="1"/>
    <col min="2" max="2" width="7.42578125" style="13" bestFit="1" customWidth="1"/>
    <col min="3" max="3" width="23.5703125" style="14" bestFit="1" customWidth="1"/>
    <col min="4" max="4" width="10.42578125" style="13" customWidth="1"/>
    <col min="5" max="5" width="25.5703125" style="13" bestFit="1" customWidth="1"/>
    <col min="6" max="6" width="24.42578125" style="13" bestFit="1" customWidth="1"/>
    <col min="7" max="7" width="12.5703125" style="13" bestFit="1" customWidth="1"/>
    <col min="8" max="8" width="10.42578125" style="13" bestFit="1" customWidth="1"/>
    <col min="9" max="9" width="55.85546875" style="13" customWidth="1"/>
    <col min="10" max="10" width="32.5703125" style="13" customWidth="1"/>
    <col min="11" max="11" width="21" style="13" customWidth="1"/>
    <col min="12" max="12" width="17.5703125" style="13" hidden="1" customWidth="1"/>
    <col min="13" max="13" width="37.42578125" style="13" customWidth="1"/>
    <col min="14" max="15" width="24.5703125" style="14" customWidth="1"/>
    <col min="16" max="16" width="23.5703125" style="14" bestFit="1" customWidth="1"/>
    <col min="17" max="17" width="44.140625" style="14" customWidth="1"/>
    <col min="18" max="18" width="56" style="14" customWidth="1"/>
    <col min="19" max="19" width="23.5703125" style="14" bestFit="1" customWidth="1"/>
    <col min="20" max="20" width="19.42578125" style="14" bestFit="1" customWidth="1"/>
    <col min="21" max="21" width="19.42578125" style="14" customWidth="1"/>
    <col min="22" max="22" width="91.140625" style="14" customWidth="1"/>
    <col min="23" max="25" width="19" style="14" customWidth="1"/>
    <col min="26" max="26" width="15.5703125" style="14" customWidth="1"/>
    <col min="27" max="27" width="89" style="14" customWidth="1"/>
    <col min="28" max="28" width="66.5703125" style="14" customWidth="1"/>
    <col min="29" max="29" width="12.42578125" style="14" customWidth="1"/>
    <col min="30" max="30" width="40.5703125" style="14" customWidth="1"/>
    <col min="31" max="31" width="24.5703125" style="14" customWidth="1"/>
    <col min="32" max="32" width="21.5703125" style="14" customWidth="1"/>
    <col min="33" max="16384" width="8.5703125" style="14"/>
  </cols>
  <sheetData>
    <row r="4" spans="2:32" ht="15.6" customHeight="1" x14ac:dyDescent="0.25">
      <c r="B4" s="13" t="s">
        <v>26</v>
      </c>
      <c r="C4" s="14" t="s">
        <v>47</v>
      </c>
      <c r="D4" s="13" t="s">
        <v>48</v>
      </c>
      <c r="E4" s="13" t="s">
        <v>55</v>
      </c>
      <c r="F4" s="13" t="s">
        <v>54</v>
      </c>
      <c r="G4" s="13" t="s">
        <v>51</v>
      </c>
      <c r="H4" s="13" t="s">
        <v>50</v>
      </c>
      <c r="I4" s="13" t="s">
        <v>65</v>
      </c>
      <c r="J4" s="13" t="s">
        <v>61</v>
      </c>
      <c r="K4" s="13" t="s">
        <v>56</v>
      </c>
      <c r="L4" s="13" t="s">
        <v>57</v>
      </c>
      <c r="M4" s="13" t="s">
        <v>52</v>
      </c>
      <c r="N4" s="18" t="s">
        <v>72</v>
      </c>
      <c r="O4" s="18" t="s">
        <v>398</v>
      </c>
      <c r="P4" s="18" t="s">
        <v>896</v>
      </c>
      <c r="Q4" s="18" t="s">
        <v>399</v>
      </c>
      <c r="R4" s="27" t="s">
        <v>668</v>
      </c>
      <c r="S4" s="28" t="s">
        <v>365</v>
      </c>
      <c r="T4" s="28" t="s">
        <v>855</v>
      </c>
      <c r="U4" s="28" t="s">
        <v>1895</v>
      </c>
      <c r="V4" s="15" t="s">
        <v>49</v>
      </c>
      <c r="W4" s="14" t="s">
        <v>100</v>
      </c>
      <c r="X4" s="14" t="s">
        <v>101</v>
      </c>
      <c r="Y4" s="14" t="s">
        <v>397</v>
      </c>
      <c r="Z4" s="14" t="s">
        <v>400</v>
      </c>
      <c r="AA4" s="14" t="s">
        <v>1019</v>
      </c>
      <c r="AB4" s="14" t="s">
        <v>1020</v>
      </c>
      <c r="AC4" s="14" t="s">
        <v>1021</v>
      </c>
      <c r="AD4" s="14" t="s">
        <v>1022</v>
      </c>
      <c r="AE4" s="14" t="s">
        <v>1025</v>
      </c>
      <c r="AF4" s="14" t="s">
        <v>1041</v>
      </c>
    </row>
    <row r="5" spans="2:32" ht="15.6" hidden="1" customHeight="1" x14ac:dyDescent="0.25">
      <c r="B5" s="13">
        <v>7</v>
      </c>
      <c r="C5" s="14" t="s">
        <v>53</v>
      </c>
      <c r="D5" s="13">
        <v>1</v>
      </c>
      <c r="E5" s="34">
        <v>45809</v>
      </c>
      <c r="F5" s="34">
        <v>45810</v>
      </c>
      <c r="G5" s="13">
        <f>IFERROR(WEEKNUM(Table4[[#This Row],[Confirmed Pick-up Date]]),"TBD")</f>
        <v>23</v>
      </c>
      <c r="H5" s="13" t="str">
        <f>IFERROR(TEXT(Table4[[#This Row],[Confirmed Pick-up Date]],"yy-mm"),"TBD")</f>
        <v>25-06</v>
      </c>
      <c r="I5" s="13" t="s">
        <v>13</v>
      </c>
      <c r="J5" s="13" t="str">
        <f>IFERROR(VLOOKUP(Table4[[#This Row],[FromSite-UPS]],Table1[[#All],[Company or Name]:[FromSite3]],15,FALSE),"")</f>
        <v>Berlin (Schoenefeld) WWTP</v>
      </c>
      <c r="K5" s="13" t="str">
        <f>IFERROR(VLOOKUP(Table4[[#This Row],[FromSite-UPS]],Table1[[#All],[Company or Name]:[FromSite3]],16,FALSE),"")</f>
        <v>Berlin Airport</v>
      </c>
      <c r="L5" s="13">
        <f>IFERROR(VLOOKUP(Table4[[#This Row],[FromSite-UPS]],Table1[[#All],[Company or Name]:[FromSite3]],14,FALSE),"")</f>
        <v>0.58333333333333337</v>
      </c>
      <c r="M5" s="13" t="s">
        <v>42</v>
      </c>
      <c r="N5" s="20"/>
      <c r="O5" s="14" t="s">
        <v>653</v>
      </c>
      <c r="Q5" s="20" t="s">
        <v>661</v>
      </c>
      <c r="R5" s="20"/>
      <c r="S5" s="20" t="s">
        <v>125</v>
      </c>
      <c r="T5" s="20" t="s">
        <v>856</v>
      </c>
      <c r="U5" s="20" t="s">
        <v>1896</v>
      </c>
      <c r="V5" s="20" t="s">
        <v>662</v>
      </c>
      <c r="W5" s="20" t="str">
        <f>TEXT(Table4[[#This Row],[Confirmed Sampling Date]], "yyyy") &amp; "_" &amp; TEXT(Table4[[#This Row],[Confirmed Sampling Date]], "mm") &amp; "_" &amp; TEXT(Table4[[#This Row],[Confirmed Sampling Date]], "dd")</f>
        <v>2025_06_01</v>
      </c>
      <c r="X5" s="20" t="str">
        <f t="shared" ref="X5:X68" si="0">IFERROR(LEFT(J5, FIND(" ", J5) - 1), J5)</f>
        <v>Berlin</v>
      </c>
      <c r="Y5" s="20" t="str">
        <f>VLOOKUP(Table4[[#This Row],[FromSite-UPS]],Table1[[Company or Name]:[NOTES]],2,FALSE)</f>
        <v>Germany</v>
      </c>
      <c r="Z5" s="20">
        <f>IFERROR(WEEKNUM(Table4[[#This Row],[Confirmed Sampling Date]] - 10, 21), "TBD")</f>
        <v>21</v>
      </c>
      <c r="AA5" s="20" t="str">
        <f>_xlfn.XLOOKUP(Table4[[#This Row],[FromSite-UPS]],sites!D:D,sites!W:W,"",0)</f>
        <v>Strasse am Klarwerk 4, Klarwerk Wassmannsdorf, Schoenefeld, 12529, Germany</v>
      </c>
      <c r="AB5" s="20" t="str">
        <f>_xlfn.XLOOKUP(Table4[[#This Row],[ToLab]],labs!D:D,labs!P:P,"no adres",0)</f>
        <v>Via E. Fermi 2749, T.P. 120, Directorate D Sustainable Resources, Ispra, 21027, Italy</v>
      </c>
      <c r="AC5" s="20">
        <f>_xlfn.XLOOKUP(Table4[[#This Row],[combi]],AREA!E:E,AREA!F:F,"",0)</f>
        <v>89</v>
      </c>
      <c r="AD5" s="20" t="str">
        <f>_xlfn.XLOOKUP(Table4[[#This Row],[combi]],AREA!E:E,AREA!G:G,"",0)</f>
        <v>Pick-up service of hypothetic package as defined in the Tech. Specs. and delivery to lots
2 and 3 contractors according to Scenario 1</v>
      </c>
      <c r="AE5" s="20" t="s">
        <v>125</v>
      </c>
      <c r="AF5" s="20" t="str">
        <f>_xlfn.XLOOKUP(Table4[[#This Row],[FromSite-UPS]],sites!D:D,sites!AB:AB,"",0)&amp;_xlfn.XLOOKUP(Table4[[#This Row],[ToLab]],labs!D:D,labs!Q:Q,"",0)</f>
        <v>EUEU</v>
      </c>
    </row>
    <row r="6" spans="2:32" ht="15.6" hidden="1" customHeight="1" x14ac:dyDescent="0.25">
      <c r="B6" s="13">
        <v>70</v>
      </c>
      <c r="C6" s="14" t="s">
        <v>53</v>
      </c>
      <c r="D6" s="13">
        <v>1</v>
      </c>
      <c r="E6" s="34">
        <v>45809</v>
      </c>
      <c r="F6" s="34">
        <v>45810</v>
      </c>
      <c r="G6" s="20">
        <f>IFERROR(WEEKNUM(Table4[[#This Row],[Confirmed Pick-up Date]]),"TBD")</f>
        <v>23</v>
      </c>
      <c r="H6" s="20" t="str">
        <f>IFERROR(TEXT(Table4[[#This Row],[Confirmed Pick-up Date]],"yy-mm"),"TBD")</f>
        <v>25-06</v>
      </c>
      <c r="I6" s="13" t="s">
        <v>13</v>
      </c>
      <c r="J6" s="20" t="str">
        <f>IFERROR(VLOOKUP(Table4[[#This Row],[FromSite-UPS]],Table1[[#All],[Company or Name]:[FromSite3]],15,FALSE),"")</f>
        <v>Berlin (Schoenefeld) WWTP</v>
      </c>
      <c r="K6" s="20" t="str">
        <f>IFERROR(VLOOKUP(Table4[[#This Row],[FromSite-UPS]],Table1[[#All],[Company or Name]:[FromSite3]],16,FALSE),"")</f>
        <v>Berlin Airport</v>
      </c>
      <c r="L6" s="20">
        <f>IFERROR(VLOOKUP(Table4[[#This Row],[FromSite-UPS]],Table1[[#All],[Company or Name]:[FromSite3]],14,FALSE),"")</f>
        <v>0.58333333333333337</v>
      </c>
      <c r="M6" s="13" t="s">
        <v>42</v>
      </c>
      <c r="N6" s="20"/>
      <c r="O6" s="13" t="s">
        <v>654</v>
      </c>
      <c r="P6" s="13"/>
      <c r="Q6" s="20" t="s">
        <v>661</v>
      </c>
      <c r="R6" s="20" t="s">
        <v>128</v>
      </c>
      <c r="S6" s="20" t="s">
        <v>125</v>
      </c>
      <c r="T6" s="20" t="s">
        <v>856</v>
      </c>
      <c r="U6" s="20"/>
      <c r="V6" s="20"/>
      <c r="W6" s="20" t="str">
        <f>TEXT(Table4[[#This Row],[Confirmed Sampling Date]], "yyyy") &amp; "_" &amp; TEXT(Table4[[#This Row],[Confirmed Sampling Date]], "mm") &amp; "_" &amp; TEXT(Table4[[#This Row],[Confirmed Sampling Date]], "dd")</f>
        <v>2025_06_01</v>
      </c>
      <c r="X6" s="20" t="str">
        <f t="shared" si="0"/>
        <v>Berlin</v>
      </c>
      <c r="Y6" s="20" t="str">
        <f>VLOOKUP(Table4[[#This Row],[FromSite-UPS]],Table1[[Company or Name]:[NOTES]],2,FALSE)</f>
        <v>Germany</v>
      </c>
      <c r="Z6" s="20">
        <f>IFERROR(WEEKNUM(Table4[[#This Row],[Confirmed Sampling Date]] - 10, 21), "TBD")</f>
        <v>21</v>
      </c>
      <c r="AA6" s="20" t="str">
        <f>_xlfn.XLOOKUP(Table4[[#This Row],[FromSite-UPS]],sites!D:D,sites!W:W,"",0)</f>
        <v>Strasse am Klarwerk 4, Klarwerk Wassmannsdorf, Schoenefeld, 12529, Germany</v>
      </c>
      <c r="AB6" s="20" t="str">
        <f>_xlfn.XLOOKUP(Table4[[#This Row],[ToLab]],labs!D:D,labs!P:P,"no adres",0)</f>
        <v>Via E. Fermi 2749, T.P. 120, Directorate D Sustainable Resources, Ispra, 21027, Italy</v>
      </c>
      <c r="AC6" s="20">
        <f>_xlfn.XLOOKUP(Table4[[#This Row],[combi]],AREA!E:E,AREA!F:F,"",0)</f>
        <v>89</v>
      </c>
      <c r="AD6" s="20" t="str">
        <f>_xlfn.XLOOKUP(Table4[[#This Row],[combi]],AREA!E:E,AREA!G:G,"",0)</f>
        <v>Pick-up service of hypothetic package as defined in the Tech. Specs. and delivery to lots
2 and 3 contractors according to Scenario 1</v>
      </c>
      <c r="AE6" s="20" t="s">
        <v>125</v>
      </c>
      <c r="AF6" s="20" t="str">
        <f>_xlfn.XLOOKUP(Table4[[#This Row],[FromSite-UPS]],sites!D:D,sites!AB:AB,"",0)&amp;_xlfn.XLOOKUP(Table4[[#This Row],[ToLab]],labs!D:D,labs!Q:Q,"",0)</f>
        <v>EUEU</v>
      </c>
    </row>
    <row r="7" spans="2:32" ht="15.6" hidden="1" customHeight="1" x14ac:dyDescent="0.25">
      <c r="B7" s="13">
        <v>21</v>
      </c>
      <c r="C7" s="14" t="s">
        <v>53</v>
      </c>
      <c r="D7" s="13">
        <v>1</v>
      </c>
      <c r="E7" s="83">
        <v>45811</v>
      </c>
      <c r="F7" s="83">
        <v>45812</v>
      </c>
      <c r="G7" s="20">
        <f>IFERROR(WEEKNUM(Table4[[#This Row],[Confirmed Pick-up Date]]),"TBD")</f>
        <v>23</v>
      </c>
      <c r="H7" s="20" t="str">
        <f>IFERROR(TEXT(Table4[[#This Row],[Confirmed Pick-up Date]],"yy-mm"),"TBD")</f>
        <v>25-06</v>
      </c>
      <c r="I7" s="13" t="s">
        <v>19</v>
      </c>
      <c r="J7" s="13" t="str">
        <f>IFERROR(VLOOKUP(Table4[[#This Row],[FromSite-UPS]],Table1[[#All],[Company or Name]:[FromSite3]],15,FALSE),"")</f>
        <v>Munich WWTP</v>
      </c>
      <c r="K7" s="20" t="str">
        <f>IFERROR(VLOOKUP(Table4[[#This Row],[FromSite-UPS]],Table1[[#All],[Company or Name]:[FromSite3]],16,FALSE),"")</f>
        <v>Munich Airport</v>
      </c>
      <c r="L7" s="20">
        <f>IFERROR(VLOOKUP(Table4[[#This Row],[FromSite-UPS]],Table1[[#All],[Company or Name]:[FromSite3]],14,FALSE),"")</f>
        <v>0.58333333333333337</v>
      </c>
      <c r="M7" s="13" t="s">
        <v>42</v>
      </c>
      <c r="N7" s="20"/>
      <c r="O7" s="13" t="s">
        <v>655</v>
      </c>
      <c r="P7" s="13"/>
      <c r="Q7" s="20" t="s">
        <v>660</v>
      </c>
      <c r="R7" s="20" t="s">
        <v>670</v>
      </c>
      <c r="S7" s="20" t="s">
        <v>125</v>
      </c>
      <c r="T7" s="20" t="s">
        <v>856</v>
      </c>
      <c r="U7" s="20"/>
      <c r="V7" s="20"/>
      <c r="W7" s="20" t="str">
        <f>TEXT(Table4[[#This Row],[Confirmed Sampling Date]], "yyyy") &amp; "_" &amp; TEXT(Table4[[#This Row],[Confirmed Sampling Date]], "mm") &amp; "_" &amp; TEXT(Table4[[#This Row],[Confirmed Sampling Date]], "dd")</f>
        <v>2025_06_03</v>
      </c>
      <c r="X7" s="20" t="str">
        <f t="shared" si="0"/>
        <v>Munich</v>
      </c>
      <c r="Y7" s="20" t="str">
        <f>VLOOKUP(Table4[[#This Row],[FromSite-UPS]],Table1[[Company or Name]:[NOTES]],2,FALSE)</f>
        <v>Germany</v>
      </c>
      <c r="Z7" s="20">
        <f>IFERROR(WEEKNUM(Table4[[#This Row],[Confirmed Sampling Date]] - 10, 21), "TBD")</f>
        <v>21</v>
      </c>
      <c r="AA7" s="20" t="str">
        <f>_xlfn.XLOOKUP(Table4[[#This Row],[FromSite-UPS]],sites!D:D,sites!W:W,"",0)</f>
        <v>Leopoldstrasse 5, Institut fuer Infektions- und Tropenmedizin, Munich, 80802, Germany</v>
      </c>
      <c r="AB7" s="20" t="str">
        <f>_xlfn.XLOOKUP(Table4[[#This Row],[ToLab]],labs!D:D,labs!P:P,"no adres",0)</f>
        <v>Via E. Fermi 2749, T.P. 120, Directorate D Sustainable Resources, Ispra, 21027, Italy</v>
      </c>
      <c r="AC7" s="20">
        <f>_xlfn.XLOOKUP(Table4[[#This Row],[combi]],AREA!E:E,AREA!F:F,"",0)</f>
        <v>89</v>
      </c>
      <c r="AD7" s="20" t="str">
        <f>_xlfn.XLOOKUP(Table4[[#This Row],[combi]],AREA!E:E,AREA!G:G,"",0)</f>
        <v>Pick-up service of hypothetic package as defined in the Tech. Specs. and delivery to lots
2 and 3 contractors according to Scenario 1</v>
      </c>
      <c r="AE7" s="20" t="s">
        <v>125</v>
      </c>
      <c r="AF7" s="20" t="str">
        <f>_xlfn.XLOOKUP(Table4[[#This Row],[FromSite-UPS]],sites!D:D,sites!AB:AB,"",0)&amp;_xlfn.XLOOKUP(Table4[[#This Row],[ToLab]],labs!D:D,labs!Q:Q,"",0)</f>
        <v>EUEU</v>
      </c>
    </row>
    <row r="8" spans="2:32" ht="15.6" hidden="1" customHeight="1" x14ac:dyDescent="0.25">
      <c r="B8" s="13">
        <v>35</v>
      </c>
      <c r="C8" s="14" t="s">
        <v>53</v>
      </c>
      <c r="D8" s="13">
        <v>1</v>
      </c>
      <c r="E8" s="34">
        <v>45811</v>
      </c>
      <c r="F8" s="34">
        <v>45812</v>
      </c>
      <c r="G8" s="20">
        <f>IFERROR(WEEKNUM(Table4[[#This Row],[Confirmed Pick-up Date]]),"TBD")</f>
        <v>23</v>
      </c>
      <c r="H8" s="20" t="str">
        <f>IFERROR(TEXT(Table4[[#This Row],[Confirmed Pick-up Date]],"yy-mm"),"TBD")</f>
        <v>25-06</v>
      </c>
      <c r="I8" s="13" t="s">
        <v>677</v>
      </c>
      <c r="J8" s="13" t="str">
        <f>IFERROR(VLOOKUP(Table4[[#This Row],[FromSite-UPS]],Table1[[#All],[Company or Name]:[FromSite3]],15,FALSE),"")</f>
        <v>Frankfurt WWTP</v>
      </c>
      <c r="K8" s="20" t="str">
        <f>IFERROR(VLOOKUP(Table4[[#This Row],[FromSite-UPS]],Table1[[#All],[Company or Name]:[FromSite3]],16,FALSE),"")</f>
        <v>Frankfurt Airport</v>
      </c>
      <c r="L8" s="20">
        <f>IFERROR(VLOOKUP(Table4[[#This Row],[FromSite-UPS]],Table1[[#All],[Company or Name]:[FromSite3]],14,FALSE),"")</f>
        <v>0.58333333333333337</v>
      </c>
      <c r="M8" s="13" t="s">
        <v>42</v>
      </c>
      <c r="N8" s="20"/>
      <c r="O8" s="13" t="s">
        <v>657</v>
      </c>
      <c r="P8" s="13"/>
      <c r="Q8" s="20" t="s">
        <v>659</v>
      </c>
      <c r="R8" s="20" t="s">
        <v>672</v>
      </c>
      <c r="S8" s="20" t="s">
        <v>125</v>
      </c>
      <c r="T8" s="20" t="s">
        <v>856</v>
      </c>
      <c r="U8" s="20"/>
      <c r="V8" s="20"/>
      <c r="W8" s="20" t="str">
        <f>TEXT(Table4[[#This Row],[Confirmed Sampling Date]], "yyyy") &amp; "_" &amp; TEXT(Table4[[#This Row],[Confirmed Sampling Date]], "mm") &amp; "_" &amp; TEXT(Table4[[#This Row],[Confirmed Sampling Date]], "dd")</f>
        <v>2025_06_03</v>
      </c>
      <c r="X8" s="20" t="str">
        <f t="shared" si="0"/>
        <v>Frankfurt</v>
      </c>
      <c r="Y8" s="20" t="str">
        <f>VLOOKUP(Table4[[#This Row],[FromSite-UPS]],Table1[[Company or Name]:[NOTES]],2,FALSE)</f>
        <v>Germany</v>
      </c>
      <c r="Z8" s="20">
        <f>IFERROR(WEEKNUM(Table4[[#This Row],[Confirmed Sampling Date]] - 10, 21), "TBD")</f>
        <v>21</v>
      </c>
      <c r="AA8" s="20" t="str">
        <f>_xlfn.XLOOKUP(Table4[[#This Row],[FromSite-UPS]],sites!D:D,sites!W:W,"",0)</f>
        <v>Goldsteinstraße 160, Gebäude 71 , Frankfurt am Main , 60528, Germany</v>
      </c>
      <c r="AB8" s="20" t="str">
        <f>_xlfn.XLOOKUP(Table4[[#This Row],[ToLab]],labs!D:D,labs!P:P,"no adres",0)</f>
        <v>Via E. Fermi 2749, T.P. 120, Directorate D Sustainable Resources, Ispra, 21027, Italy</v>
      </c>
      <c r="AC8" s="20">
        <f>_xlfn.XLOOKUP(Table4[[#This Row],[combi]],AREA!E:E,AREA!F:F,"",0)</f>
        <v>89</v>
      </c>
      <c r="AD8" s="20" t="str">
        <f>_xlfn.XLOOKUP(Table4[[#This Row],[combi]],AREA!E:E,AREA!G:G,"",0)</f>
        <v>Pick-up service of hypothetic package as defined in the Tech. Specs. and delivery to lots
2 and 3 contractors according to Scenario 1</v>
      </c>
      <c r="AE8" s="20" t="s">
        <v>125</v>
      </c>
      <c r="AF8" s="20" t="str">
        <f>_xlfn.XLOOKUP(Table4[[#This Row],[FromSite-UPS]],sites!D:D,sites!AB:AB,"",0)&amp;_xlfn.XLOOKUP(Table4[[#This Row],[ToLab]],labs!D:D,labs!Q:Q,"",0)</f>
        <v>EUEU</v>
      </c>
    </row>
    <row r="9" spans="2:32" ht="15.6" hidden="1" customHeight="1" x14ac:dyDescent="0.25">
      <c r="B9" s="13">
        <v>84</v>
      </c>
      <c r="C9" s="14" t="s">
        <v>53</v>
      </c>
      <c r="D9" s="13">
        <v>1</v>
      </c>
      <c r="E9" s="83">
        <v>45811</v>
      </c>
      <c r="F9" s="83">
        <v>45812</v>
      </c>
      <c r="G9" s="20">
        <f>IFERROR(WEEKNUM(Table4[[#This Row],[Confirmed Pick-up Date]]),"TBD")</f>
        <v>23</v>
      </c>
      <c r="H9" s="20" t="str">
        <f>IFERROR(TEXT(Table4[[#This Row],[Confirmed Pick-up Date]],"yy-mm"),"TBD")</f>
        <v>25-06</v>
      </c>
      <c r="I9" s="13" t="s">
        <v>19</v>
      </c>
      <c r="J9" s="20" t="str">
        <f>IFERROR(VLOOKUP(Table4[[#This Row],[FromSite-UPS]],Table1[[#All],[Company or Name]:[FromSite3]],15,FALSE),"")</f>
        <v>Munich WWTP</v>
      </c>
      <c r="K9" s="20" t="str">
        <f>IFERROR(VLOOKUP(Table4[[#This Row],[FromSite-UPS]],Table1[[#All],[Company or Name]:[FromSite3]],16,FALSE),"")</f>
        <v>Munich Airport</v>
      </c>
      <c r="L9" s="20">
        <f>IFERROR(VLOOKUP(Table4[[#This Row],[FromSite-UPS]],Table1[[#All],[Company or Name]:[FromSite3]],14,FALSE),"")</f>
        <v>0.58333333333333337</v>
      </c>
      <c r="M9" s="13" t="s">
        <v>42</v>
      </c>
      <c r="N9" s="20"/>
      <c r="O9" s="13" t="s">
        <v>656</v>
      </c>
      <c r="P9" s="13"/>
      <c r="Q9" s="20" t="s">
        <v>660</v>
      </c>
      <c r="R9" s="20" t="s">
        <v>669</v>
      </c>
      <c r="S9" s="20" t="s">
        <v>125</v>
      </c>
      <c r="T9" s="20" t="s">
        <v>856</v>
      </c>
      <c r="U9" s="20"/>
      <c r="V9" s="20"/>
      <c r="W9" s="20" t="str">
        <f>TEXT(Table4[[#This Row],[Confirmed Sampling Date]], "yyyy") &amp; "_" &amp; TEXT(Table4[[#This Row],[Confirmed Sampling Date]], "mm") &amp; "_" &amp; TEXT(Table4[[#This Row],[Confirmed Sampling Date]], "dd")</f>
        <v>2025_06_03</v>
      </c>
      <c r="X9" s="20" t="str">
        <f t="shared" si="0"/>
        <v>Munich</v>
      </c>
      <c r="Y9" s="20" t="str">
        <f>VLOOKUP(Table4[[#This Row],[FromSite-UPS]],Table1[[Company or Name]:[NOTES]],2,FALSE)</f>
        <v>Germany</v>
      </c>
      <c r="Z9" s="20">
        <f>IFERROR(WEEKNUM(Table4[[#This Row],[Confirmed Sampling Date]] - 10, 21), "TBD")</f>
        <v>21</v>
      </c>
      <c r="AA9" s="20" t="str">
        <f>_xlfn.XLOOKUP(Table4[[#This Row],[FromSite-UPS]],sites!D:D,sites!W:W,"",0)</f>
        <v>Leopoldstrasse 5, Institut fuer Infektions- und Tropenmedizin, Munich, 80802, Germany</v>
      </c>
      <c r="AB9" s="20" t="str">
        <f>_xlfn.XLOOKUP(Table4[[#This Row],[ToLab]],labs!D:D,labs!P:P,"no adres",0)</f>
        <v>Via E. Fermi 2749, T.P. 120, Directorate D Sustainable Resources, Ispra, 21027, Italy</v>
      </c>
      <c r="AC9" s="20">
        <f>_xlfn.XLOOKUP(Table4[[#This Row],[combi]],AREA!E:E,AREA!F:F,"",0)</f>
        <v>89</v>
      </c>
      <c r="AD9" s="20" t="str">
        <f>_xlfn.XLOOKUP(Table4[[#This Row],[combi]],AREA!E:E,AREA!G:G,"",0)</f>
        <v>Pick-up service of hypothetic package as defined in the Tech. Specs. and delivery to lots
2 and 3 contractors according to Scenario 1</v>
      </c>
      <c r="AE9" s="20" t="s">
        <v>125</v>
      </c>
      <c r="AF9" s="20" t="str">
        <f>_xlfn.XLOOKUP(Table4[[#This Row],[FromSite-UPS]],sites!D:D,sites!AB:AB,"",0)&amp;_xlfn.XLOOKUP(Table4[[#This Row],[ToLab]],labs!D:D,labs!Q:Q,"",0)</f>
        <v>EUEU</v>
      </c>
    </row>
    <row r="10" spans="2:32" ht="15.6" hidden="1" customHeight="1" x14ac:dyDescent="0.25">
      <c r="B10" s="13">
        <v>98</v>
      </c>
      <c r="C10" s="14" t="s">
        <v>53</v>
      </c>
      <c r="D10" s="13">
        <v>1</v>
      </c>
      <c r="E10" s="22">
        <v>45811</v>
      </c>
      <c r="F10" s="22">
        <v>45812</v>
      </c>
      <c r="G10" s="20">
        <f>IFERROR(WEEKNUM(Table4[[#This Row],[Confirmed Pick-up Date]]),"TBD")</f>
        <v>23</v>
      </c>
      <c r="H10" s="20" t="str">
        <f>IFERROR(TEXT(Table4[[#This Row],[Confirmed Pick-up Date]],"yy-mm"),"TBD")</f>
        <v>25-06</v>
      </c>
      <c r="I10" s="64" t="s">
        <v>677</v>
      </c>
      <c r="J10" s="20" t="str">
        <f>IFERROR(VLOOKUP(Table4[[#This Row],[FromSite-UPS]],Table1[[#All],[Company or Name]:[FromSite3]],15,FALSE),"")</f>
        <v>Frankfurt WWTP</v>
      </c>
      <c r="K10" s="20" t="str">
        <f>IFERROR(VLOOKUP(Table4[[#This Row],[FromSite-UPS]],Table1[[#All],[Company or Name]:[FromSite3]],16,FALSE),"")</f>
        <v>Frankfurt Airport</v>
      </c>
      <c r="L10" s="20">
        <f>IFERROR(VLOOKUP(Table4[[#This Row],[FromSite-UPS]],Table1[[#All],[Company or Name]:[FromSite3]],14,FALSE),"")</f>
        <v>0.58333333333333337</v>
      </c>
      <c r="M10" s="13" t="s">
        <v>42</v>
      </c>
      <c r="N10" s="20"/>
      <c r="O10" s="13" t="s">
        <v>658</v>
      </c>
      <c r="P10" s="13"/>
      <c r="Q10" s="20" t="s">
        <v>659</v>
      </c>
      <c r="R10" s="20" t="s">
        <v>671</v>
      </c>
      <c r="S10" s="20" t="s">
        <v>125</v>
      </c>
      <c r="T10" s="20" t="s">
        <v>856</v>
      </c>
      <c r="U10" s="20"/>
      <c r="V10" s="20"/>
      <c r="W10" s="20" t="str">
        <f>TEXT(Table4[[#This Row],[Confirmed Sampling Date]], "yyyy") &amp; "_" &amp; TEXT(Table4[[#This Row],[Confirmed Sampling Date]], "mm") &amp; "_" &amp; TEXT(Table4[[#This Row],[Confirmed Sampling Date]], "dd")</f>
        <v>2025_06_03</v>
      </c>
      <c r="X10" s="20" t="str">
        <f t="shared" si="0"/>
        <v>Frankfurt</v>
      </c>
      <c r="Y10" s="20" t="str">
        <f>VLOOKUP(Table4[[#This Row],[FromSite-UPS]],Table1[[Company or Name]:[NOTES]],2,FALSE)</f>
        <v>Germany</v>
      </c>
      <c r="Z10" s="20">
        <f>IFERROR(WEEKNUM(Table4[[#This Row],[Confirmed Sampling Date]] - 10, 21), "TBD")</f>
        <v>21</v>
      </c>
      <c r="AA10" s="20" t="str">
        <f>_xlfn.XLOOKUP(Table4[[#This Row],[FromSite-UPS]],sites!D:D,sites!W:W,"",0)</f>
        <v>Goldsteinstraße 160, Gebäude 71 , Frankfurt am Main , 60528, Germany</v>
      </c>
      <c r="AB10" s="20" t="str">
        <f>_xlfn.XLOOKUP(Table4[[#This Row],[ToLab]],labs!D:D,labs!P:P,"no adres",0)</f>
        <v>Via E. Fermi 2749, T.P. 120, Directorate D Sustainable Resources, Ispra, 21027, Italy</v>
      </c>
      <c r="AC10" s="20">
        <f>_xlfn.XLOOKUP(Table4[[#This Row],[combi]],AREA!E:E,AREA!F:F,"",0)</f>
        <v>89</v>
      </c>
      <c r="AD10" s="20" t="str">
        <f>_xlfn.XLOOKUP(Table4[[#This Row],[combi]],AREA!E:E,AREA!G:G,"",0)</f>
        <v>Pick-up service of hypothetic package as defined in the Tech. Specs. and delivery to lots
2 and 3 contractors according to Scenario 1</v>
      </c>
      <c r="AE10" s="20" t="s">
        <v>125</v>
      </c>
      <c r="AF10" s="20" t="str">
        <f>_xlfn.XLOOKUP(Table4[[#This Row],[FromSite-UPS]],sites!D:D,sites!AB:AB,"",0)&amp;_xlfn.XLOOKUP(Table4[[#This Row],[ToLab]],labs!D:D,labs!Q:Q,"",0)</f>
        <v>EUEU</v>
      </c>
    </row>
    <row r="11" spans="2:32" ht="15.6" hidden="1" customHeight="1" x14ac:dyDescent="0.25">
      <c r="B11" s="13">
        <v>1</v>
      </c>
      <c r="C11" s="14" t="s">
        <v>53</v>
      </c>
      <c r="D11" s="13">
        <v>1</v>
      </c>
      <c r="E11" s="34">
        <v>45816</v>
      </c>
      <c r="F11" s="34">
        <v>45817</v>
      </c>
      <c r="G11" s="20">
        <f>IFERROR(WEEKNUM(Table4[[#This Row],[Confirmed Pick-up Date]]),"TBD")</f>
        <v>24</v>
      </c>
      <c r="H11" s="20" t="str">
        <f>IFERROR(TEXT(Table4[[#This Row],[Confirmed Pick-up Date]],"yy-mm"),"TBD")</f>
        <v>25-06</v>
      </c>
      <c r="I11" s="13" t="s">
        <v>33</v>
      </c>
      <c r="J11" s="20" t="str">
        <f>IFERROR(VLOOKUP(Table4[[#This Row],[FromSite-UPS]],Table1[[#All],[Company or Name]:[FromSite3]],15,FALSE),"")</f>
        <v>Osaka Expo</v>
      </c>
      <c r="K11" s="20" t="str">
        <f>IFERROR(VLOOKUP(Table4[[#This Row],[FromSite-UPS]],Table1[[#All],[Company or Name]:[FromSite3]],16,FALSE),"")</f>
        <v>-</v>
      </c>
      <c r="L11" s="20">
        <f>IFERROR(VLOOKUP(Table4[[#This Row],[FromSite-UPS]],Table1[[#All],[Company or Name]:[FromSite3]],14,FALSE),"")</f>
        <v>0.58333333333333337</v>
      </c>
      <c r="M11" s="13" t="s">
        <v>42</v>
      </c>
      <c r="N11" s="20"/>
      <c r="O11" s="14" t="s">
        <v>652</v>
      </c>
      <c r="Q11" s="14" t="s">
        <v>651</v>
      </c>
      <c r="R11" s="14" t="s">
        <v>129</v>
      </c>
      <c r="S11" s="20" t="s">
        <v>125</v>
      </c>
      <c r="T11" s="20" t="s">
        <v>856</v>
      </c>
      <c r="U11" s="20"/>
      <c r="V11" s="20"/>
      <c r="W11" s="20" t="str">
        <f>TEXT(Table4[[#This Row],[Confirmed Sampling Date]], "yyyy") &amp; "_" &amp; TEXT(Table4[[#This Row],[Confirmed Sampling Date]], "mm") &amp; "_" &amp; TEXT(Table4[[#This Row],[Confirmed Sampling Date]], "dd")</f>
        <v>2025_06_08</v>
      </c>
      <c r="X11" s="20" t="str">
        <f t="shared" si="0"/>
        <v>Osaka</v>
      </c>
      <c r="Y11" s="20" t="str">
        <f>VLOOKUP(Table4[[#This Row],[FromSite-UPS]],Table1[[Company or Name]:[NOTES]],2,FALSE)</f>
        <v>Japan</v>
      </c>
      <c r="Z11" s="20">
        <f>IFERROR(WEEKNUM(Table4[[#This Row],[Confirmed Sampling Date]] - 10, 21), "TBD")</f>
        <v>22</v>
      </c>
      <c r="AA11" s="20" t="str">
        <f>_xlfn.XLOOKUP(Table4[[#This Row],[FromSite-UPS]],sites!D:D,sites!W:W,"",0)</f>
        <v>1-3-3 Nakamichi, Higashinari-ku, Osaka, 537-0025, Japan</v>
      </c>
      <c r="AB11" s="20" t="str">
        <f>_xlfn.XLOOKUP(Table4[[#This Row],[ToLab]],labs!D:D,labs!P:P,"no adres",0)</f>
        <v>Via E. Fermi 2749, T.P. 120, Directorate D Sustainable Resources, Ispra, 21027, Italy</v>
      </c>
      <c r="AC11" s="20">
        <f>_xlfn.XLOOKUP(Table4[[#This Row],[combi]],AREA!E:E,AREA!F:F,"",0)</f>
        <v>92</v>
      </c>
      <c r="AD11" s="20" t="str">
        <f>_xlfn.XLOOKUP(Table4[[#This Row],[combi]],AREA!E:E,AREA!G:G,"",0)</f>
        <v>Pick-up service of hypothetic package as defined in the Tech. Specs. and delivery to lots
2 and 3 contractors according to Scenario 4</v>
      </c>
      <c r="AE11" s="20" t="s">
        <v>125</v>
      </c>
      <c r="AF11" s="20" t="str">
        <f>_xlfn.XLOOKUP(Table4[[#This Row],[FromSite-UPS]],sites!D:D,sites!AB:AB,"",0)&amp;_xlfn.XLOOKUP(Table4[[#This Row],[ToLab]],labs!D:D,labs!Q:Q,"",0)</f>
        <v>Non-EuropeEU</v>
      </c>
    </row>
    <row r="12" spans="2:32" ht="15.6" hidden="1" customHeight="1" x14ac:dyDescent="0.25">
      <c r="B12" s="13">
        <v>62</v>
      </c>
      <c r="C12" s="14" t="s">
        <v>53</v>
      </c>
      <c r="D12" s="13">
        <v>1</v>
      </c>
      <c r="E12" s="34">
        <v>45818</v>
      </c>
      <c r="F12" s="34">
        <v>45819</v>
      </c>
      <c r="G12" s="20">
        <f>IFERROR(WEEKNUM(Table4[[#This Row],[Confirmed Pick-up Date]]),"TBD")</f>
        <v>24</v>
      </c>
      <c r="H12" s="20" t="str">
        <f>IFERROR(TEXT(Table4[[#This Row],[Confirmed Pick-up Date]],"yy-mm"),"TBD")</f>
        <v>25-06</v>
      </c>
      <c r="I12" s="13" t="s">
        <v>637</v>
      </c>
      <c r="J12" s="20" t="str">
        <f>IFERROR(VLOOKUP(Table4[[#This Row],[FromSite-UPS]],Table1[[#All],[Company or Name]:[FromSite3]],15,FALSE),"")</f>
        <v>Luxembourg (Beggen) WWTP</v>
      </c>
      <c r="K12" s="20" t="str">
        <f>IFERROR(VLOOKUP(Table4[[#This Row],[FromSite-UPS]],Table1[[#All],[Company or Name]:[FromSite3]],16,FALSE),"")</f>
        <v>Luxembourg Airport</v>
      </c>
      <c r="L12" s="20">
        <f>IFERROR(VLOOKUP(Table4[[#This Row],[FromSite-UPS]],Table1[[#All],[Company or Name]:[FromSite3]],14,FALSE),"")</f>
        <v>0.66666666666666663</v>
      </c>
      <c r="M12" s="13" t="s">
        <v>42</v>
      </c>
      <c r="N12" s="20" t="s">
        <v>640</v>
      </c>
      <c r="O12" s="13" t="s">
        <v>644</v>
      </c>
      <c r="P12" s="13"/>
      <c r="Q12" s="20" t="s">
        <v>664</v>
      </c>
      <c r="R12" s="20" t="s">
        <v>673</v>
      </c>
      <c r="S12" s="20" t="s">
        <v>125</v>
      </c>
      <c r="T12" s="20" t="s">
        <v>856</v>
      </c>
      <c r="U12" s="20"/>
      <c r="V12" s="20"/>
      <c r="W12" s="20" t="str">
        <f>TEXT(Table4[[#This Row],[Confirmed Sampling Date]], "yyyy") &amp; "_" &amp; TEXT(Table4[[#This Row],[Confirmed Sampling Date]], "mm") &amp; "_" &amp; TEXT(Table4[[#This Row],[Confirmed Sampling Date]], "dd")</f>
        <v>2025_06_10</v>
      </c>
      <c r="X12" s="20" t="str">
        <f t="shared" si="0"/>
        <v>Luxembourg</v>
      </c>
      <c r="Y12" s="20" t="str">
        <f>VLOOKUP(Table4[[#This Row],[FromSite-UPS]],Table1[[Company or Name]:[NOTES]],2,FALSE)</f>
        <v>Luxembourg</v>
      </c>
      <c r="Z12" s="20">
        <f>IFERROR(WEEKNUM(Table4[[#This Row],[Confirmed Sampling Date]] - 10, 21), "TBD")</f>
        <v>22</v>
      </c>
      <c r="AA12" s="20" t="str">
        <f>_xlfn.XLOOKUP(Table4[[#This Row],[FromSite-UPS]],sites!D:D,sites!W:W,"",0)</f>
        <v>41 rue du Brill, Luxembourg, L-4422 , Luxembourg</v>
      </c>
      <c r="AB12" s="20" t="str">
        <f>_xlfn.XLOOKUP(Table4[[#This Row],[ToLab]],labs!D:D,labs!P:P,"no adres",0)</f>
        <v>Via E. Fermi 2749, T.P. 120, Directorate D Sustainable Resources, Ispra, 21027, Italy</v>
      </c>
      <c r="AC12" s="20">
        <f>_xlfn.XLOOKUP(Table4[[#This Row],[combi]],AREA!E:E,AREA!F:F,"",0)</f>
        <v>89</v>
      </c>
      <c r="AD12" s="20" t="str">
        <f>_xlfn.XLOOKUP(Table4[[#This Row],[combi]],AREA!E:E,AREA!G:G,"",0)</f>
        <v>Pick-up service of hypothetic package as defined in the Tech. Specs. and delivery to lots
2 and 3 contractors according to Scenario 1</v>
      </c>
      <c r="AE12" s="20" t="s">
        <v>125</v>
      </c>
      <c r="AF12" s="20" t="str">
        <f>_xlfn.XLOOKUP(Table4[[#This Row],[FromSite-UPS]],sites!D:D,sites!AB:AB,"",0)&amp;_xlfn.XLOOKUP(Table4[[#This Row],[ToLab]],labs!D:D,labs!Q:Q,"",0)</f>
        <v>EUEU</v>
      </c>
    </row>
    <row r="13" spans="2:32" ht="15.6" hidden="1" customHeight="1" x14ac:dyDescent="0.25">
      <c r="B13" s="13">
        <v>125</v>
      </c>
      <c r="C13" s="14" t="s">
        <v>53</v>
      </c>
      <c r="D13" s="13">
        <v>1</v>
      </c>
      <c r="E13" s="34">
        <v>45818</v>
      </c>
      <c r="F13" s="34">
        <v>45819</v>
      </c>
      <c r="G13" s="20">
        <f>IFERROR(WEEKNUM(Table4[[#This Row],[Confirmed Pick-up Date]]),"TBD")</f>
        <v>24</v>
      </c>
      <c r="H13" s="20" t="str">
        <f>IFERROR(TEXT(Table4[[#This Row],[Confirmed Pick-up Date]],"yy-mm"),"TBD")</f>
        <v>25-06</v>
      </c>
      <c r="I13" s="13" t="s">
        <v>637</v>
      </c>
      <c r="J13" s="20" t="str">
        <f>IFERROR(VLOOKUP(Table4[[#This Row],[FromSite-UPS]],Table1[[#All],[Company or Name]:[FromSite3]],15,FALSE),"")</f>
        <v>Luxembourg (Beggen) WWTP</v>
      </c>
      <c r="K13" s="20" t="str">
        <f>IFERROR(VLOOKUP(Table4[[#This Row],[FromSite-UPS]],Table1[[#All],[Company or Name]:[FromSite3]],16,FALSE),"")</f>
        <v>Luxembourg Airport</v>
      </c>
      <c r="L13" s="20">
        <f>IFERROR(VLOOKUP(Table4[[#This Row],[FromSite-UPS]],Table1[[#All],[Company or Name]:[FromSite3]],14,FALSE),"")</f>
        <v>0.66666666666666663</v>
      </c>
      <c r="M13" s="13" t="s">
        <v>42</v>
      </c>
      <c r="N13" s="20" t="s">
        <v>640</v>
      </c>
      <c r="O13" s="13" t="s">
        <v>643</v>
      </c>
      <c r="P13" s="13"/>
      <c r="Q13" s="20" t="s">
        <v>664</v>
      </c>
      <c r="R13" s="20" t="s">
        <v>674</v>
      </c>
      <c r="S13" s="20" t="s">
        <v>125</v>
      </c>
      <c r="T13" s="20" t="s">
        <v>856</v>
      </c>
      <c r="U13" s="20"/>
      <c r="V13" s="20"/>
      <c r="W13" s="20" t="str">
        <f>TEXT(Table4[[#This Row],[Confirmed Sampling Date]], "yyyy") &amp; "_" &amp; TEXT(Table4[[#This Row],[Confirmed Sampling Date]], "mm") &amp; "_" &amp; TEXT(Table4[[#This Row],[Confirmed Sampling Date]], "dd")</f>
        <v>2025_06_10</v>
      </c>
      <c r="X13" s="20" t="str">
        <f t="shared" si="0"/>
        <v>Luxembourg</v>
      </c>
      <c r="Y13" s="20" t="str">
        <f>VLOOKUP(Table4[[#This Row],[FromSite-UPS]],Table1[[Company or Name]:[NOTES]],2,FALSE)</f>
        <v>Luxembourg</v>
      </c>
      <c r="Z13" s="20">
        <f>IFERROR(WEEKNUM(Table4[[#This Row],[Confirmed Sampling Date]] - 10, 21), "TBD")</f>
        <v>22</v>
      </c>
      <c r="AA13" s="20" t="str">
        <f>_xlfn.XLOOKUP(Table4[[#This Row],[FromSite-UPS]],sites!D:D,sites!W:W,"",0)</f>
        <v>41 rue du Brill, Luxembourg, L-4422 , Luxembourg</v>
      </c>
      <c r="AB13" s="20" t="str">
        <f>_xlfn.XLOOKUP(Table4[[#This Row],[ToLab]],labs!D:D,labs!P:P,"no adres",0)</f>
        <v>Via E. Fermi 2749, T.P. 120, Directorate D Sustainable Resources, Ispra, 21027, Italy</v>
      </c>
      <c r="AC13" s="20">
        <f>_xlfn.XLOOKUP(Table4[[#This Row],[combi]],AREA!E:E,AREA!F:F,"",0)</f>
        <v>89</v>
      </c>
      <c r="AD13" s="20" t="str">
        <f>_xlfn.XLOOKUP(Table4[[#This Row],[combi]],AREA!E:E,AREA!G:G,"",0)</f>
        <v>Pick-up service of hypothetic package as defined in the Tech. Specs. and delivery to lots
2 and 3 contractors according to Scenario 1</v>
      </c>
      <c r="AE13" s="20" t="s">
        <v>125</v>
      </c>
      <c r="AF13" s="20" t="str">
        <f>_xlfn.XLOOKUP(Table4[[#This Row],[FromSite-UPS]],sites!D:D,sites!AB:AB,"",0)&amp;_xlfn.XLOOKUP(Table4[[#This Row],[ToLab]],labs!D:D,labs!Q:Q,"",0)</f>
        <v>EUEU</v>
      </c>
    </row>
    <row r="14" spans="2:32" ht="15.6" hidden="1" customHeight="1" x14ac:dyDescent="0.25">
      <c r="B14" s="13">
        <v>133</v>
      </c>
      <c r="C14" s="14" t="s">
        <v>53</v>
      </c>
      <c r="D14" s="13">
        <v>1</v>
      </c>
      <c r="E14" s="83">
        <v>45819</v>
      </c>
      <c r="F14" s="83">
        <v>45819</v>
      </c>
      <c r="G14" s="20">
        <f>IFERROR(WEEKNUM(Table4[[#This Row],[Confirmed Pick-up Date]]),"TBD")</f>
        <v>24</v>
      </c>
      <c r="H14" s="20" t="str">
        <f>IFERROR(TEXT(Table4[[#This Row],[Confirmed Pick-up Date]],"yy-mm"),"TBD")</f>
        <v>25-06</v>
      </c>
      <c r="I14" s="13" t="s">
        <v>680</v>
      </c>
      <c r="J14" s="20" t="str">
        <f>IFERROR(VLOOKUP(Table4[[#This Row],[FromSite-UPS]],Table1[[#All],[Company or Name]:[FromSite3]],15,FALSE),"")</f>
        <v>Rome WWTP</v>
      </c>
      <c r="K14" s="20" t="str">
        <f>IFERROR(VLOOKUP(Table4[[#This Row],[FromSite-UPS]],Table1[[#All],[Company or Name]:[FromSite3]],16,FALSE),"")</f>
        <v>-</v>
      </c>
      <c r="L14" s="20">
        <f>IFERROR(VLOOKUP(Table4[[#This Row],[FromSite-UPS]],Table1[[#All],[Company or Name]:[FromSite3]],14,FALSE),"")</f>
        <v>0.70833333333333337</v>
      </c>
      <c r="M14" s="13" t="s">
        <v>42</v>
      </c>
      <c r="N14" s="20" t="s">
        <v>134</v>
      </c>
      <c r="O14" s="13" t="s">
        <v>807</v>
      </c>
      <c r="P14" s="13"/>
      <c r="Q14" s="20" t="s">
        <v>667</v>
      </c>
      <c r="R14" s="20" t="s">
        <v>675</v>
      </c>
      <c r="S14" s="20" t="s">
        <v>125</v>
      </c>
      <c r="T14" s="20" t="s">
        <v>856</v>
      </c>
      <c r="U14" s="20"/>
      <c r="V14" s="58" t="s">
        <v>812</v>
      </c>
      <c r="W14" s="20" t="str">
        <f>TEXT(Table4[[#This Row],[Confirmed Sampling Date]], "yyyy") &amp; "_" &amp; TEXT(Table4[[#This Row],[Confirmed Sampling Date]], "mm") &amp; "_" &amp; TEXT(Table4[[#This Row],[Confirmed Sampling Date]], "dd")</f>
        <v>2025_06_11</v>
      </c>
      <c r="X14" s="20" t="str">
        <f t="shared" si="0"/>
        <v>Rome</v>
      </c>
      <c r="Y14" s="20" t="str">
        <f>VLOOKUP(Table4[[#This Row],[FromSite-UPS]],Table1[[Company or Name]:[NOTES]],2,FALSE)</f>
        <v>Italy</v>
      </c>
      <c r="Z14" s="20">
        <f>IFERROR(WEEKNUM(Table4[[#This Row],[Confirmed Sampling Date]] - 10, 21), "TBD")</f>
        <v>22</v>
      </c>
      <c r="AA14" s="20" t="str">
        <f>_xlfn.XLOOKUP(Table4[[#This Row],[FromSite-UPS]],sites!D:D,sites!W:W,"",0)</f>
        <v>Via dell'Equitazione 10, Rome, 00144, Italy</v>
      </c>
      <c r="AB14" s="20" t="str">
        <f>_xlfn.XLOOKUP(Table4[[#This Row],[ToLab]],labs!D:D,labs!P:P,"no adres",0)</f>
        <v>Via E. Fermi 2749, T.P. 120, Directorate D Sustainable Resources, Ispra, 21027, Italy</v>
      </c>
      <c r="AC14" s="20">
        <f>_xlfn.XLOOKUP(Table4[[#This Row],[combi]],AREA!E:E,AREA!F:F,"",0)</f>
        <v>89</v>
      </c>
      <c r="AD14" s="20" t="str">
        <f>_xlfn.XLOOKUP(Table4[[#This Row],[combi]],AREA!E:E,AREA!G:G,"",0)</f>
        <v>Pick-up service of hypothetic package as defined in the Tech. Specs. and delivery to lots
2 and 3 contractors according to Scenario 1</v>
      </c>
      <c r="AE14" s="20" t="s">
        <v>125</v>
      </c>
      <c r="AF14" s="20" t="str">
        <f>_xlfn.XLOOKUP(Table4[[#This Row],[FromSite-UPS]],sites!D:D,sites!AB:AB,"",0)&amp;_xlfn.XLOOKUP(Table4[[#This Row],[ToLab]],labs!D:D,labs!Q:Q,"",0)</f>
        <v>EUEU</v>
      </c>
    </row>
    <row r="15" spans="2:32" ht="15.6" hidden="1" customHeight="1" x14ac:dyDescent="0.25">
      <c r="B15" s="13">
        <v>147</v>
      </c>
      <c r="C15" s="14" t="s">
        <v>53</v>
      </c>
      <c r="D15" s="13">
        <v>1</v>
      </c>
      <c r="E15" s="34">
        <v>45819</v>
      </c>
      <c r="F15" s="34">
        <v>45819</v>
      </c>
      <c r="G15" s="20">
        <f>IFERROR(WEEKNUM(Table4[[#This Row],[Confirmed Pick-up Date]]),"TBD")</f>
        <v>24</v>
      </c>
      <c r="H15" s="20" t="str">
        <f>IFERROR(TEXT(Table4[[#This Row],[Confirmed Pick-up Date]],"yy-mm"),"TBD")</f>
        <v>25-06</v>
      </c>
      <c r="I15" s="13" t="s">
        <v>771</v>
      </c>
      <c r="J15" s="20" t="str">
        <f>IFERROR(VLOOKUP(Table4[[#This Row],[FromSite-UPS]],Table1[[#All],[Company or Name]:[FromSite3]],15,FALSE),"")</f>
        <v>RomeAirport</v>
      </c>
      <c r="K15" s="20" t="str">
        <f>IFERROR(VLOOKUP(Table4[[#This Row],[FromSite-UPS]],Table1[[#All],[Company or Name]:[FromSite3]],16,FALSE),"")</f>
        <v>-</v>
      </c>
      <c r="L15" s="20">
        <f>IFERROR(VLOOKUP(Table4[[#This Row],[FromSite-UPS]],Table1[[#All],[Company or Name]:[FromSite3]],14,FALSE),"")</f>
        <v>0.70833333333333337</v>
      </c>
      <c r="M15" s="13" t="s">
        <v>42</v>
      </c>
      <c r="N15" s="20" t="s">
        <v>134</v>
      </c>
      <c r="O15" s="13" t="s">
        <v>691</v>
      </c>
      <c r="P15" s="13"/>
      <c r="Q15" s="20" t="s">
        <v>770</v>
      </c>
      <c r="R15" s="20" t="s">
        <v>708</v>
      </c>
      <c r="S15" s="20" t="s">
        <v>125</v>
      </c>
      <c r="T15" s="20" t="s">
        <v>856</v>
      </c>
      <c r="U15" s="20"/>
      <c r="V15" s="20" t="s">
        <v>769</v>
      </c>
      <c r="W15" s="20" t="str">
        <f>TEXT(Table4[[#This Row],[Confirmed Sampling Date]], "yyyy") &amp; "_" &amp; TEXT(Table4[[#This Row],[Confirmed Sampling Date]], "mm") &amp; "_" &amp; TEXT(Table4[[#This Row],[Confirmed Sampling Date]], "dd")</f>
        <v>2025_06_11</v>
      </c>
      <c r="X15" s="20" t="str">
        <f t="shared" si="0"/>
        <v>RomeAirport</v>
      </c>
      <c r="Y15" s="20" t="str">
        <f>VLOOKUP(Table4[[#This Row],[FromSite-UPS]],Table1[[Company or Name]:[NOTES]],2,FALSE)</f>
        <v>Italy</v>
      </c>
      <c r="Z15" s="20">
        <f>IFERROR(WEEKNUM(Table4[[#This Row],[Confirmed Sampling Date]] - 10, 21), "TBD")</f>
        <v>22</v>
      </c>
      <c r="AA15" s="20" t="str">
        <f>_xlfn.XLOOKUP(Table4[[#This Row],[FromSite-UPS]],sites!D:D,sites!W:W,"",0)</f>
        <v>VIA FRATELLI WRIGHT (DEPURATORE BIOLOGICO), FIUMICINO, 00054, Italy</v>
      </c>
      <c r="AB15" s="20" t="str">
        <f>_xlfn.XLOOKUP(Table4[[#This Row],[ToLab]],labs!D:D,labs!P:P,"no adres",0)</f>
        <v>Via E. Fermi 2749, T.P. 120, Directorate D Sustainable Resources, Ispra, 21027, Italy</v>
      </c>
      <c r="AC15" s="20">
        <f>_xlfn.XLOOKUP(Table4[[#This Row],[combi]],AREA!E:E,AREA!F:F,"",0)</f>
        <v>89</v>
      </c>
      <c r="AD15" s="20" t="str">
        <f>_xlfn.XLOOKUP(Table4[[#This Row],[combi]],AREA!E:E,AREA!G:G,"",0)</f>
        <v>Pick-up service of hypothetic package as defined in the Tech. Specs. and delivery to lots
2 and 3 contractors according to Scenario 1</v>
      </c>
      <c r="AE15" s="20" t="s">
        <v>125</v>
      </c>
      <c r="AF15" s="20" t="str">
        <f>_xlfn.XLOOKUP(Table4[[#This Row],[FromSite-UPS]],sites!D:D,sites!AB:AB,"",0)&amp;_xlfn.XLOOKUP(Table4[[#This Row],[ToLab]],labs!D:D,labs!Q:Q,"",0)</f>
        <v>EUEU</v>
      </c>
    </row>
    <row r="16" spans="2:32" ht="15.6" hidden="1" customHeight="1" x14ac:dyDescent="0.25">
      <c r="B16" s="13">
        <v>8</v>
      </c>
      <c r="C16" s="14" t="s">
        <v>53</v>
      </c>
      <c r="D16" s="13">
        <v>1</v>
      </c>
      <c r="E16" s="34">
        <v>45823</v>
      </c>
      <c r="F16" s="34">
        <v>45824</v>
      </c>
      <c r="G16" s="13">
        <f>IFERROR(WEEKNUM(Table4[[#This Row],[Confirmed Pick-up Date]]),"TBD")</f>
        <v>25</v>
      </c>
      <c r="H16" s="13" t="str">
        <f>IFERROR(TEXT(Table4[[#This Row],[Confirmed Pick-up Date]],"yy-mm"),"TBD")</f>
        <v>25-06</v>
      </c>
      <c r="I16" s="13" t="s">
        <v>13</v>
      </c>
      <c r="J16" s="13" t="str">
        <f>IFERROR(VLOOKUP(Table4[[#This Row],[FromSite-UPS]],Table1[[#All],[Company or Name]:[FromSite3]],15,FALSE),"")</f>
        <v>Berlin (Schoenefeld) WWTP</v>
      </c>
      <c r="K16" s="13" t="str">
        <f>IFERROR(VLOOKUP(Table4[[#This Row],[FromSite-UPS]],Table1[[#All],[Company or Name]:[FromSite3]],16,FALSE),"")</f>
        <v>Berlin Airport</v>
      </c>
      <c r="L16" s="13">
        <f>IFERROR(VLOOKUP(Table4[[#This Row],[FromSite-UPS]],Table1[[#All],[Company or Name]:[FromSite3]],14,FALSE),"")</f>
        <v>0.58333333333333337</v>
      </c>
      <c r="M16" s="13" t="s">
        <v>42</v>
      </c>
      <c r="N16" s="20" t="s">
        <v>134</v>
      </c>
      <c r="O16" s="13" t="s">
        <v>694</v>
      </c>
      <c r="P16" s="13"/>
      <c r="Q16" s="20" t="s">
        <v>854</v>
      </c>
      <c r="R16" s="36" t="s">
        <v>702</v>
      </c>
      <c r="S16" s="20" t="s">
        <v>125</v>
      </c>
      <c r="T16" s="20" t="s">
        <v>856</v>
      </c>
      <c r="U16" s="20"/>
      <c r="V16" s="20"/>
      <c r="W16" s="20" t="str">
        <f>TEXT(Table4[[#This Row],[Confirmed Sampling Date]], "yyyy") &amp; "_" &amp; TEXT(Table4[[#This Row],[Confirmed Sampling Date]], "mm") &amp; "_" &amp; TEXT(Table4[[#This Row],[Confirmed Sampling Date]], "dd")</f>
        <v>2025_06_15</v>
      </c>
      <c r="X16" s="20" t="str">
        <f t="shared" si="0"/>
        <v>Berlin</v>
      </c>
      <c r="Y16" s="20" t="str">
        <f>VLOOKUP(Table4[[#This Row],[FromSite-UPS]],Table1[[Company or Name]:[NOTES]],2,FALSE)</f>
        <v>Germany</v>
      </c>
      <c r="Z16" s="20">
        <f>IFERROR(WEEKNUM(Table4[[#This Row],[Confirmed Sampling Date]] - 10, 21), "TBD")</f>
        <v>23</v>
      </c>
      <c r="AA16" s="20" t="str">
        <f>_xlfn.XLOOKUP(Table4[[#This Row],[FromSite-UPS]],sites!D:D,sites!W:W,"",0)</f>
        <v>Strasse am Klarwerk 4, Klarwerk Wassmannsdorf, Schoenefeld, 12529, Germany</v>
      </c>
      <c r="AB16" s="20" t="str">
        <f>_xlfn.XLOOKUP(Table4[[#This Row],[ToLab]],labs!D:D,labs!P:P,"no adres",0)</f>
        <v>Via E. Fermi 2749, T.P. 120, Directorate D Sustainable Resources, Ispra, 21027, Italy</v>
      </c>
      <c r="AC16" s="20">
        <f>_xlfn.XLOOKUP(Table4[[#This Row],[combi]],AREA!E:E,AREA!F:F,"",0)</f>
        <v>89</v>
      </c>
      <c r="AD16" s="20" t="str">
        <f>_xlfn.XLOOKUP(Table4[[#This Row],[combi]],AREA!E:E,AREA!G:G,"",0)</f>
        <v>Pick-up service of hypothetic package as defined in the Tech. Specs. and delivery to lots
2 and 3 contractors according to Scenario 1</v>
      </c>
      <c r="AE16" s="20" t="s">
        <v>125</v>
      </c>
      <c r="AF16" s="20" t="str">
        <f>_xlfn.XLOOKUP(Table4[[#This Row],[FromSite-UPS]],sites!D:D,sites!AB:AB,"",0)&amp;_xlfn.XLOOKUP(Table4[[#This Row],[ToLab]],labs!D:D,labs!Q:Q,"",0)</f>
        <v>EUEU</v>
      </c>
    </row>
    <row r="17" spans="2:32" s="61" customFormat="1" ht="15.6" hidden="1" customHeight="1" x14ac:dyDescent="0.25">
      <c r="B17" s="2">
        <v>71</v>
      </c>
      <c r="C17" s="61" t="s">
        <v>53</v>
      </c>
      <c r="D17" s="2">
        <v>1</v>
      </c>
      <c r="E17" s="7">
        <v>45823</v>
      </c>
      <c r="F17" s="7">
        <v>45824</v>
      </c>
      <c r="G17" s="59">
        <f>IFERROR(WEEKNUM(Table4[[#This Row],[Confirmed Pick-up Date]]),"TBD")</f>
        <v>25</v>
      </c>
      <c r="H17" s="59" t="str">
        <f>IFERROR(TEXT(Table4[[#This Row],[Confirmed Pick-up Date]],"yy-mm"),"TBD")</f>
        <v>25-06</v>
      </c>
      <c r="I17" s="2" t="s">
        <v>13</v>
      </c>
      <c r="J17" s="59" t="str">
        <f>IFERROR(VLOOKUP(Table4[[#This Row],[FromSite-UPS]],Table1[[#All],[Company or Name]:[FromSite3]],15,FALSE),"")</f>
        <v>Berlin (Schoenefeld) WWTP</v>
      </c>
      <c r="K17" s="59" t="str">
        <f>IFERROR(VLOOKUP(Table4[[#This Row],[FromSite-UPS]],Table1[[#All],[Company or Name]:[FromSite3]],16,FALSE),"")</f>
        <v>Berlin Airport</v>
      </c>
      <c r="L17" s="59">
        <f>IFERROR(VLOOKUP(Table4[[#This Row],[FromSite-UPS]],Table1[[#All],[Company or Name]:[FromSite3]],14,FALSE),"")</f>
        <v>0.58333333333333337</v>
      </c>
      <c r="M17" s="2" t="s">
        <v>42</v>
      </c>
      <c r="N17" s="59" t="s">
        <v>134</v>
      </c>
      <c r="O17" s="2" t="s">
        <v>695</v>
      </c>
      <c r="P17" s="2"/>
      <c r="Q17" s="62" t="s">
        <v>854</v>
      </c>
      <c r="R17" s="20" t="s">
        <v>701</v>
      </c>
      <c r="S17" s="59" t="s">
        <v>125</v>
      </c>
      <c r="T17" s="59" t="s">
        <v>856</v>
      </c>
      <c r="U17" s="59"/>
      <c r="V17" s="59"/>
      <c r="W17" s="59" t="str">
        <f>TEXT(Table4[[#This Row],[Confirmed Sampling Date]], "yyyy") &amp; "_" &amp; TEXT(Table4[[#This Row],[Confirmed Sampling Date]], "mm") &amp; "_" &amp; TEXT(Table4[[#This Row],[Confirmed Sampling Date]], "dd")</f>
        <v>2025_06_15</v>
      </c>
      <c r="X17" s="59" t="str">
        <f t="shared" si="0"/>
        <v>Berlin</v>
      </c>
      <c r="Y17" s="59" t="str">
        <f>VLOOKUP(Table4[[#This Row],[FromSite-UPS]],Table1[[Company or Name]:[NOTES]],2,FALSE)</f>
        <v>Germany</v>
      </c>
      <c r="Z17" s="59">
        <f>IFERROR(WEEKNUM(Table4[[#This Row],[Confirmed Sampling Date]] - 10, 21), "TBD")</f>
        <v>23</v>
      </c>
      <c r="AA17" s="20" t="str">
        <f>_xlfn.XLOOKUP(Table4[[#This Row],[FromSite-UPS]],sites!D:D,sites!W:W,"",0)</f>
        <v>Strasse am Klarwerk 4, Klarwerk Wassmannsdorf, Schoenefeld, 12529, Germany</v>
      </c>
      <c r="AB17" s="20" t="str">
        <f>_xlfn.XLOOKUP(Table4[[#This Row],[ToLab]],labs!D:D,labs!P:P,"no adres",0)</f>
        <v>Via E. Fermi 2749, T.P. 120, Directorate D Sustainable Resources, Ispra, 21027, Italy</v>
      </c>
      <c r="AC17" s="20">
        <f>_xlfn.XLOOKUP(Table4[[#This Row],[combi]],AREA!E:E,AREA!F:F,"",0)</f>
        <v>89</v>
      </c>
      <c r="AD17" s="20" t="str">
        <f>_xlfn.XLOOKUP(Table4[[#This Row],[combi]],AREA!E:E,AREA!G:G,"",0)</f>
        <v>Pick-up service of hypothetic package as defined in the Tech. Specs. and delivery to lots
2 and 3 contractors according to Scenario 1</v>
      </c>
      <c r="AE17" s="20" t="s">
        <v>125</v>
      </c>
      <c r="AF17" s="20" t="str">
        <f>_xlfn.XLOOKUP(Table4[[#This Row],[FromSite-UPS]],sites!D:D,sites!AB:AB,"",0)&amp;_xlfn.XLOOKUP(Table4[[#This Row],[ToLab]],labs!D:D,labs!Q:Q,"",0)</f>
        <v>EUEU</v>
      </c>
    </row>
    <row r="18" spans="2:32" ht="15.6" hidden="1" customHeight="1" x14ac:dyDescent="0.25">
      <c r="B18" s="13">
        <v>49</v>
      </c>
      <c r="C18" s="14" t="s">
        <v>53</v>
      </c>
      <c r="D18" s="13">
        <v>1</v>
      </c>
      <c r="E18" s="34">
        <v>45824</v>
      </c>
      <c r="F18" s="34">
        <v>45825</v>
      </c>
      <c r="G18" s="20">
        <f>IFERROR(WEEKNUM(Table4[[#This Row],[Confirmed Pick-up Date]]),"TBD")</f>
        <v>25</v>
      </c>
      <c r="H18" s="20" t="str">
        <f>IFERROR(TEXT(Table4[[#This Row],[Confirmed Pick-up Date]],"yy-mm"),"TBD")</f>
        <v>25-06</v>
      </c>
      <c r="I18" s="13" t="s">
        <v>364</v>
      </c>
      <c r="J18" s="20" t="str">
        <f>IFERROR(VLOOKUP(Table4[[#This Row],[FromSite-UPS]],Table1[[#All],[Company or Name]:[FromSite3]],15,FALSE),"")</f>
        <v>Brussels WWTP</v>
      </c>
      <c r="K18" s="20" t="str">
        <f>IFERROR(VLOOKUP(Table4[[#This Row],[FromSite-UPS]],Table1[[#All],[Company or Name]:[FromSite3]],16,FALSE),"")</f>
        <v>Brussels Airport</v>
      </c>
      <c r="L18" s="20">
        <f>IFERROR(VLOOKUP(Table4[[#This Row],[FromSite-UPS]],Table1[[#All],[Company or Name]:[FromSite3]],14,FALSE),"")</f>
        <v>0.70833333333333337</v>
      </c>
      <c r="M18" s="13" t="s">
        <v>42</v>
      </c>
      <c r="N18" s="20" t="s">
        <v>134</v>
      </c>
      <c r="O18" s="13" t="s">
        <v>696</v>
      </c>
      <c r="P18" s="13"/>
      <c r="Q18" s="20" t="s">
        <v>743</v>
      </c>
      <c r="R18" s="20" t="s">
        <v>707</v>
      </c>
      <c r="S18" s="20" t="s">
        <v>125</v>
      </c>
      <c r="T18" s="20" t="s">
        <v>856</v>
      </c>
      <c r="U18" s="20"/>
      <c r="V18" s="20"/>
      <c r="W18" s="20" t="str">
        <f>TEXT(Table4[[#This Row],[Confirmed Sampling Date]], "yyyy") &amp; "_" &amp; TEXT(Table4[[#This Row],[Confirmed Sampling Date]], "mm") &amp; "_" &amp; TEXT(Table4[[#This Row],[Confirmed Sampling Date]], "dd")</f>
        <v>2025_06_16</v>
      </c>
      <c r="X18" s="20" t="str">
        <f t="shared" si="0"/>
        <v>Brussels</v>
      </c>
      <c r="Y18" s="20" t="str">
        <f>VLOOKUP(Table4[[#This Row],[FromSite-UPS]],Table1[[Company or Name]:[NOTES]],2,FALSE)</f>
        <v>Belgium</v>
      </c>
      <c r="Z18" s="20">
        <f>IFERROR(WEEKNUM(Table4[[#This Row],[Confirmed Sampling Date]] - 10, 21), "TBD")</f>
        <v>23</v>
      </c>
      <c r="AA18" s="20" t="str">
        <f>_xlfn.XLOOKUP(Table4[[#This Row],[FromSite-UPS]],sites!D:D,sites!W:W,"",0)</f>
        <v>Rue Juliette Wytsmanstraat 14, Brussels, 1050, Belgium</v>
      </c>
      <c r="AB18" s="20" t="str">
        <f>_xlfn.XLOOKUP(Table4[[#This Row],[ToLab]],labs!D:D,labs!P:P,"no adres",0)</f>
        <v>Via E. Fermi 2749, T.P. 120, Directorate D Sustainable Resources, Ispra, 21027, Italy</v>
      </c>
      <c r="AC18" s="20">
        <f>_xlfn.XLOOKUP(Table4[[#This Row],[combi]],AREA!E:E,AREA!F:F,"",0)</f>
        <v>89</v>
      </c>
      <c r="AD18" s="20" t="str">
        <f>_xlfn.XLOOKUP(Table4[[#This Row],[combi]],AREA!E:E,AREA!G:G,"",0)</f>
        <v>Pick-up service of hypothetic package as defined in the Tech. Specs. and delivery to lots
2 and 3 contractors according to Scenario 1</v>
      </c>
      <c r="AE18" s="20" t="s">
        <v>125</v>
      </c>
      <c r="AF18" s="20" t="str">
        <f>_xlfn.XLOOKUP(Table4[[#This Row],[FromSite-UPS]],sites!D:D,sites!AB:AB,"",0)&amp;_xlfn.XLOOKUP(Table4[[#This Row],[ToLab]],labs!D:D,labs!Q:Q,"",0)</f>
        <v>EUEU</v>
      </c>
    </row>
    <row r="19" spans="2:32" ht="15.6" hidden="1" customHeight="1" x14ac:dyDescent="0.25">
      <c r="B19" s="13">
        <v>112</v>
      </c>
      <c r="C19" s="14" t="s">
        <v>53</v>
      </c>
      <c r="D19" s="13">
        <v>1</v>
      </c>
      <c r="E19" s="83">
        <v>45824</v>
      </c>
      <c r="F19" s="83">
        <v>45825</v>
      </c>
      <c r="G19" s="20">
        <f>IFERROR(WEEKNUM(Table4[[#This Row],[Confirmed Pick-up Date]]),"TBD")</f>
        <v>25</v>
      </c>
      <c r="H19" s="20" t="str">
        <f>IFERROR(TEXT(Table4[[#This Row],[Confirmed Pick-up Date]],"yy-mm"),"TBD")</f>
        <v>25-06</v>
      </c>
      <c r="I19" s="13" t="s">
        <v>364</v>
      </c>
      <c r="J19" s="20" t="str">
        <f>IFERROR(VLOOKUP(Table4[[#This Row],[FromSite-UPS]],Table1[[#All],[Company or Name]:[FromSite3]],15,FALSE),"")</f>
        <v>Brussels WWTP</v>
      </c>
      <c r="K19" s="20" t="str">
        <f>IFERROR(VLOOKUP(Table4[[#This Row],[FromSite-UPS]],Table1[[#All],[Company or Name]:[FromSite3]],16,FALSE),"")</f>
        <v>Brussels Airport</v>
      </c>
      <c r="L19" s="20">
        <f>IFERROR(VLOOKUP(Table4[[#This Row],[FromSite-UPS]],Table1[[#All],[Company or Name]:[FromSite3]],14,FALSE),"")</f>
        <v>0.70833333333333337</v>
      </c>
      <c r="M19" s="13" t="s">
        <v>42</v>
      </c>
      <c r="N19" s="20" t="s">
        <v>134</v>
      </c>
      <c r="O19" s="13" t="s">
        <v>697</v>
      </c>
      <c r="P19" s="13"/>
      <c r="Q19" s="20" t="s">
        <v>743</v>
      </c>
      <c r="R19" s="20" t="s">
        <v>706</v>
      </c>
      <c r="S19" s="20" t="s">
        <v>125</v>
      </c>
      <c r="T19" s="20" t="s">
        <v>856</v>
      </c>
      <c r="U19" s="20"/>
      <c r="V19" s="20"/>
      <c r="W19" s="20" t="str">
        <f>TEXT(Table4[[#This Row],[Confirmed Sampling Date]], "yyyy") &amp; "_" &amp; TEXT(Table4[[#This Row],[Confirmed Sampling Date]], "mm") &amp; "_" &amp; TEXT(Table4[[#This Row],[Confirmed Sampling Date]], "dd")</f>
        <v>2025_06_16</v>
      </c>
      <c r="X19" s="20" t="str">
        <f t="shared" si="0"/>
        <v>Brussels</v>
      </c>
      <c r="Y19" s="20" t="str">
        <f>VLOOKUP(Table4[[#This Row],[FromSite-UPS]],Table1[[Company or Name]:[NOTES]],2,FALSE)</f>
        <v>Belgium</v>
      </c>
      <c r="Z19" s="20">
        <f>IFERROR(WEEKNUM(Table4[[#This Row],[Confirmed Sampling Date]] - 10, 21), "TBD")</f>
        <v>23</v>
      </c>
      <c r="AA19" s="20" t="str">
        <f>_xlfn.XLOOKUP(Table4[[#This Row],[FromSite-UPS]],sites!D:D,sites!W:W,"",0)</f>
        <v>Rue Juliette Wytsmanstraat 14, Brussels, 1050, Belgium</v>
      </c>
      <c r="AB19" s="20" t="str">
        <f>_xlfn.XLOOKUP(Table4[[#This Row],[ToLab]],labs!D:D,labs!P:P,"no adres",0)</f>
        <v>Via E. Fermi 2749, T.P. 120, Directorate D Sustainable Resources, Ispra, 21027, Italy</v>
      </c>
      <c r="AC19" s="20">
        <f>_xlfn.XLOOKUP(Table4[[#This Row],[combi]],AREA!E:E,AREA!F:F,"",0)</f>
        <v>89</v>
      </c>
      <c r="AD19" s="20" t="str">
        <f>_xlfn.XLOOKUP(Table4[[#This Row],[combi]],AREA!E:E,AREA!G:G,"",0)</f>
        <v>Pick-up service of hypothetic package as defined in the Tech. Specs. and delivery to lots
2 and 3 contractors according to Scenario 1</v>
      </c>
      <c r="AE19" s="20" t="s">
        <v>125</v>
      </c>
      <c r="AF19" s="20" t="str">
        <f>_xlfn.XLOOKUP(Table4[[#This Row],[FromSite-UPS]],sites!D:D,sites!AB:AB,"",0)&amp;_xlfn.XLOOKUP(Table4[[#This Row],[ToLab]],labs!D:D,labs!Q:Q,"",0)</f>
        <v>EUEU</v>
      </c>
    </row>
    <row r="20" spans="2:32" ht="15.6" hidden="1" customHeight="1" x14ac:dyDescent="0.25">
      <c r="B20" s="13">
        <v>22</v>
      </c>
      <c r="C20" s="14" t="s">
        <v>53</v>
      </c>
      <c r="D20" s="13">
        <v>1</v>
      </c>
      <c r="E20" s="83">
        <v>45825</v>
      </c>
      <c r="F20" s="83">
        <v>45826</v>
      </c>
      <c r="G20" s="20">
        <f>IFERROR(WEEKNUM(Table4[[#This Row],[Confirmed Pick-up Date]]),"TBD")</f>
        <v>25</v>
      </c>
      <c r="H20" s="20" t="str">
        <f>IFERROR(TEXT(Table4[[#This Row],[Confirmed Pick-up Date]],"yy-mm"),"TBD")</f>
        <v>25-06</v>
      </c>
      <c r="I20" s="13" t="s">
        <v>19</v>
      </c>
      <c r="J20" s="13" t="str">
        <f>IFERROR(VLOOKUP(Table4[[#This Row],[FromSite-UPS]],Table1[[#All],[Company or Name]:[FromSite3]],15,FALSE),"")</f>
        <v>Munich WWTP</v>
      </c>
      <c r="K20" s="20" t="str">
        <f>IFERROR(VLOOKUP(Table4[[#This Row],[FromSite-UPS]],Table1[[#All],[Company or Name]:[FromSite3]],16,FALSE),"")</f>
        <v>Munich Airport</v>
      </c>
      <c r="L20" s="20">
        <f>IFERROR(VLOOKUP(Table4[[#This Row],[FromSite-UPS]],Table1[[#All],[Company or Name]:[FromSite3]],14,FALSE),"")</f>
        <v>0.58333333333333337</v>
      </c>
      <c r="M20" s="13" t="s">
        <v>42</v>
      </c>
      <c r="N20" s="20" t="s">
        <v>134</v>
      </c>
      <c r="O20" s="13" t="s">
        <v>699</v>
      </c>
      <c r="P20" s="13"/>
      <c r="Q20" s="20" t="s">
        <v>748</v>
      </c>
      <c r="R20" s="20" t="s">
        <v>703</v>
      </c>
      <c r="S20" s="20" t="s">
        <v>125</v>
      </c>
      <c r="T20" s="20" t="s">
        <v>856</v>
      </c>
      <c r="U20" s="20"/>
      <c r="V20" s="20"/>
      <c r="W20" s="20" t="str">
        <f>TEXT(Table4[[#This Row],[Confirmed Sampling Date]], "yyyy") &amp; "_" &amp; TEXT(Table4[[#This Row],[Confirmed Sampling Date]], "mm") &amp; "_" &amp; TEXT(Table4[[#This Row],[Confirmed Sampling Date]], "dd")</f>
        <v>2025_06_17</v>
      </c>
      <c r="X20" s="20" t="str">
        <f t="shared" si="0"/>
        <v>Munich</v>
      </c>
      <c r="Y20" s="20" t="str">
        <f>VLOOKUP(Table4[[#This Row],[FromSite-UPS]],Table1[[Company or Name]:[NOTES]],2,FALSE)</f>
        <v>Germany</v>
      </c>
      <c r="Z20" s="20">
        <f>IFERROR(WEEKNUM(Table4[[#This Row],[Confirmed Sampling Date]] - 10, 21), "TBD")</f>
        <v>23</v>
      </c>
      <c r="AA20" s="20" t="str">
        <f>_xlfn.XLOOKUP(Table4[[#This Row],[FromSite-UPS]],sites!D:D,sites!W:W,"",0)</f>
        <v>Leopoldstrasse 5, Institut fuer Infektions- und Tropenmedizin, Munich, 80802, Germany</v>
      </c>
      <c r="AB20" s="20" t="str">
        <f>_xlfn.XLOOKUP(Table4[[#This Row],[ToLab]],labs!D:D,labs!P:P,"no adres",0)</f>
        <v>Via E. Fermi 2749, T.P. 120, Directorate D Sustainable Resources, Ispra, 21027, Italy</v>
      </c>
      <c r="AC20" s="20">
        <f>_xlfn.XLOOKUP(Table4[[#This Row],[combi]],AREA!E:E,AREA!F:F,"",0)</f>
        <v>89</v>
      </c>
      <c r="AD20" s="20" t="str">
        <f>_xlfn.XLOOKUP(Table4[[#This Row],[combi]],AREA!E:E,AREA!G:G,"",0)</f>
        <v>Pick-up service of hypothetic package as defined in the Tech. Specs. and delivery to lots
2 and 3 contractors according to Scenario 1</v>
      </c>
      <c r="AE20" s="20" t="s">
        <v>125</v>
      </c>
      <c r="AF20" s="20" t="str">
        <f>_xlfn.XLOOKUP(Table4[[#This Row],[FromSite-UPS]],sites!D:D,sites!AB:AB,"",0)&amp;_xlfn.XLOOKUP(Table4[[#This Row],[ToLab]],labs!D:D,labs!Q:Q,"",0)</f>
        <v>EUEU</v>
      </c>
    </row>
    <row r="21" spans="2:32" ht="15.6" hidden="1" customHeight="1" x14ac:dyDescent="0.25">
      <c r="B21" s="13">
        <v>36</v>
      </c>
      <c r="C21" s="14" t="s">
        <v>53</v>
      </c>
      <c r="D21" s="13">
        <v>1</v>
      </c>
      <c r="E21" s="83">
        <v>45825</v>
      </c>
      <c r="F21" s="83">
        <v>45826</v>
      </c>
      <c r="G21" s="20">
        <f>IFERROR(WEEKNUM(Table4[[#This Row],[Confirmed Pick-up Date]]),"TBD")</f>
        <v>25</v>
      </c>
      <c r="H21" s="20" t="str">
        <f>IFERROR(TEXT(Table4[[#This Row],[Confirmed Pick-up Date]],"yy-mm"),"TBD")</f>
        <v>25-06</v>
      </c>
      <c r="I21" s="13" t="s">
        <v>677</v>
      </c>
      <c r="J21" s="13" t="str">
        <f>IFERROR(VLOOKUP(Table4[[#This Row],[FromSite-UPS]],Table1[[#All],[Company or Name]:[FromSite3]],15,FALSE),"")</f>
        <v>Frankfurt WWTP</v>
      </c>
      <c r="K21" s="20" t="str">
        <f>IFERROR(VLOOKUP(Table4[[#This Row],[FromSite-UPS]],Table1[[#All],[Company or Name]:[FromSite3]],16,FALSE),"")</f>
        <v>Frankfurt Airport</v>
      </c>
      <c r="L21" s="20">
        <f>IFERROR(VLOOKUP(Table4[[#This Row],[FromSite-UPS]],Table1[[#All],[Company or Name]:[FromSite3]],14,FALSE),"")</f>
        <v>0.58333333333333337</v>
      </c>
      <c r="M21" s="13" t="s">
        <v>42</v>
      </c>
      <c r="N21" s="20" t="s">
        <v>134</v>
      </c>
      <c r="O21" s="13" t="s">
        <v>698</v>
      </c>
      <c r="P21" s="13"/>
      <c r="Q21" s="20" t="s">
        <v>749</v>
      </c>
      <c r="R21" s="20" t="s">
        <v>705</v>
      </c>
      <c r="S21" s="20" t="s">
        <v>125</v>
      </c>
      <c r="T21" s="20" t="s">
        <v>856</v>
      </c>
      <c r="U21" s="20"/>
      <c r="V21" s="20"/>
      <c r="W21" s="20" t="str">
        <f>TEXT(Table4[[#This Row],[Confirmed Sampling Date]], "yyyy") &amp; "_" &amp; TEXT(Table4[[#This Row],[Confirmed Sampling Date]], "mm") &amp; "_" &amp; TEXT(Table4[[#This Row],[Confirmed Sampling Date]], "dd")</f>
        <v>2025_06_17</v>
      </c>
      <c r="X21" s="20" t="str">
        <f t="shared" si="0"/>
        <v>Frankfurt</v>
      </c>
      <c r="Y21" s="20" t="str">
        <f>VLOOKUP(Table4[[#This Row],[FromSite-UPS]],Table1[[Company or Name]:[NOTES]],2,FALSE)</f>
        <v>Germany</v>
      </c>
      <c r="Z21" s="20">
        <f>IFERROR(WEEKNUM(Table4[[#This Row],[Confirmed Sampling Date]] - 10, 21), "TBD")</f>
        <v>23</v>
      </c>
      <c r="AA21" s="20" t="str">
        <f>_xlfn.XLOOKUP(Table4[[#This Row],[FromSite-UPS]],sites!D:D,sites!W:W,"",0)</f>
        <v>Goldsteinstraße 160, Gebäude 71 , Frankfurt am Main , 60528, Germany</v>
      </c>
      <c r="AB21" s="20" t="str">
        <f>_xlfn.XLOOKUP(Table4[[#This Row],[ToLab]],labs!D:D,labs!P:P,"no adres",0)</f>
        <v>Via E. Fermi 2749, T.P. 120, Directorate D Sustainable Resources, Ispra, 21027, Italy</v>
      </c>
      <c r="AC21" s="20">
        <f>_xlfn.XLOOKUP(Table4[[#This Row],[combi]],AREA!E:E,AREA!F:F,"",0)</f>
        <v>89</v>
      </c>
      <c r="AD21" s="20" t="str">
        <f>_xlfn.XLOOKUP(Table4[[#This Row],[combi]],AREA!E:E,AREA!G:G,"",0)</f>
        <v>Pick-up service of hypothetic package as defined in the Tech. Specs. and delivery to lots
2 and 3 contractors according to Scenario 1</v>
      </c>
      <c r="AE21" s="20" t="s">
        <v>125</v>
      </c>
      <c r="AF21" s="20" t="str">
        <f>_xlfn.XLOOKUP(Table4[[#This Row],[FromSite-UPS]],sites!D:D,sites!AB:AB,"",0)&amp;_xlfn.XLOOKUP(Table4[[#This Row],[ToLab]],labs!D:D,labs!Q:Q,"",0)</f>
        <v>EUEU</v>
      </c>
    </row>
    <row r="22" spans="2:32" ht="15.6" hidden="1" customHeight="1" x14ac:dyDescent="0.25">
      <c r="B22" s="13">
        <v>85</v>
      </c>
      <c r="C22" s="14" t="s">
        <v>53</v>
      </c>
      <c r="D22" s="13">
        <v>1</v>
      </c>
      <c r="E22" s="83">
        <v>45825</v>
      </c>
      <c r="F22" s="83">
        <v>45826</v>
      </c>
      <c r="G22" s="20">
        <f>IFERROR(WEEKNUM(Table4[[#This Row],[Confirmed Pick-up Date]]),"TBD")</f>
        <v>25</v>
      </c>
      <c r="H22" s="20" t="str">
        <f>IFERROR(TEXT(Table4[[#This Row],[Confirmed Pick-up Date]],"yy-mm"),"TBD")</f>
        <v>25-06</v>
      </c>
      <c r="I22" s="13" t="s">
        <v>19</v>
      </c>
      <c r="J22" s="20" t="str">
        <f>IFERROR(VLOOKUP(Table4[[#This Row],[FromSite-UPS]],Table1[[#All],[Company or Name]:[FromSite3]],15,FALSE),"")</f>
        <v>Munich WWTP</v>
      </c>
      <c r="K22" s="20" t="str">
        <f>IFERROR(VLOOKUP(Table4[[#This Row],[FromSite-UPS]],Table1[[#All],[Company or Name]:[FromSite3]],16,FALSE),"")</f>
        <v>Munich Airport</v>
      </c>
      <c r="L22" s="20">
        <f>IFERROR(VLOOKUP(Table4[[#This Row],[FromSite-UPS]],Table1[[#All],[Company or Name]:[FromSite3]],14,FALSE),"")</f>
        <v>0.58333333333333337</v>
      </c>
      <c r="M22" s="13" t="s">
        <v>42</v>
      </c>
      <c r="N22" s="20" t="s">
        <v>134</v>
      </c>
      <c r="O22" s="13" t="s">
        <v>700</v>
      </c>
      <c r="P22" s="13"/>
      <c r="Q22" s="20" t="s">
        <v>748</v>
      </c>
      <c r="R22" s="20" t="s">
        <v>704</v>
      </c>
      <c r="S22" s="20" t="s">
        <v>125</v>
      </c>
      <c r="T22" s="20" t="s">
        <v>856</v>
      </c>
      <c r="U22" s="20"/>
      <c r="V22" s="20"/>
      <c r="W22" s="20" t="str">
        <f>TEXT(Table4[[#This Row],[Confirmed Sampling Date]], "yyyy") &amp; "_" &amp; TEXT(Table4[[#This Row],[Confirmed Sampling Date]], "mm") &amp; "_" &amp; TEXT(Table4[[#This Row],[Confirmed Sampling Date]], "dd")</f>
        <v>2025_06_17</v>
      </c>
      <c r="X22" s="20" t="str">
        <f t="shared" si="0"/>
        <v>Munich</v>
      </c>
      <c r="Y22" s="20" t="str">
        <f>VLOOKUP(Table4[[#This Row],[FromSite-UPS]],Table1[[Company or Name]:[NOTES]],2,FALSE)</f>
        <v>Germany</v>
      </c>
      <c r="Z22" s="20">
        <f>IFERROR(WEEKNUM(Table4[[#This Row],[Confirmed Sampling Date]] - 10, 21), "TBD")</f>
        <v>23</v>
      </c>
      <c r="AA22" s="20" t="str">
        <f>_xlfn.XLOOKUP(Table4[[#This Row],[FromSite-UPS]],sites!D:D,sites!W:W,"",0)</f>
        <v>Leopoldstrasse 5, Institut fuer Infektions- und Tropenmedizin, Munich, 80802, Germany</v>
      </c>
      <c r="AB22" s="20" t="str">
        <f>_xlfn.XLOOKUP(Table4[[#This Row],[ToLab]],labs!D:D,labs!P:P,"no adres",0)</f>
        <v>Via E. Fermi 2749, T.P. 120, Directorate D Sustainable Resources, Ispra, 21027, Italy</v>
      </c>
      <c r="AC22" s="20">
        <f>_xlfn.XLOOKUP(Table4[[#This Row],[combi]],AREA!E:E,AREA!F:F,"",0)</f>
        <v>89</v>
      </c>
      <c r="AD22" s="20" t="str">
        <f>_xlfn.XLOOKUP(Table4[[#This Row],[combi]],AREA!E:E,AREA!G:G,"",0)</f>
        <v>Pick-up service of hypothetic package as defined in the Tech. Specs. and delivery to lots
2 and 3 contractors according to Scenario 1</v>
      </c>
      <c r="AE22" s="20" t="s">
        <v>125</v>
      </c>
      <c r="AF22" s="20" t="str">
        <f>_xlfn.XLOOKUP(Table4[[#This Row],[FromSite-UPS]],sites!D:D,sites!AB:AB,"",0)&amp;_xlfn.XLOOKUP(Table4[[#This Row],[ToLab]],labs!D:D,labs!Q:Q,"",0)</f>
        <v>EUEU</v>
      </c>
    </row>
    <row r="23" spans="2:32" ht="15.6" hidden="1" customHeight="1" x14ac:dyDescent="0.25">
      <c r="B23" s="13">
        <v>134</v>
      </c>
      <c r="C23" s="14" t="s">
        <v>53</v>
      </c>
      <c r="D23" s="13">
        <v>1</v>
      </c>
      <c r="E23" s="83">
        <v>45826</v>
      </c>
      <c r="F23" s="83">
        <v>45826</v>
      </c>
      <c r="G23" s="20">
        <f>IFERROR(WEEKNUM(Table4[[#This Row],[Confirmed Pick-up Date]]),"TBD")</f>
        <v>25</v>
      </c>
      <c r="H23" s="20" t="str">
        <f>IFERROR(TEXT(Table4[[#This Row],[Confirmed Pick-up Date]],"yy-mm"),"TBD")</f>
        <v>25-06</v>
      </c>
      <c r="I23" s="13" t="s">
        <v>680</v>
      </c>
      <c r="J23" s="20" t="str">
        <f>IFERROR(VLOOKUP(Table4[[#This Row],[FromSite-UPS]],Table1[[#All],[Company or Name]:[FromSite3]],15,FALSE),"")</f>
        <v>Rome WWTP</v>
      </c>
      <c r="K23" s="20" t="str">
        <f>IFERROR(VLOOKUP(Table4[[#This Row],[FromSite-UPS]],Table1[[#All],[Company or Name]:[FromSite3]],16,FALSE),"")</f>
        <v>-</v>
      </c>
      <c r="L23" s="20">
        <f>IFERROR(VLOOKUP(Table4[[#This Row],[FromSite-UPS]],Table1[[#All],[Company or Name]:[FromSite3]],14,FALSE),"")</f>
        <v>0.70833333333333337</v>
      </c>
      <c r="M23" s="13" t="s">
        <v>42</v>
      </c>
      <c r="N23" s="20" t="s">
        <v>134</v>
      </c>
      <c r="O23" s="20" t="s">
        <v>775</v>
      </c>
      <c r="P23" s="20"/>
      <c r="Q23" s="20" t="s">
        <v>777</v>
      </c>
      <c r="R23" s="20" t="s">
        <v>792</v>
      </c>
      <c r="S23" s="20" t="s">
        <v>125</v>
      </c>
      <c r="T23" s="20" t="s">
        <v>856</v>
      </c>
      <c r="U23" s="20"/>
      <c r="V23" s="20"/>
      <c r="W23" s="20" t="str">
        <f>TEXT(Table4[[#This Row],[Confirmed Sampling Date]], "yyyy") &amp; "_" &amp; TEXT(Table4[[#This Row],[Confirmed Sampling Date]], "mm") &amp; "_" &amp; TEXT(Table4[[#This Row],[Confirmed Sampling Date]], "dd")</f>
        <v>2025_06_18</v>
      </c>
      <c r="X23" s="20" t="str">
        <f t="shared" si="0"/>
        <v>Rome</v>
      </c>
      <c r="Y23" s="20" t="str">
        <f>VLOOKUP(Table4[[#This Row],[FromSite-UPS]],Table1[[Company or Name]:[NOTES]],2,FALSE)</f>
        <v>Italy</v>
      </c>
      <c r="Z23" s="20">
        <f>IFERROR(WEEKNUM(Table4[[#This Row],[Confirmed Sampling Date]] - 10, 21), "TBD")</f>
        <v>23</v>
      </c>
      <c r="AA23" s="20" t="str">
        <f>_xlfn.XLOOKUP(Table4[[#This Row],[FromSite-UPS]],sites!D:D,sites!W:W,"",0)</f>
        <v>Via dell'Equitazione 10, Rome, 00144, Italy</v>
      </c>
      <c r="AB23" s="20" t="str">
        <f>_xlfn.XLOOKUP(Table4[[#This Row],[ToLab]],labs!D:D,labs!P:P,"no adres",0)</f>
        <v>Via E. Fermi 2749, T.P. 120, Directorate D Sustainable Resources, Ispra, 21027, Italy</v>
      </c>
      <c r="AC23" s="20">
        <f>_xlfn.XLOOKUP(Table4[[#This Row],[combi]],AREA!E:E,AREA!F:F,"",0)</f>
        <v>89</v>
      </c>
      <c r="AD23" s="20" t="str">
        <f>_xlfn.XLOOKUP(Table4[[#This Row],[combi]],AREA!E:E,AREA!G:G,"",0)</f>
        <v>Pick-up service of hypothetic package as defined in the Tech. Specs. and delivery to lots
2 and 3 contractors according to Scenario 1</v>
      </c>
      <c r="AE23" s="20" t="s">
        <v>125</v>
      </c>
      <c r="AF23" s="20" t="str">
        <f>_xlfn.XLOOKUP(Table4[[#This Row],[FromSite-UPS]],sites!D:D,sites!AB:AB,"",0)&amp;_xlfn.XLOOKUP(Table4[[#This Row],[ToLab]],labs!D:D,labs!Q:Q,"",0)</f>
        <v>EUEU</v>
      </c>
    </row>
    <row r="24" spans="2:32" ht="15.6" hidden="1" customHeight="1" x14ac:dyDescent="0.25">
      <c r="B24" s="13">
        <v>148</v>
      </c>
      <c r="C24" s="14" t="s">
        <v>53</v>
      </c>
      <c r="D24" s="13">
        <v>1</v>
      </c>
      <c r="E24" s="83">
        <v>45826</v>
      </c>
      <c r="F24" s="83">
        <v>45826</v>
      </c>
      <c r="G24" s="20">
        <f>IFERROR(WEEKNUM(Table4[[#This Row],[Confirmed Pick-up Date]]),"TBD")</f>
        <v>25</v>
      </c>
      <c r="H24" s="20" t="str">
        <f>IFERROR(TEXT(Table4[[#This Row],[Confirmed Pick-up Date]],"yy-mm"),"TBD")</f>
        <v>25-06</v>
      </c>
      <c r="I24" s="13" t="s">
        <v>771</v>
      </c>
      <c r="J24" s="20" t="str">
        <f>IFERROR(VLOOKUP(Table4[[#This Row],[FromSite-UPS]],Table1[[#All],[Company or Name]:[FromSite3]],15,FALSE),"")</f>
        <v>RomeAirport</v>
      </c>
      <c r="K24" s="20" t="str">
        <f>IFERROR(VLOOKUP(Table4[[#This Row],[FromSite-UPS]],Table1[[#All],[Company or Name]:[FromSite3]],16,FALSE),"")</f>
        <v>-</v>
      </c>
      <c r="L24" s="20">
        <f>IFERROR(VLOOKUP(Table4[[#This Row],[FromSite-UPS]],Table1[[#All],[Company or Name]:[FromSite3]],14,FALSE),"")</f>
        <v>0.70833333333333337</v>
      </c>
      <c r="M24" s="13" t="s">
        <v>42</v>
      </c>
      <c r="N24" s="20" t="s">
        <v>134</v>
      </c>
      <c r="O24" s="20" t="s">
        <v>773</v>
      </c>
      <c r="P24" s="20"/>
      <c r="Q24" s="20" t="s">
        <v>778</v>
      </c>
      <c r="R24" s="20" t="s">
        <v>791</v>
      </c>
      <c r="S24" s="20" t="s">
        <v>125</v>
      </c>
      <c r="T24" s="20" t="s">
        <v>856</v>
      </c>
      <c r="U24" s="20"/>
      <c r="V24" s="20"/>
      <c r="W24" s="20" t="str">
        <f>TEXT(Table4[[#This Row],[Confirmed Sampling Date]], "yyyy") &amp; "_" &amp; TEXT(Table4[[#This Row],[Confirmed Sampling Date]], "mm") &amp; "_" &amp; TEXT(Table4[[#This Row],[Confirmed Sampling Date]], "dd")</f>
        <v>2025_06_18</v>
      </c>
      <c r="X24" s="20" t="str">
        <f t="shared" si="0"/>
        <v>RomeAirport</v>
      </c>
      <c r="Y24" s="20" t="str">
        <f>VLOOKUP(Table4[[#This Row],[FromSite-UPS]],Table1[[Company or Name]:[NOTES]],2,FALSE)</f>
        <v>Italy</v>
      </c>
      <c r="Z24" s="20">
        <f>IFERROR(WEEKNUM(Table4[[#This Row],[Confirmed Sampling Date]] - 10, 21), "TBD")</f>
        <v>23</v>
      </c>
      <c r="AA24" s="20" t="str">
        <f>_xlfn.XLOOKUP(Table4[[#This Row],[FromSite-UPS]],sites!D:D,sites!W:W,"",0)</f>
        <v>VIA FRATELLI WRIGHT (DEPURATORE BIOLOGICO), FIUMICINO, 00054, Italy</v>
      </c>
      <c r="AB24" s="20" t="str">
        <f>_xlfn.XLOOKUP(Table4[[#This Row],[ToLab]],labs!D:D,labs!P:P,"no adres",0)</f>
        <v>Via E. Fermi 2749, T.P. 120, Directorate D Sustainable Resources, Ispra, 21027, Italy</v>
      </c>
      <c r="AC24" s="20">
        <f>_xlfn.XLOOKUP(Table4[[#This Row],[combi]],AREA!E:E,AREA!F:F,"",0)</f>
        <v>89</v>
      </c>
      <c r="AD24" s="20" t="str">
        <f>_xlfn.XLOOKUP(Table4[[#This Row],[combi]],AREA!E:E,AREA!G:G,"",0)</f>
        <v>Pick-up service of hypothetic package as defined in the Tech. Specs. and delivery to lots
2 and 3 contractors according to Scenario 1</v>
      </c>
      <c r="AE24" s="20" t="s">
        <v>125</v>
      </c>
      <c r="AF24" s="20" t="str">
        <f>_xlfn.XLOOKUP(Table4[[#This Row],[FromSite-UPS]],sites!D:D,sites!AB:AB,"",0)&amp;_xlfn.XLOOKUP(Table4[[#This Row],[ToLab]],labs!D:D,labs!Q:Q,"",0)</f>
        <v>EUEU</v>
      </c>
    </row>
    <row r="25" spans="2:32" ht="15.6" hidden="1" customHeight="1" x14ac:dyDescent="0.25">
      <c r="B25" s="13">
        <v>161</v>
      </c>
      <c r="C25" s="14" t="s">
        <v>53</v>
      </c>
      <c r="D25" s="13">
        <v>1</v>
      </c>
      <c r="E25" s="34">
        <v>45825</v>
      </c>
      <c r="F25" s="34">
        <v>45826</v>
      </c>
      <c r="G25" s="20">
        <f>IFERROR(WEEKNUM(Table4[[#This Row],[Confirmed Pick-up Date]]),"TBD")</f>
        <v>25</v>
      </c>
      <c r="H25" s="20" t="str">
        <f>IFERROR(TEXT(Table4[[#This Row],[Confirmed Pick-up Date]],"yy-mm"),"TBD")</f>
        <v>25-06</v>
      </c>
      <c r="I25" s="13" t="s">
        <v>877</v>
      </c>
      <c r="J25" s="20" t="str">
        <f>IFERROR(VLOOKUP(Table4[[#This Row],[FromSite-UPS]],Table1[[#All],[Company or Name]:[FromSite3]],15,FALSE),"")</f>
        <v>Prague National Institute</v>
      </c>
      <c r="K25" s="20" t="str">
        <f>IFERROR(VLOOKUP(Table4[[#This Row],[FromSite-UPS]],Table1[[#All],[Company or Name]:[FromSite3]],16,FALSE),"")</f>
        <v>Prague WWTP FLOW 1</v>
      </c>
      <c r="L25" s="20">
        <f>IFERROR(VLOOKUP(Table4[[#This Row],[FromSite-UPS]],Table1[[#All],[Company or Name]:[FromSite3]],14,FALSE),"")</f>
        <v>0</v>
      </c>
      <c r="M25" s="13" t="s">
        <v>42</v>
      </c>
      <c r="N25" s="20" t="s">
        <v>693</v>
      </c>
      <c r="O25" s="13" t="s">
        <v>732</v>
      </c>
      <c r="P25" s="13"/>
      <c r="Q25" s="20" t="s">
        <v>740</v>
      </c>
      <c r="R25" s="20" t="s">
        <v>744</v>
      </c>
      <c r="S25" s="20" t="s">
        <v>125</v>
      </c>
      <c r="T25" s="20" t="s">
        <v>856</v>
      </c>
      <c r="U25" s="20"/>
      <c r="V25" s="20"/>
      <c r="W25" s="20" t="str">
        <f>TEXT(Table4[[#This Row],[Confirmed Sampling Date]], "yyyy") &amp; "_" &amp; TEXT(Table4[[#This Row],[Confirmed Sampling Date]], "mm") &amp; "_" &amp; TEXT(Table4[[#This Row],[Confirmed Sampling Date]], "dd")</f>
        <v>2025_06_17</v>
      </c>
      <c r="X25" s="20" t="str">
        <f t="shared" si="0"/>
        <v>Prague</v>
      </c>
      <c r="Y25" s="20" t="str">
        <f>VLOOKUP(Table4[[#This Row],[FromSite-UPS]],Table1[[Company or Name]:[NOTES]],2,FALSE)</f>
        <v>Czech Republic</v>
      </c>
      <c r="Z25" s="20">
        <f>IFERROR(WEEKNUM(Table4[[#This Row],[Confirmed Sampling Date]] - 10, 21), "TBD")</f>
        <v>23</v>
      </c>
      <c r="AA25" s="20" t="str">
        <f>_xlfn.XLOOKUP(Table4[[#This Row],[FromSite-UPS]],sites!D:D,sites!W:W,"",0)</f>
        <v>Šrobárova 49/48, Státní zdravotní ústav, Praha, 100 00, Czech Republic</v>
      </c>
      <c r="AB25" s="20" t="str">
        <f>_xlfn.XLOOKUP(Table4[[#This Row],[ToLab]],labs!D:D,labs!P:P,"no adres",0)</f>
        <v>Via E. Fermi 2749, T.P. 120, Directorate D Sustainable Resources, Ispra, 21027, Italy</v>
      </c>
      <c r="AC25" s="20">
        <f>_xlfn.XLOOKUP(Table4[[#This Row],[combi]],AREA!E:E,AREA!F:F,"",0)</f>
        <v>89</v>
      </c>
      <c r="AD25" s="20" t="str">
        <f>_xlfn.XLOOKUP(Table4[[#This Row],[combi]],AREA!E:E,AREA!G:G,"",0)</f>
        <v>Pick-up service of hypothetic package as defined in the Tech. Specs. and delivery to lots
2 and 3 contractors according to Scenario 1</v>
      </c>
      <c r="AE25" s="20" t="s">
        <v>125</v>
      </c>
      <c r="AF25" s="20" t="str">
        <f>_xlfn.XLOOKUP(Table4[[#This Row],[FromSite-UPS]],sites!D:D,sites!AB:AB,"",0)&amp;_xlfn.XLOOKUP(Table4[[#This Row],[ToLab]],labs!D:D,labs!Q:Q,"",0)</f>
        <v>EUEU</v>
      </c>
    </row>
    <row r="26" spans="2:32" ht="15.6" hidden="1" customHeight="1" x14ac:dyDescent="0.25">
      <c r="B26" s="13">
        <v>162</v>
      </c>
      <c r="C26" s="14" t="s">
        <v>53</v>
      </c>
      <c r="D26" s="13">
        <v>1</v>
      </c>
      <c r="E26" s="34">
        <v>45825</v>
      </c>
      <c r="F26" s="34">
        <v>45826</v>
      </c>
      <c r="G26" s="20">
        <f>IFERROR(WEEKNUM(Table4[[#This Row],[Confirmed Pick-up Date]]),"TBD")</f>
        <v>25</v>
      </c>
      <c r="H26" s="20" t="str">
        <f>IFERROR(TEXT(Table4[[#This Row],[Confirmed Pick-up Date]],"yy-mm"),"TBD")</f>
        <v>25-06</v>
      </c>
      <c r="I26" s="13" t="s">
        <v>877</v>
      </c>
      <c r="J26" s="20" t="str">
        <f>IFERROR(VLOOKUP(Table4[[#This Row],[FromSite-UPS]],Table1[[#All],[Company or Name]:[FromSite3]],15,FALSE),"")</f>
        <v>Prague National Institute</v>
      </c>
      <c r="K26" s="20" t="str">
        <f>IFERROR(VLOOKUP(Table4[[#This Row],[FromSite-UPS]],Table1[[#All],[Company or Name]:[FromSite3]],16,FALSE),"")</f>
        <v>Prague WWTP FLOW 1</v>
      </c>
      <c r="L26" s="20">
        <f>IFERROR(VLOOKUP(Table4[[#This Row],[FromSite-UPS]],Table1[[#All],[Company or Name]:[FromSite3]],14,FALSE),"")</f>
        <v>0</v>
      </c>
      <c r="M26" s="13" t="s">
        <v>42</v>
      </c>
      <c r="N26" s="20" t="s">
        <v>693</v>
      </c>
      <c r="O26" s="13" t="s">
        <v>733</v>
      </c>
      <c r="P26" s="13"/>
      <c r="Q26" s="20" t="s">
        <v>740</v>
      </c>
      <c r="R26" s="20" t="s">
        <v>745</v>
      </c>
      <c r="S26" s="20" t="s">
        <v>125</v>
      </c>
      <c r="T26" s="20" t="s">
        <v>856</v>
      </c>
      <c r="U26" s="20"/>
      <c r="V26" s="20"/>
      <c r="W26" s="20" t="str">
        <f>TEXT(Table4[[#This Row],[Confirmed Sampling Date]], "yyyy") &amp; "_" &amp; TEXT(Table4[[#This Row],[Confirmed Sampling Date]], "mm") &amp; "_" &amp; TEXT(Table4[[#This Row],[Confirmed Sampling Date]], "dd")</f>
        <v>2025_06_17</v>
      </c>
      <c r="X26" s="20" t="str">
        <f t="shared" si="0"/>
        <v>Prague</v>
      </c>
      <c r="Y26" s="20" t="str">
        <f>VLOOKUP(Table4[[#This Row],[FromSite-UPS]],Table1[[Company or Name]:[NOTES]],2,FALSE)</f>
        <v>Czech Republic</v>
      </c>
      <c r="Z26" s="20">
        <f>IFERROR(WEEKNUM(Table4[[#This Row],[Confirmed Sampling Date]] - 10, 21), "TBD")</f>
        <v>23</v>
      </c>
      <c r="AA26" s="20" t="str">
        <f>_xlfn.XLOOKUP(Table4[[#This Row],[FromSite-UPS]],sites!D:D,sites!W:W,"",0)</f>
        <v>Šrobárova 49/48, Státní zdravotní ústav, Praha, 100 00, Czech Republic</v>
      </c>
      <c r="AB26" s="20" t="str">
        <f>_xlfn.XLOOKUP(Table4[[#This Row],[ToLab]],labs!D:D,labs!P:P,"no adres",0)</f>
        <v>Via E. Fermi 2749, T.P. 120, Directorate D Sustainable Resources, Ispra, 21027, Italy</v>
      </c>
      <c r="AC26" s="20">
        <f>_xlfn.XLOOKUP(Table4[[#This Row],[combi]],AREA!E:E,AREA!F:F,"",0)</f>
        <v>89</v>
      </c>
      <c r="AD26" s="20" t="str">
        <f>_xlfn.XLOOKUP(Table4[[#This Row],[combi]],AREA!E:E,AREA!G:G,"",0)</f>
        <v>Pick-up service of hypothetic package as defined in the Tech. Specs. and delivery to lots
2 and 3 contractors according to Scenario 1</v>
      </c>
      <c r="AE26" s="20" t="s">
        <v>125</v>
      </c>
      <c r="AF26" s="20" t="str">
        <f>_xlfn.XLOOKUP(Table4[[#This Row],[FromSite-UPS]],sites!D:D,sites!AB:AB,"",0)&amp;_xlfn.XLOOKUP(Table4[[#This Row],[ToLab]],labs!D:D,labs!Q:Q,"",0)</f>
        <v>EUEU</v>
      </c>
    </row>
    <row r="27" spans="2:32" ht="15.6" hidden="1" customHeight="1" x14ac:dyDescent="0.25">
      <c r="B27" s="13">
        <v>163</v>
      </c>
      <c r="C27" s="14" t="s">
        <v>53</v>
      </c>
      <c r="D27" s="13">
        <v>1</v>
      </c>
      <c r="E27" s="34">
        <v>45825</v>
      </c>
      <c r="F27" s="34">
        <v>45826</v>
      </c>
      <c r="G27" s="20">
        <f>IFERROR(WEEKNUM(Table4[[#This Row],[Confirmed Pick-up Date]]),"TBD")</f>
        <v>25</v>
      </c>
      <c r="H27" s="20" t="str">
        <f>IFERROR(TEXT(Table4[[#This Row],[Confirmed Pick-up Date]],"yy-mm"),"TBD")</f>
        <v>25-06</v>
      </c>
      <c r="I27" s="13" t="s">
        <v>877</v>
      </c>
      <c r="J27" s="20" t="str">
        <f>IFERROR(VLOOKUP(Table4[[#This Row],[FromSite-UPS]],Table1[[#All],[Company or Name]:[FromSite3]],15,FALSE),"")</f>
        <v>Prague National Institute</v>
      </c>
      <c r="K27" s="20" t="str">
        <f>IFERROR(VLOOKUP(Table4[[#This Row],[FromSite-UPS]],Table1[[#All],[Company or Name]:[FromSite3]],16,FALSE),"")</f>
        <v>Prague WWTP FLOW 1</v>
      </c>
      <c r="L27" s="20">
        <f>IFERROR(VLOOKUP(Table4[[#This Row],[FromSite-UPS]],Table1[[#All],[Company or Name]:[FromSite3]],14,FALSE),"")</f>
        <v>0</v>
      </c>
      <c r="M27" s="13" t="s">
        <v>42</v>
      </c>
      <c r="N27" s="20" t="s">
        <v>693</v>
      </c>
      <c r="O27" s="13" t="s">
        <v>734</v>
      </c>
      <c r="P27" s="13"/>
      <c r="Q27" s="20" t="s">
        <v>740</v>
      </c>
      <c r="R27" s="20" t="s">
        <v>746</v>
      </c>
      <c r="S27" s="20" t="s">
        <v>125</v>
      </c>
      <c r="T27" s="20" t="s">
        <v>856</v>
      </c>
      <c r="U27" s="20"/>
      <c r="V27" s="20"/>
      <c r="W27" s="20" t="str">
        <f>TEXT(Table4[[#This Row],[Confirmed Sampling Date]], "yyyy") &amp; "_" &amp; TEXT(Table4[[#This Row],[Confirmed Sampling Date]], "mm") &amp; "_" &amp; TEXT(Table4[[#This Row],[Confirmed Sampling Date]], "dd")</f>
        <v>2025_06_17</v>
      </c>
      <c r="X27" s="20" t="str">
        <f t="shared" si="0"/>
        <v>Prague</v>
      </c>
      <c r="Y27" s="20" t="str">
        <f>VLOOKUP(Table4[[#This Row],[FromSite-UPS]],Table1[[Company or Name]:[NOTES]],2,FALSE)</f>
        <v>Czech Republic</v>
      </c>
      <c r="Z27" s="20">
        <f>IFERROR(WEEKNUM(Table4[[#This Row],[Confirmed Sampling Date]] - 10, 21), "TBD")</f>
        <v>23</v>
      </c>
      <c r="AA27" s="20" t="str">
        <f>_xlfn.XLOOKUP(Table4[[#This Row],[FromSite-UPS]],sites!D:D,sites!W:W,"",0)</f>
        <v>Šrobárova 49/48, Státní zdravotní ústav, Praha, 100 00, Czech Republic</v>
      </c>
      <c r="AB27" s="20" t="str">
        <f>_xlfn.XLOOKUP(Table4[[#This Row],[ToLab]],labs!D:D,labs!P:P,"no adres",0)</f>
        <v>Via E. Fermi 2749, T.P. 120, Directorate D Sustainable Resources, Ispra, 21027, Italy</v>
      </c>
      <c r="AC27" s="20">
        <f>_xlfn.XLOOKUP(Table4[[#This Row],[combi]],AREA!E:E,AREA!F:F,"",0)</f>
        <v>89</v>
      </c>
      <c r="AD27" s="20" t="str">
        <f>_xlfn.XLOOKUP(Table4[[#This Row],[combi]],AREA!E:E,AREA!G:G,"",0)</f>
        <v>Pick-up service of hypothetic package as defined in the Tech. Specs. and delivery to lots
2 and 3 contractors according to Scenario 1</v>
      </c>
      <c r="AE27" s="20" t="s">
        <v>125</v>
      </c>
      <c r="AF27" s="20" t="str">
        <f>_xlfn.XLOOKUP(Table4[[#This Row],[FromSite-UPS]],sites!D:D,sites!AB:AB,"",0)&amp;_xlfn.XLOOKUP(Table4[[#This Row],[ToLab]],labs!D:D,labs!Q:Q,"",0)</f>
        <v>EUEU</v>
      </c>
    </row>
    <row r="28" spans="2:32" ht="15.6" hidden="1" customHeight="1" x14ac:dyDescent="0.25">
      <c r="B28" s="13">
        <v>164</v>
      </c>
      <c r="C28" s="14" t="s">
        <v>53</v>
      </c>
      <c r="D28" s="13">
        <v>1</v>
      </c>
      <c r="E28" s="34">
        <v>45825</v>
      </c>
      <c r="F28" s="34">
        <v>45826</v>
      </c>
      <c r="G28" s="20">
        <f>IFERROR(WEEKNUM(Table4[[#This Row],[Confirmed Pick-up Date]]),"TBD")</f>
        <v>25</v>
      </c>
      <c r="H28" s="20" t="str">
        <f>IFERROR(TEXT(Table4[[#This Row],[Confirmed Pick-up Date]],"yy-mm"),"TBD")</f>
        <v>25-06</v>
      </c>
      <c r="I28" s="13" t="s">
        <v>877</v>
      </c>
      <c r="J28" s="20" t="str">
        <f>IFERROR(VLOOKUP(Table4[[#This Row],[FromSite-UPS]],Table1[[#All],[Company or Name]:[FromSite3]],15,FALSE),"")</f>
        <v>Prague National Institute</v>
      </c>
      <c r="K28" s="20" t="str">
        <f>IFERROR(VLOOKUP(Table4[[#This Row],[FromSite-UPS]],Table1[[#All],[Company or Name]:[FromSite3]],16,FALSE),"")</f>
        <v>Prague WWTP FLOW 1</v>
      </c>
      <c r="L28" s="20">
        <f>IFERROR(VLOOKUP(Table4[[#This Row],[FromSite-UPS]],Table1[[#All],[Company or Name]:[FromSite3]],14,FALSE),"")</f>
        <v>0</v>
      </c>
      <c r="M28" s="13" t="s">
        <v>42</v>
      </c>
      <c r="N28" s="20" t="s">
        <v>693</v>
      </c>
      <c r="O28" s="13" t="s">
        <v>735</v>
      </c>
      <c r="P28" s="13"/>
      <c r="Q28" s="20" t="s">
        <v>740</v>
      </c>
      <c r="R28" s="20" t="s">
        <v>747</v>
      </c>
      <c r="S28" s="20" t="s">
        <v>125</v>
      </c>
      <c r="T28" s="20" t="s">
        <v>856</v>
      </c>
      <c r="U28" s="20"/>
      <c r="V28" s="20"/>
      <c r="W28" s="20" t="str">
        <f>TEXT(Table4[[#This Row],[Confirmed Sampling Date]], "yyyy") &amp; "_" &amp; TEXT(Table4[[#This Row],[Confirmed Sampling Date]], "mm") &amp; "_" &amp; TEXT(Table4[[#This Row],[Confirmed Sampling Date]], "dd")</f>
        <v>2025_06_17</v>
      </c>
      <c r="X28" s="20" t="str">
        <f t="shared" si="0"/>
        <v>Prague</v>
      </c>
      <c r="Y28" s="20" t="str">
        <f>VLOOKUP(Table4[[#This Row],[FromSite-UPS]],Table1[[Company or Name]:[NOTES]],2,FALSE)</f>
        <v>Czech Republic</v>
      </c>
      <c r="Z28" s="20">
        <f>IFERROR(WEEKNUM(Table4[[#This Row],[Confirmed Sampling Date]] - 10, 21), "TBD")</f>
        <v>23</v>
      </c>
      <c r="AA28" s="20" t="str">
        <f>_xlfn.XLOOKUP(Table4[[#This Row],[FromSite-UPS]],sites!D:D,sites!W:W,"",0)</f>
        <v>Šrobárova 49/48, Státní zdravotní ústav, Praha, 100 00, Czech Republic</v>
      </c>
      <c r="AB28" s="20" t="str">
        <f>_xlfn.XLOOKUP(Table4[[#This Row],[ToLab]],labs!D:D,labs!P:P,"no adres",0)</f>
        <v>Via E. Fermi 2749, T.P. 120, Directorate D Sustainable Resources, Ispra, 21027, Italy</v>
      </c>
      <c r="AC28" s="20">
        <f>_xlfn.XLOOKUP(Table4[[#This Row],[combi]],AREA!E:E,AREA!F:F,"",0)</f>
        <v>89</v>
      </c>
      <c r="AD28" s="20" t="str">
        <f>_xlfn.XLOOKUP(Table4[[#This Row],[combi]],AREA!E:E,AREA!G:G,"",0)</f>
        <v>Pick-up service of hypothetic package as defined in the Tech. Specs. and delivery to lots
2 and 3 contractors according to Scenario 1</v>
      </c>
      <c r="AE28" s="20" t="s">
        <v>125</v>
      </c>
      <c r="AF28" s="20" t="str">
        <f>_xlfn.XLOOKUP(Table4[[#This Row],[FromSite-UPS]],sites!D:D,sites!AB:AB,"",0)&amp;_xlfn.XLOOKUP(Table4[[#This Row],[ToLab]],labs!D:D,labs!Q:Q,"",0)</f>
        <v>EUEU</v>
      </c>
    </row>
    <row r="29" spans="2:32" ht="15.6" hidden="1" customHeight="1" x14ac:dyDescent="0.25">
      <c r="B29" s="13">
        <v>213</v>
      </c>
      <c r="C29" s="14" t="s">
        <v>53</v>
      </c>
      <c r="D29" s="13">
        <v>1</v>
      </c>
      <c r="E29" s="34">
        <v>45825</v>
      </c>
      <c r="F29" s="34">
        <v>45826</v>
      </c>
      <c r="G29" s="20">
        <f>IFERROR(WEEKNUM(Table4[[#This Row],[Confirmed Pick-up Date]]),"TBD")</f>
        <v>25</v>
      </c>
      <c r="H29" s="20" t="str">
        <f>IFERROR(TEXT(Table4[[#This Row],[Confirmed Pick-up Date]],"yy-mm"),"TBD")</f>
        <v>25-06</v>
      </c>
      <c r="I29" s="13" t="s">
        <v>779</v>
      </c>
      <c r="J29" s="20" t="str">
        <f>IFERROR(VLOOKUP(Table4[[#This Row],[FromSite-UPS]],Table1[[#All],[Company or Name]:[FromSite3]],15,FALSE),"")</f>
        <v>Larnaca WWTP</v>
      </c>
      <c r="K29" s="20" t="str">
        <f>IFERROR(VLOOKUP(Table4[[#This Row],[FromSite-UPS]],Table1[[#All],[Company or Name]:[FromSite3]],16,FALSE),"")</f>
        <v>Larnaca Airport</v>
      </c>
      <c r="L29" s="20">
        <f>IFERROR(VLOOKUP(Table4[[#This Row],[FromSite-UPS]],Table1[[#All],[Company or Name]:[FromSite3]],14,FALSE),"")</f>
        <v>0.54166666666666663</v>
      </c>
      <c r="M29" s="13" t="s">
        <v>42</v>
      </c>
      <c r="N29" s="20" t="s">
        <v>134</v>
      </c>
      <c r="O29" s="13" t="s">
        <v>761</v>
      </c>
      <c r="P29" s="13"/>
      <c r="Q29" s="20" t="s">
        <v>811</v>
      </c>
      <c r="R29" s="20"/>
      <c r="S29" s="20" t="s">
        <v>125</v>
      </c>
      <c r="T29" s="20" t="s">
        <v>856</v>
      </c>
      <c r="U29" s="20"/>
      <c r="V29" s="20"/>
      <c r="W29" s="20" t="str">
        <f>TEXT(Table4[[#This Row],[Confirmed Sampling Date]], "yyyy") &amp; "_" &amp; TEXT(Table4[[#This Row],[Confirmed Sampling Date]], "mm") &amp; "_" &amp; TEXT(Table4[[#This Row],[Confirmed Sampling Date]], "dd")</f>
        <v>2025_06_17</v>
      </c>
      <c r="X29" s="20" t="str">
        <f t="shared" si="0"/>
        <v>Larnaca</v>
      </c>
      <c r="Y29" s="20" t="str">
        <f>VLOOKUP(Table4[[#This Row],[FromSite-UPS]],Table1[[Company or Name]:[NOTES]],2,FALSE)</f>
        <v>Cyprus</v>
      </c>
      <c r="Z29" s="20">
        <f>IFERROR(WEEKNUM(Table4[[#This Row],[Confirmed Sampling Date]] - 10, 21), "TBD")</f>
        <v>23</v>
      </c>
      <c r="AA29" s="20" t="str">
        <f>_xlfn.XLOOKUP(Table4[[#This Row],[FromSite-UPS]],sites!D:D,sites!W:W,"",0)</f>
        <v>Adamantiou Korai street 12, Larnaca District Local Government Organization offices, Larnaca, 6010, Cyprus</v>
      </c>
      <c r="AB29" s="20" t="str">
        <f>_xlfn.XLOOKUP(Table4[[#This Row],[ToLab]],labs!D:D,labs!P:P,"no adres",0)</f>
        <v>Via E. Fermi 2749, T.P. 120, Directorate D Sustainable Resources, Ispra, 21027, Italy</v>
      </c>
      <c r="AC29" s="20">
        <f>_xlfn.XLOOKUP(Table4[[#This Row],[combi]],AREA!E:E,AREA!F:F,"",0)</f>
        <v>89</v>
      </c>
      <c r="AD29" s="20" t="str">
        <f>_xlfn.XLOOKUP(Table4[[#This Row],[combi]],AREA!E:E,AREA!G:G,"",0)</f>
        <v>Pick-up service of hypothetic package as defined in the Tech. Specs. and delivery to lots
2 and 3 contractors according to Scenario 1</v>
      </c>
      <c r="AE29" s="20" t="s">
        <v>125</v>
      </c>
      <c r="AF29" s="20" t="str">
        <f>_xlfn.XLOOKUP(Table4[[#This Row],[FromSite-UPS]],sites!D:D,sites!AB:AB,"",0)&amp;_xlfn.XLOOKUP(Table4[[#This Row],[ToLab]],labs!D:D,labs!Q:Q,"",0)</f>
        <v>EUEU</v>
      </c>
    </row>
    <row r="30" spans="2:32" ht="15.6" hidden="1" customHeight="1" x14ac:dyDescent="0.25">
      <c r="B30" s="13">
        <v>226</v>
      </c>
      <c r="C30" s="14" t="s">
        <v>53</v>
      </c>
      <c r="D30" s="13">
        <v>1</v>
      </c>
      <c r="E30" s="34">
        <v>45825</v>
      </c>
      <c r="F30" s="34">
        <v>45826</v>
      </c>
      <c r="G30" s="20">
        <f>IFERROR(WEEKNUM(Table4[[#This Row],[Confirmed Pick-up Date]]),"TBD")</f>
        <v>25</v>
      </c>
      <c r="H30" s="20" t="str">
        <f>IFERROR(TEXT(Table4[[#This Row],[Confirmed Pick-up Date]],"yy-mm"),"TBD")</f>
        <v>25-06</v>
      </c>
      <c r="I30" s="13" t="s">
        <v>779</v>
      </c>
      <c r="J30" s="20" t="str">
        <f>IFERROR(VLOOKUP(Table4[[#This Row],[FromSite-UPS]],Table1[[#All],[Company or Name]:[FromSite3]],15,FALSE),"")</f>
        <v>Larnaca WWTP</v>
      </c>
      <c r="K30" s="20" t="str">
        <f>IFERROR(VLOOKUP(Table4[[#This Row],[FromSite-UPS]],Table1[[#All],[Company or Name]:[FromSite3]],16,FALSE),"")</f>
        <v>Larnaca Airport</v>
      </c>
      <c r="L30" s="20">
        <f>IFERROR(VLOOKUP(Table4[[#This Row],[FromSite-UPS]],Table1[[#All],[Company or Name]:[FromSite3]],14,FALSE),"")</f>
        <v>0.54166666666666663</v>
      </c>
      <c r="M30" s="13" t="s">
        <v>42</v>
      </c>
      <c r="N30" s="20" t="s">
        <v>134</v>
      </c>
      <c r="O30" s="13" t="s">
        <v>762</v>
      </c>
      <c r="P30" s="13"/>
      <c r="Q30" s="20" t="s">
        <v>811</v>
      </c>
      <c r="R30" s="20"/>
      <c r="S30" s="20" t="s">
        <v>125</v>
      </c>
      <c r="T30" s="20" t="s">
        <v>856</v>
      </c>
      <c r="U30" s="20"/>
      <c r="V30" s="20"/>
      <c r="W30" s="20" t="str">
        <f>TEXT(Table4[[#This Row],[Confirmed Sampling Date]], "yyyy") &amp; "_" &amp; TEXT(Table4[[#This Row],[Confirmed Sampling Date]], "mm") &amp; "_" &amp; TEXT(Table4[[#This Row],[Confirmed Sampling Date]], "dd")</f>
        <v>2025_06_17</v>
      </c>
      <c r="X30" s="20" t="str">
        <f t="shared" si="0"/>
        <v>Larnaca</v>
      </c>
      <c r="Y30" s="20" t="str">
        <f>VLOOKUP(Table4[[#This Row],[FromSite-UPS]],Table1[[Company or Name]:[NOTES]],2,FALSE)</f>
        <v>Cyprus</v>
      </c>
      <c r="Z30" s="20">
        <f>IFERROR(WEEKNUM(Table4[[#This Row],[Confirmed Sampling Date]] - 10, 21), "TBD")</f>
        <v>23</v>
      </c>
      <c r="AA30" s="20" t="str">
        <f>_xlfn.XLOOKUP(Table4[[#This Row],[FromSite-UPS]],sites!D:D,sites!W:W,"",0)</f>
        <v>Adamantiou Korai street 12, Larnaca District Local Government Organization offices, Larnaca, 6010, Cyprus</v>
      </c>
      <c r="AB30" s="20" t="str">
        <f>_xlfn.XLOOKUP(Table4[[#This Row],[ToLab]],labs!D:D,labs!P:P,"no adres",0)</f>
        <v>Via E. Fermi 2749, T.P. 120, Directorate D Sustainable Resources, Ispra, 21027, Italy</v>
      </c>
      <c r="AC30" s="20">
        <f>_xlfn.XLOOKUP(Table4[[#This Row],[combi]],AREA!E:E,AREA!F:F,"",0)</f>
        <v>89</v>
      </c>
      <c r="AD30" s="20" t="str">
        <f>_xlfn.XLOOKUP(Table4[[#This Row],[combi]],AREA!E:E,AREA!G:G,"",0)</f>
        <v>Pick-up service of hypothetic package as defined in the Tech. Specs. and delivery to lots
2 and 3 contractors according to Scenario 1</v>
      </c>
      <c r="AE30" s="20" t="s">
        <v>125</v>
      </c>
      <c r="AF30" s="20" t="str">
        <f>_xlfn.XLOOKUP(Table4[[#This Row],[FromSite-UPS]],sites!D:D,sites!AB:AB,"",0)&amp;_xlfn.XLOOKUP(Table4[[#This Row],[ToLab]],labs!D:D,labs!Q:Q,"",0)</f>
        <v>EUEU</v>
      </c>
    </row>
    <row r="31" spans="2:32" ht="15.6" hidden="1" customHeight="1" x14ac:dyDescent="0.25">
      <c r="B31" s="13">
        <v>63</v>
      </c>
      <c r="C31" s="14" t="s">
        <v>53</v>
      </c>
      <c r="D31" s="13">
        <v>1</v>
      </c>
      <c r="E31" s="34">
        <v>45827</v>
      </c>
      <c r="F31" s="34">
        <v>45828</v>
      </c>
      <c r="G31" s="20">
        <f>IFERROR(WEEKNUM(Table4[[#This Row],[Confirmed Pick-up Date]]),"TBD")</f>
        <v>25</v>
      </c>
      <c r="H31" s="20" t="str">
        <f>IFERROR(TEXT(Table4[[#This Row],[Confirmed Pick-up Date]],"yy-mm"),"TBD")</f>
        <v>25-06</v>
      </c>
      <c r="I31" s="13" t="s">
        <v>637</v>
      </c>
      <c r="J31" s="20" t="str">
        <f>IFERROR(VLOOKUP(Table4[[#This Row],[FromSite-UPS]],Table1[[#All],[Company or Name]:[FromSite3]],15,FALSE),"")</f>
        <v>Luxembourg (Beggen) WWTP</v>
      </c>
      <c r="K31" s="20" t="str">
        <f>IFERROR(VLOOKUP(Table4[[#This Row],[FromSite-UPS]],Table1[[#All],[Company or Name]:[FromSite3]],16,FALSE),"")</f>
        <v>Luxembourg Airport</v>
      </c>
      <c r="L31" s="20">
        <f>IFERROR(VLOOKUP(Table4[[#This Row],[FromSite-UPS]],Table1[[#All],[Company or Name]:[FromSite3]],14,FALSE),"")</f>
        <v>0.66666666666666663</v>
      </c>
      <c r="M31" s="13" t="s">
        <v>42</v>
      </c>
      <c r="N31" s="20" t="s">
        <v>134</v>
      </c>
      <c r="O31" s="13" t="s">
        <v>757</v>
      </c>
      <c r="P31" s="13"/>
      <c r="Q31" s="20" t="s">
        <v>759</v>
      </c>
      <c r="R31" s="20"/>
      <c r="S31" s="20" t="s">
        <v>125</v>
      </c>
      <c r="T31" s="20" t="s">
        <v>856</v>
      </c>
      <c r="U31" s="20"/>
      <c r="V31" s="20"/>
      <c r="W31" s="20" t="str">
        <f>TEXT(Table4[[#This Row],[Confirmed Sampling Date]], "yyyy") &amp; "_" &amp; TEXT(Table4[[#This Row],[Confirmed Sampling Date]], "mm") &amp; "_" &amp; TEXT(Table4[[#This Row],[Confirmed Sampling Date]], "dd")</f>
        <v>2025_06_19</v>
      </c>
      <c r="X31" s="20" t="str">
        <f t="shared" si="0"/>
        <v>Luxembourg</v>
      </c>
      <c r="Y31" s="20" t="str">
        <f>VLOOKUP(Table4[[#This Row],[FromSite-UPS]],Table1[[Company or Name]:[NOTES]],2,FALSE)</f>
        <v>Luxembourg</v>
      </c>
      <c r="Z31" s="20">
        <f>IFERROR(WEEKNUM(Table4[[#This Row],[Confirmed Sampling Date]] - 10, 21), "TBD")</f>
        <v>24</v>
      </c>
      <c r="AA31" s="20" t="str">
        <f>_xlfn.XLOOKUP(Table4[[#This Row],[FromSite-UPS]],sites!D:D,sites!W:W,"",0)</f>
        <v>41 rue du Brill, Luxembourg, L-4422 , Luxembourg</v>
      </c>
      <c r="AB31" s="20" t="str">
        <f>_xlfn.XLOOKUP(Table4[[#This Row],[ToLab]],labs!D:D,labs!P:P,"no adres",0)</f>
        <v>Via E. Fermi 2749, T.P. 120, Directorate D Sustainable Resources, Ispra, 21027, Italy</v>
      </c>
      <c r="AC31" s="20">
        <f>_xlfn.XLOOKUP(Table4[[#This Row],[combi]],AREA!E:E,AREA!F:F,"",0)</f>
        <v>89</v>
      </c>
      <c r="AD31" s="20" t="str">
        <f>_xlfn.XLOOKUP(Table4[[#This Row],[combi]],AREA!E:E,AREA!G:G,"",0)</f>
        <v>Pick-up service of hypothetic package as defined in the Tech. Specs. and delivery to lots
2 and 3 contractors according to Scenario 1</v>
      </c>
      <c r="AE31" s="20" t="s">
        <v>125</v>
      </c>
      <c r="AF31" s="20" t="str">
        <f>_xlfn.XLOOKUP(Table4[[#This Row],[FromSite-UPS]],sites!D:D,sites!AB:AB,"",0)&amp;_xlfn.XLOOKUP(Table4[[#This Row],[ToLab]],labs!D:D,labs!Q:Q,"",0)</f>
        <v>EUEU</v>
      </c>
    </row>
    <row r="32" spans="2:32" ht="15.6" hidden="1" customHeight="1" x14ac:dyDescent="0.25">
      <c r="B32" s="13">
        <v>126</v>
      </c>
      <c r="C32" s="14" t="s">
        <v>53</v>
      </c>
      <c r="D32" s="13">
        <v>1</v>
      </c>
      <c r="E32" s="83">
        <v>45827</v>
      </c>
      <c r="F32" s="83">
        <v>45828</v>
      </c>
      <c r="G32" s="20">
        <f>IFERROR(WEEKNUM(Table4[[#This Row],[Confirmed Pick-up Date]]),"TBD")</f>
        <v>25</v>
      </c>
      <c r="H32" s="20" t="str">
        <f>IFERROR(TEXT(Table4[[#This Row],[Confirmed Pick-up Date]],"yy-mm"),"TBD")</f>
        <v>25-06</v>
      </c>
      <c r="I32" s="13" t="s">
        <v>637</v>
      </c>
      <c r="J32" s="20" t="str">
        <f>IFERROR(VLOOKUP(Table4[[#This Row],[FromSite-UPS]],Table1[[#All],[Company or Name]:[FromSite3]],15,FALSE),"")</f>
        <v>Luxembourg (Beggen) WWTP</v>
      </c>
      <c r="K32" s="20" t="str">
        <f>IFERROR(VLOOKUP(Table4[[#This Row],[FromSite-UPS]],Table1[[#All],[Company or Name]:[FromSite3]],16,FALSE),"")</f>
        <v>Luxembourg Airport</v>
      </c>
      <c r="L32" s="20">
        <f>IFERROR(VLOOKUP(Table4[[#This Row],[FromSite-UPS]],Table1[[#All],[Company or Name]:[FromSite3]],14,FALSE),"")</f>
        <v>0.66666666666666663</v>
      </c>
      <c r="M32" s="13" t="s">
        <v>42</v>
      </c>
      <c r="N32" s="20" t="s">
        <v>134</v>
      </c>
      <c r="O32" s="13" t="s">
        <v>758</v>
      </c>
      <c r="P32" s="13"/>
      <c r="Q32" s="20" t="s">
        <v>759</v>
      </c>
      <c r="R32" s="20"/>
      <c r="S32" s="20" t="s">
        <v>125</v>
      </c>
      <c r="T32" s="20" t="s">
        <v>856</v>
      </c>
      <c r="U32" s="20"/>
      <c r="V32" s="20"/>
      <c r="W32" s="20" t="str">
        <f>TEXT(Table4[[#This Row],[Confirmed Sampling Date]], "yyyy") &amp; "_" &amp; TEXT(Table4[[#This Row],[Confirmed Sampling Date]], "mm") &amp; "_" &amp; TEXT(Table4[[#This Row],[Confirmed Sampling Date]], "dd")</f>
        <v>2025_06_19</v>
      </c>
      <c r="X32" s="20" t="str">
        <f t="shared" si="0"/>
        <v>Luxembourg</v>
      </c>
      <c r="Y32" s="20" t="str">
        <f>VLOOKUP(Table4[[#This Row],[FromSite-UPS]],Table1[[Company or Name]:[NOTES]],2,FALSE)</f>
        <v>Luxembourg</v>
      </c>
      <c r="Z32" s="20">
        <f>IFERROR(WEEKNUM(Table4[[#This Row],[Confirmed Sampling Date]] - 10, 21), "TBD")</f>
        <v>24</v>
      </c>
      <c r="AA32" s="20" t="str">
        <f>_xlfn.XLOOKUP(Table4[[#This Row],[FromSite-UPS]],sites!D:D,sites!W:W,"",0)</f>
        <v>41 rue du Brill, Luxembourg, L-4422 , Luxembourg</v>
      </c>
      <c r="AB32" s="20" t="str">
        <f>_xlfn.XLOOKUP(Table4[[#This Row],[ToLab]],labs!D:D,labs!P:P,"no adres",0)</f>
        <v>Via E. Fermi 2749, T.P. 120, Directorate D Sustainable Resources, Ispra, 21027, Italy</v>
      </c>
      <c r="AC32" s="20">
        <f>_xlfn.XLOOKUP(Table4[[#This Row],[combi]],AREA!E:E,AREA!F:F,"",0)</f>
        <v>89</v>
      </c>
      <c r="AD32" s="20" t="str">
        <f>_xlfn.XLOOKUP(Table4[[#This Row],[combi]],AREA!E:E,AREA!G:G,"",0)</f>
        <v>Pick-up service of hypothetic package as defined in the Tech. Specs. and delivery to lots
2 and 3 contractors according to Scenario 1</v>
      </c>
      <c r="AE32" s="20" t="s">
        <v>125</v>
      </c>
      <c r="AF32" s="20" t="str">
        <f>_xlfn.XLOOKUP(Table4[[#This Row],[FromSite-UPS]],sites!D:D,sites!AB:AB,"",0)&amp;_xlfn.XLOOKUP(Table4[[#This Row],[ToLab]],labs!D:D,labs!Q:Q,"",0)</f>
        <v>EUEU</v>
      </c>
    </row>
    <row r="33" spans="2:32" ht="15.6" hidden="1" customHeight="1" x14ac:dyDescent="0.25">
      <c r="B33" s="13">
        <v>9</v>
      </c>
      <c r="C33" s="14" t="s">
        <v>53</v>
      </c>
      <c r="D33" s="13">
        <v>1</v>
      </c>
      <c r="E33" s="83">
        <v>45837</v>
      </c>
      <c r="F33" s="83">
        <v>45838</v>
      </c>
      <c r="G33" s="13">
        <f>IFERROR(WEEKNUM(Table4[[#This Row],[Confirmed Pick-up Date]]),"TBD")</f>
        <v>27</v>
      </c>
      <c r="H33" s="13" t="str">
        <f>IFERROR(TEXT(Table4[[#This Row],[Confirmed Pick-up Date]],"yy-mm"),"TBD")</f>
        <v>25-06</v>
      </c>
      <c r="I33" s="13" t="s">
        <v>13</v>
      </c>
      <c r="J33" s="13" t="str">
        <f>IFERROR(VLOOKUP(Table4[[#This Row],[FromSite-UPS]],Table1[[#All],[Company or Name]:[FromSite3]],15,FALSE),"")</f>
        <v>Berlin (Schoenefeld) WWTP</v>
      </c>
      <c r="K33" s="13" t="str">
        <f>IFERROR(VLOOKUP(Table4[[#This Row],[FromSite-UPS]],Table1[[#All],[Company or Name]:[FromSite3]],16,FALSE),"")</f>
        <v>Berlin Airport</v>
      </c>
      <c r="L33" s="13">
        <f>IFERROR(VLOOKUP(Table4[[#This Row],[FromSite-UPS]],Table1[[#All],[Company or Name]:[FromSite3]],14,FALSE),"")</f>
        <v>0.58333333333333337</v>
      </c>
      <c r="M33" s="3" t="s">
        <v>42</v>
      </c>
      <c r="N33" s="13" t="s">
        <v>134</v>
      </c>
      <c r="O33" s="13" t="s">
        <v>822</v>
      </c>
      <c r="P33" s="13" t="s">
        <v>134</v>
      </c>
      <c r="Q33" s="20" t="s">
        <v>824</v>
      </c>
      <c r="R33" s="108" t="s">
        <v>835</v>
      </c>
      <c r="S33" s="13" t="s">
        <v>125</v>
      </c>
      <c r="T33" s="13" t="s">
        <v>856</v>
      </c>
      <c r="U33" s="13"/>
      <c r="V33" s="20"/>
      <c r="W33" s="20" t="str">
        <f>TEXT(Table4[[#This Row],[Confirmed Sampling Date]], "yyyy") &amp; "_" &amp; TEXT(Table4[[#This Row],[Confirmed Sampling Date]], "mm") &amp; "_" &amp; TEXT(Table4[[#This Row],[Confirmed Sampling Date]], "dd")</f>
        <v>2025_06_29</v>
      </c>
      <c r="X33" s="20" t="str">
        <f t="shared" si="0"/>
        <v>Berlin</v>
      </c>
      <c r="Y33" s="20" t="str">
        <f>VLOOKUP(Table4[[#This Row],[FromSite-UPS]],Table1[[Company or Name]:[NOTES]],2,FALSE)</f>
        <v>Germany</v>
      </c>
      <c r="Z33" s="20">
        <f>IFERROR(WEEKNUM(Table4[[#This Row],[Confirmed Sampling Date]] - 10, 21), "TBD")</f>
        <v>25</v>
      </c>
      <c r="AA33" s="20" t="str">
        <f>_xlfn.XLOOKUP(Table4[[#This Row],[FromSite-UPS]],sites!D:D,sites!W:W,"",0)</f>
        <v>Strasse am Klarwerk 4, Klarwerk Wassmannsdorf, Schoenefeld, 12529, Germany</v>
      </c>
      <c r="AB33" s="20" t="str">
        <f>_xlfn.XLOOKUP(Table4[[#This Row],[ToLab]],labs!D:D,labs!P:P,"no adres",0)</f>
        <v>Via E. Fermi 2749, T.P. 120, Directorate D Sustainable Resources, Ispra, 21027, Italy</v>
      </c>
      <c r="AC33" s="20">
        <f>_xlfn.XLOOKUP(Table4[[#This Row],[combi]],AREA!E:E,AREA!F:F,"",0)</f>
        <v>89</v>
      </c>
      <c r="AD33" s="20" t="str">
        <f>_xlfn.XLOOKUP(Table4[[#This Row],[combi]],AREA!E:E,AREA!G:G,"",0)</f>
        <v>Pick-up service of hypothetic package as defined in the Tech. Specs. and delivery to lots
2 and 3 contractors according to Scenario 1</v>
      </c>
      <c r="AE33" s="20" t="s">
        <v>125</v>
      </c>
      <c r="AF33" s="20" t="str">
        <f>_xlfn.XLOOKUP(Table4[[#This Row],[FromSite-UPS]],sites!D:D,sites!AB:AB,"",0)&amp;_xlfn.XLOOKUP(Table4[[#This Row],[ToLab]],labs!D:D,labs!Q:Q,"",0)</f>
        <v>EUEU</v>
      </c>
    </row>
    <row r="34" spans="2:32" ht="15.6" hidden="1" customHeight="1" x14ac:dyDescent="0.25">
      <c r="B34" s="13">
        <v>72</v>
      </c>
      <c r="C34" s="14" t="s">
        <v>53</v>
      </c>
      <c r="D34" s="13">
        <v>1</v>
      </c>
      <c r="E34" s="83">
        <v>45837</v>
      </c>
      <c r="F34" s="83">
        <v>45838</v>
      </c>
      <c r="G34" s="20">
        <f>IFERROR(WEEKNUM(Table4[[#This Row],[Confirmed Pick-up Date]]),"TBD")</f>
        <v>27</v>
      </c>
      <c r="H34" s="20" t="str">
        <f>IFERROR(TEXT(Table4[[#This Row],[Confirmed Pick-up Date]],"yy-mm"),"TBD")</f>
        <v>25-06</v>
      </c>
      <c r="I34" s="13" t="s">
        <v>13</v>
      </c>
      <c r="J34" s="20" t="str">
        <f>IFERROR(VLOOKUP(Table4[[#This Row],[FromSite-UPS]],Table1[[#All],[Company or Name]:[FromSite3]],15,FALSE),"")</f>
        <v>Berlin (Schoenefeld) WWTP</v>
      </c>
      <c r="K34" s="20" t="str">
        <f>IFERROR(VLOOKUP(Table4[[#This Row],[FromSite-UPS]],Table1[[#All],[Company or Name]:[FromSite3]],16,FALSE),"")</f>
        <v>Berlin Airport</v>
      </c>
      <c r="L34" s="20">
        <f>IFERROR(VLOOKUP(Table4[[#This Row],[FromSite-UPS]],Table1[[#All],[Company or Name]:[FromSite3]],14,FALSE),"")</f>
        <v>0.58333333333333337</v>
      </c>
      <c r="M34" s="3" t="s">
        <v>42</v>
      </c>
      <c r="N34" s="13" t="s">
        <v>134</v>
      </c>
      <c r="O34" s="13" t="s">
        <v>823</v>
      </c>
      <c r="P34" s="13" t="s">
        <v>134</v>
      </c>
      <c r="Q34" s="20" t="s">
        <v>824</v>
      </c>
      <c r="R34" s="20" t="s">
        <v>925</v>
      </c>
      <c r="S34" s="13" t="s">
        <v>125</v>
      </c>
      <c r="T34" s="13" t="s">
        <v>856</v>
      </c>
      <c r="U34" s="13"/>
      <c r="V34" s="20"/>
      <c r="W34" s="20" t="str">
        <f>TEXT(Table4[[#This Row],[Confirmed Sampling Date]], "yyyy") &amp; "_" &amp; TEXT(Table4[[#This Row],[Confirmed Sampling Date]], "mm") &amp; "_" &amp; TEXT(Table4[[#This Row],[Confirmed Sampling Date]], "dd")</f>
        <v>2025_06_29</v>
      </c>
      <c r="X34" s="20" t="str">
        <f t="shared" si="0"/>
        <v>Berlin</v>
      </c>
      <c r="Y34" s="20" t="str">
        <f>VLOOKUP(Table4[[#This Row],[FromSite-UPS]],Table1[[Company or Name]:[NOTES]],2,FALSE)</f>
        <v>Germany</v>
      </c>
      <c r="Z34" s="20">
        <f>IFERROR(WEEKNUM(Table4[[#This Row],[Confirmed Sampling Date]] - 10, 21), "TBD")</f>
        <v>25</v>
      </c>
      <c r="AA34" s="20" t="str">
        <f>_xlfn.XLOOKUP(Table4[[#This Row],[FromSite-UPS]],sites!D:D,sites!W:W,"",0)</f>
        <v>Strasse am Klarwerk 4, Klarwerk Wassmannsdorf, Schoenefeld, 12529, Germany</v>
      </c>
      <c r="AB34" s="20" t="str">
        <f>_xlfn.XLOOKUP(Table4[[#This Row],[ToLab]],labs!D:D,labs!P:P,"no adres",0)</f>
        <v>Via E. Fermi 2749, T.P. 120, Directorate D Sustainable Resources, Ispra, 21027, Italy</v>
      </c>
      <c r="AC34" s="20">
        <f>_xlfn.XLOOKUP(Table4[[#This Row],[combi]],AREA!E:E,AREA!F:F,"",0)</f>
        <v>89</v>
      </c>
      <c r="AD34" s="20" t="str">
        <f>_xlfn.XLOOKUP(Table4[[#This Row],[combi]],AREA!E:E,AREA!G:G,"",0)</f>
        <v>Pick-up service of hypothetic package as defined in the Tech. Specs. and delivery to lots
2 and 3 contractors according to Scenario 1</v>
      </c>
      <c r="AE34" s="20" t="s">
        <v>125</v>
      </c>
      <c r="AF34" s="20" t="str">
        <f>_xlfn.XLOOKUP(Table4[[#This Row],[FromSite-UPS]],sites!D:D,sites!AB:AB,"",0)&amp;_xlfn.XLOOKUP(Table4[[#This Row],[ToLab]],labs!D:D,labs!Q:Q,"",0)</f>
        <v>EUEU</v>
      </c>
    </row>
    <row r="35" spans="2:32" ht="15.6" hidden="1" customHeight="1" x14ac:dyDescent="0.25">
      <c r="B35" s="13">
        <v>2</v>
      </c>
      <c r="C35" s="14" t="s">
        <v>53</v>
      </c>
      <c r="D35" s="13">
        <v>1</v>
      </c>
      <c r="E35" s="83">
        <v>45836</v>
      </c>
      <c r="F35" s="83">
        <v>45839</v>
      </c>
      <c r="G35" s="20">
        <f>IFERROR(WEEKNUM(Table4[[#This Row],[Confirmed Pick-up Date]]),"TBD")</f>
        <v>27</v>
      </c>
      <c r="H35" s="20" t="str">
        <f>IFERROR(TEXT(Table4[[#This Row],[Confirmed Pick-up Date]],"yy-mm"),"TBD")</f>
        <v>25-07</v>
      </c>
      <c r="I35" s="13" t="s">
        <v>33</v>
      </c>
      <c r="J35" s="20" t="str">
        <f>IFERROR(VLOOKUP(Table4[[#This Row],[FromSite-UPS]],Table1[[#All],[Company or Name]:[FromSite3]],15,FALSE),"")</f>
        <v>Osaka Expo</v>
      </c>
      <c r="K35" s="20" t="str">
        <f>IFERROR(VLOOKUP(Table4[[#This Row],[FromSite-UPS]],Table1[[#All],[Company or Name]:[FromSite3]],16,FALSE),"")</f>
        <v>-</v>
      </c>
      <c r="L35" s="20">
        <f>IFERROR(VLOOKUP(Table4[[#This Row],[FromSite-UPS]],Table1[[#All],[Company or Name]:[FromSite3]],14,FALSE),"")</f>
        <v>0.58333333333333337</v>
      </c>
      <c r="M35" s="3" t="s">
        <v>42</v>
      </c>
      <c r="N35" s="13" t="s">
        <v>134</v>
      </c>
      <c r="O35" s="13" t="s">
        <v>821</v>
      </c>
      <c r="P35" s="13" t="s">
        <v>921</v>
      </c>
      <c r="Q35" s="20" t="s">
        <v>927</v>
      </c>
      <c r="R35" s="108" t="s">
        <v>834</v>
      </c>
      <c r="S35" s="13" t="s">
        <v>125</v>
      </c>
      <c r="T35" s="13" t="s">
        <v>856</v>
      </c>
      <c r="U35" s="13"/>
      <c r="V35" s="20" t="s">
        <v>928</v>
      </c>
      <c r="W35" s="20" t="str">
        <f>TEXT(Table4[[#This Row],[Confirmed Sampling Date]], "yyyy") &amp; "_" &amp; TEXT(Table4[[#This Row],[Confirmed Sampling Date]], "mm") &amp; "_" &amp; TEXT(Table4[[#This Row],[Confirmed Sampling Date]], "dd")</f>
        <v>2025_06_28</v>
      </c>
      <c r="X35" s="20" t="str">
        <f t="shared" si="0"/>
        <v>Osaka</v>
      </c>
      <c r="Y35" s="20" t="str">
        <f>VLOOKUP(Table4[[#This Row],[FromSite-UPS]],Table1[[Company or Name]:[NOTES]],2,FALSE)</f>
        <v>Japan</v>
      </c>
      <c r="Z35" s="20">
        <f>IFERROR(WEEKNUM(Table4[[#This Row],[Confirmed Sampling Date]] - 10, 21), "TBD")</f>
        <v>25</v>
      </c>
      <c r="AA35" s="20" t="str">
        <f>_xlfn.XLOOKUP(Table4[[#This Row],[FromSite-UPS]],sites!D:D,sites!W:W,"",0)</f>
        <v>1-3-3 Nakamichi, Higashinari-ku, Osaka, 537-0025, Japan</v>
      </c>
      <c r="AB35" s="20" t="str">
        <f>_xlfn.XLOOKUP(Table4[[#This Row],[ToLab]],labs!D:D,labs!P:P,"no adres",0)</f>
        <v>Via E. Fermi 2749, T.P. 120, Directorate D Sustainable Resources, Ispra, 21027, Italy</v>
      </c>
      <c r="AC35" s="20">
        <f>_xlfn.XLOOKUP(Table4[[#This Row],[combi]],AREA!E:E,AREA!F:F,"",0)</f>
        <v>92</v>
      </c>
      <c r="AD35" s="20" t="str">
        <f>_xlfn.XLOOKUP(Table4[[#This Row],[combi]],AREA!E:E,AREA!G:G,"",0)</f>
        <v>Pick-up service of hypothetic package as defined in the Tech. Specs. and delivery to lots
2 and 3 contractors according to Scenario 4</v>
      </c>
      <c r="AE35" s="20" t="s">
        <v>125</v>
      </c>
      <c r="AF35" s="20" t="str">
        <f>_xlfn.XLOOKUP(Table4[[#This Row],[FromSite-UPS]],sites!D:D,sites!AB:AB,"",0)&amp;_xlfn.XLOOKUP(Table4[[#This Row],[ToLab]],labs!D:D,labs!Q:Q,"",0)</f>
        <v>Non-EuropeEU</v>
      </c>
    </row>
    <row r="36" spans="2:32" ht="15.6" hidden="1" customHeight="1" x14ac:dyDescent="0.25">
      <c r="B36" s="13">
        <v>50</v>
      </c>
      <c r="C36" s="14" t="s">
        <v>53</v>
      </c>
      <c r="D36" s="13">
        <v>1</v>
      </c>
      <c r="E36" s="83">
        <v>45838</v>
      </c>
      <c r="F36" s="83">
        <v>45839</v>
      </c>
      <c r="G36" s="20">
        <f>IFERROR(WEEKNUM(Table4[[#This Row],[Confirmed Pick-up Date]]),"TBD")</f>
        <v>27</v>
      </c>
      <c r="H36" s="20" t="str">
        <f>IFERROR(TEXT(Table4[[#This Row],[Confirmed Pick-up Date]],"yy-mm"),"TBD")</f>
        <v>25-07</v>
      </c>
      <c r="I36" s="13" t="s">
        <v>364</v>
      </c>
      <c r="J36" s="20" t="str">
        <f>IFERROR(VLOOKUP(Table4[[#This Row],[FromSite-UPS]],Table1[[#All],[Company or Name]:[FromSite3]],15,FALSE),"")</f>
        <v>Brussels WWTP</v>
      </c>
      <c r="K36" s="20" t="str">
        <f>IFERROR(VLOOKUP(Table4[[#This Row],[FromSite-UPS]],Table1[[#All],[Company or Name]:[FromSite3]],16,FALSE),"")</f>
        <v>Brussels Airport</v>
      </c>
      <c r="L36" s="20">
        <f>IFERROR(VLOOKUP(Table4[[#This Row],[FromSite-UPS]],Table1[[#All],[Company or Name]:[FromSite3]],14,FALSE),"")</f>
        <v>0.70833333333333337</v>
      </c>
      <c r="M36" s="3" t="s">
        <v>42</v>
      </c>
      <c r="N36" s="20" t="s">
        <v>813</v>
      </c>
      <c r="O36" s="13" t="s">
        <v>814</v>
      </c>
      <c r="P36" s="13" t="s">
        <v>813</v>
      </c>
      <c r="Q36" s="20" t="s">
        <v>913</v>
      </c>
      <c r="R36" s="20" t="s">
        <v>871</v>
      </c>
      <c r="S36" s="13" t="s">
        <v>125</v>
      </c>
      <c r="T36" s="13" t="s">
        <v>856</v>
      </c>
      <c r="U36" s="13"/>
      <c r="V36" s="20"/>
      <c r="W36" s="20" t="str">
        <f>TEXT(Table4[[#This Row],[Confirmed Sampling Date]], "yyyy") &amp; "_" &amp; TEXT(Table4[[#This Row],[Confirmed Sampling Date]], "mm") &amp; "_" &amp; TEXT(Table4[[#This Row],[Confirmed Sampling Date]], "dd")</f>
        <v>2025_06_30</v>
      </c>
      <c r="X36" s="20" t="str">
        <f t="shared" si="0"/>
        <v>Brussels</v>
      </c>
      <c r="Y36" s="20" t="str">
        <f>VLOOKUP(Table4[[#This Row],[FromSite-UPS]],Table1[[Company or Name]:[NOTES]],2,FALSE)</f>
        <v>Belgium</v>
      </c>
      <c r="Z36" s="20">
        <f>IFERROR(WEEKNUM(Table4[[#This Row],[Confirmed Sampling Date]] - 10, 21), "TBD")</f>
        <v>25</v>
      </c>
      <c r="AA36" s="20" t="str">
        <f>_xlfn.XLOOKUP(Table4[[#This Row],[FromSite-UPS]],sites!D:D,sites!W:W,"",0)</f>
        <v>Rue Juliette Wytsmanstraat 14, Brussels, 1050, Belgium</v>
      </c>
      <c r="AB36" s="20" t="str">
        <f>_xlfn.XLOOKUP(Table4[[#This Row],[ToLab]],labs!D:D,labs!P:P,"no adres",0)</f>
        <v>Via E. Fermi 2749, T.P. 120, Directorate D Sustainable Resources, Ispra, 21027, Italy</v>
      </c>
      <c r="AC36" s="20">
        <f>_xlfn.XLOOKUP(Table4[[#This Row],[combi]],AREA!E:E,AREA!F:F,"",0)</f>
        <v>89</v>
      </c>
      <c r="AD36" s="20" t="str">
        <f>_xlfn.XLOOKUP(Table4[[#This Row],[combi]],AREA!E:E,AREA!G:G,"",0)</f>
        <v>Pick-up service of hypothetic package as defined in the Tech. Specs. and delivery to lots
2 and 3 contractors according to Scenario 1</v>
      </c>
      <c r="AE36" s="20" t="s">
        <v>125</v>
      </c>
      <c r="AF36" s="20" t="str">
        <f>_xlfn.XLOOKUP(Table4[[#This Row],[FromSite-UPS]],sites!D:D,sites!AB:AB,"",0)&amp;_xlfn.XLOOKUP(Table4[[#This Row],[ToLab]],labs!D:D,labs!Q:Q,"",0)</f>
        <v>EUEU</v>
      </c>
    </row>
    <row r="37" spans="2:32" ht="15.6" hidden="1" customHeight="1" x14ac:dyDescent="0.25">
      <c r="B37" s="13">
        <v>113</v>
      </c>
      <c r="C37" s="14" t="s">
        <v>53</v>
      </c>
      <c r="D37" s="13">
        <v>1</v>
      </c>
      <c r="E37" s="83">
        <v>45838</v>
      </c>
      <c r="F37" s="83">
        <v>45839</v>
      </c>
      <c r="G37" s="20">
        <f>IFERROR(WEEKNUM(Table4[[#This Row],[Confirmed Pick-up Date]]),"TBD")</f>
        <v>27</v>
      </c>
      <c r="H37" s="20" t="str">
        <f>IFERROR(TEXT(Table4[[#This Row],[Confirmed Pick-up Date]],"yy-mm"),"TBD")</f>
        <v>25-07</v>
      </c>
      <c r="I37" s="13" t="s">
        <v>364</v>
      </c>
      <c r="J37" s="20" t="str">
        <f>IFERROR(VLOOKUP(Table4[[#This Row],[FromSite-UPS]],Table1[[#All],[Company or Name]:[FromSite3]],15,FALSE),"")</f>
        <v>Brussels WWTP</v>
      </c>
      <c r="K37" s="20" t="str">
        <f>IFERROR(VLOOKUP(Table4[[#This Row],[FromSite-UPS]],Table1[[#All],[Company or Name]:[FromSite3]],16,FALSE),"")</f>
        <v>Brussels Airport</v>
      </c>
      <c r="L37" s="20">
        <f>IFERROR(VLOOKUP(Table4[[#This Row],[FromSite-UPS]],Table1[[#All],[Company or Name]:[FromSite3]],14,FALSE),"")</f>
        <v>0.70833333333333337</v>
      </c>
      <c r="M37" s="3" t="s">
        <v>42</v>
      </c>
      <c r="N37" s="20" t="s">
        <v>813</v>
      </c>
      <c r="O37" s="13" t="s">
        <v>815</v>
      </c>
      <c r="P37" s="13" t="s">
        <v>813</v>
      </c>
      <c r="Q37" s="20" t="s">
        <v>913</v>
      </c>
      <c r="R37" s="20" t="s">
        <v>872</v>
      </c>
      <c r="S37" s="13" t="s">
        <v>125</v>
      </c>
      <c r="T37" s="13" t="s">
        <v>856</v>
      </c>
      <c r="U37" s="13"/>
      <c r="V37" s="20"/>
      <c r="W37" s="20" t="str">
        <f>TEXT(Table4[[#This Row],[Confirmed Sampling Date]], "yyyy") &amp; "_" &amp; TEXT(Table4[[#This Row],[Confirmed Sampling Date]], "mm") &amp; "_" &amp; TEXT(Table4[[#This Row],[Confirmed Sampling Date]], "dd")</f>
        <v>2025_06_30</v>
      </c>
      <c r="X37" s="20" t="str">
        <f t="shared" si="0"/>
        <v>Brussels</v>
      </c>
      <c r="Y37" s="20" t="str">
        <f>VLOOKUP(Table4[[#This Row],[FromSite-UPS]],Table1[[Company or Name]:[NOTES]],2,FALSE)</f>
        <v>Belgium</v>
      </c>
      <c r="Z37" s="20">
        <f>IFERROR(WEEKNUM(Table4[[#This Row],[Confirmed Sampling Date]] - 10, 21), "TBD")</f>
        <v>25</v>
      </c>
      <c r="AA37" s="20" t="str">
        <f>_xlfn.XLOOKUP(Table4[[#This Row],[FromSite-UPS]],sites!D:D,sites!W:W,"",0)</f>
        <v>Rue Juliette Wytsmanstraat 14, Brussels, 1050, Belgium</v>
      </c>
      <c r="AB37" s="20" t="str">
        <f>_xlfn.XLOOKUP(Table4[[#This Row],[ToLab]],labs!D:D,labs!P:P,"no adres",0)</f>
        <v>Via E. Fermi 2749, T.P. 120, Directorate D Sustainable Resources, Ispra, 21027, Italy</v>
      </c>
      <c r="AC37" s="20">
        <f>_xlfn.XLOOKUP(Table4[[#This Row],[combi]],AREA!E:E,AREA!F:F,"",0)</f>
        <v>89</v>
      </c>
      <c r="AD37" s="20" t="str">
        <f>_xlfn.XLOOKUP(Table4[[#This Row],[combi]],AREA!E:E,AREA!G:G,"",0)</f>
        <v>Pick-up service of hypothetic package as defined in the Tech. Specs. and delivery to lots
2 and 3 contractors according to Scenario 1</v>
      </c>
      <c r="AE37" s="20" t="s">
        <v>125</v>
      </c>
      <c r="AF37" s="20" t="str">
        <f>_xlfn.XLOOKUP(Table4[[#This Row],[FromSite-UPS]],sites!D:D,sites!AB:AB,"",0)&amp;_xlfn.XLOOKUP(Table4[[#This Row],[ToLab]],labs!D:D,labs!Q:Q,"",0)</f>
        <v>EUEU</v>
      </c>
    </row>
    <row r="38" spans="2:32" ht="15.6" hidden="1" customHeight="1" x14ac:dyDescent="0.25">
      <c r="B38" s="13">
        <v>239</v>
      </c>
      <c r="C38" s="14" t="s">
        <v>53</v>
      </c>
      <c r="D38" s="13">
        <v>1</v>
      </c>
      <c r="E38" s="83">
        <v>45839</v>
      </c>
      <c r="F38" s="83">
        <v>45839</v>
      </c>
      <c r="G38" s="20">
        <f>IFERROR(WEEKNUM(Table4[[#This Row],[Confirmed Pick-up Date]]),"TBD")</f>
        <v>27</v>
      </c>
      <c r="H38" s="20" t="str">
        <f>IFERROR(TEXT(Table4[[#This Row],[Confirmed Pick-up Date]],"yy-mm"),"TBD")</f>
        <v>25-07</v>
      </c>
      <c r="I38" s="13" t="s">
        <v>863</v>
      </c>
      <c r="J38" s="20" t="str">
        <f>IFERROR(VLOOKUP(Table4[[#This Row],[FromSite-UPS]],Table1[[#All],[Company or Name]:[FromSite3]],15,FALSE),"")</f>
        <v>Dusseldorf WWTP 2101</v>
      </c>
      <c r="K38" s="20" t="str">
        <f>IFERROR(VLOOKUP(Table4[[#This Row],[FromSite-UPS]],Table1[[#All],[Company or Name]:[FromSite3]],16,FALSE),"")</f>
        <v>Dusseldorf WWTP 601</v>
      </c>
      <c r="L38" s="20">
        <f>IFERROR(VLOOKUP(Table4[[#This Row],[FromSite-UPS]],Table1[[#All],[Company or Name]:[FromSite3]],14,FALSE),"")</f>
        <v>0.625</v>
      </c>
      <c r="M38" s="3" t="s">
        <v>42</v>
      </c>
      <c r="N38" s="20" t="s">
        <v>813</v>
      </c>
      <c r="O38" s="20" t="s">
        <v>869</v>
      </c>
      <c r="P38" s="20" t="s">
        <v>813</v>
      </c>
      <c r="Q38" s="20" t="s">
        <v>914</v>
      </c>
      <c r="R38" s="20" t="s">
        <v>881</v>
      </c>
      <c r="S38" s="20" t="s">
        <v>125</v>
      </c>
      <c r="T38" s="20" t="s">
        <v>856</v>
      </c>
      <c r="U38" s="20"/>
      <c r="V38" s="20"/>
      <c r="W38" s="20" t="str">
        <f>TEXT(Table4[[#This Row],[Confirmed Sampling Date]], "yyyy") &amp; "_" &amp; TEXT(Table4[[#This Row],[Confirmed Sampling Date]], "mm") &amp; "_" &amp; TEXT(Table4[[#This Row],[Confirmed Sampling Date]], "dd")</f>
        <v>2025_07_01</v>
      </c>
      <c r="X38" s="20" t="str">
        <f t="shared" si="0"/>
        <v>Dusseldorf</v>
      </c>
      <c r="Y38" s="20" t="str">
        <f>VLOOKUP(Table4[[#This Row],[FromSite-UPS]],Table1[[Company or Name]:[NOTES]],2,FALSE)</f>
        <v>Germany</v>
      </c>
      <c r="Z38" s="20">
        <f>IFERROR(WEEKNUM(Table4[[#This Row],[Confirmed Sampling Date]] - 10, 21), "TBD")</f>
        <v>25</v>
      </c>
      <c r="AA38" s="20" t="str">
        <f>_xlfn.XLOOKUP(Table4[[#This Row],[FromSite-UPS]],sites!D:D,sites!W:W,"",0)</f>
        <v>Auf dem Draap 15, Chemisch-Biologische Laboratorien, Dusseldorf, 40221, Germany</v>
      </c>
      <c r="AB38" s="20" t="str">
        <f>_xlfn.XLOOKUP(Table4[[#This Row],[ToLab]],labs!D:D,labs!P:P,"no adres",0)</f>
        <v>Via E. Fermi 2749, T.P. 120, Directorate D Sustainable Resources, Ispra, 21027, Italy</v>
      </c>
      <c r="AC38" s="20">
        <f>_xlfn.XLOOKUP(Table4[[#This Row],[combi]],AREA!E:E,AREA!F:F,"",0)</f>
        <v>89</v>
      </c>
      <c r="AD38" s="20" t="str">
        <f>_xlfn.XLOOKUP(Table4[[#This Row],[combi]],AREA!E:E,AREA!G:G,"",0)</f>
        <v>Pick-up service of hypothetic package as defined in the Tech. Specs. and delivery to lots
2 and 3 contractors according to Scenario 1</v>
      </c>
      <c r="AE38" s="20" t="s">
        <v>125</v>
      </c>
      <c r="AF38" s="20" t="str">
        <f>_xlfn.XLOOKUP(Table4[[#This Row],[FromSite-UPS]],sites!D:D,sites!AB:AB,"",0)&amp;_xlfn.XLOOKUP(Table4[[#This Row],[ToLab]],labs!D:D,labs!Q:Q,"",0)</f>
        <v>EUEU</v>
      </c>
    </row>
    <row r="39" spans="2:32" ht="15.6" hidden="1" customHeight="1" x14ac:dyDescent="0.25">
      <c r="B39" s="13">
        <v>251</v>
      </c>
      <c r="C39" s="14" t="s">
        <v>53</v>
      </c>
      <c r="D39" s="13">
        <v>1</v>
      </c>
      <c r="E39" s="84">
        <v>45839</v>
      </c>
      <c r="F39" s="84">
        <v>45839</v>
      </c>
      <c r="G39" s="20">
        <f>IFERROR(WEEKNUM(Table4[[#This Row],[Confirmed Pick-up Date]]),"TBD")</f>
        <v>27</v>
      </c>
      <c r="H39" s="20" t="str">
        <f>IFERROR(TEXT(Table4[[#This Row],[Confirmed Pick-up Date]],"yy-mm"),"TBD")</f>
        <v>25-07</v>
      </c>
      <c r="I39" s="66" t="s">
        <v>863</v>
      </c>
      <c r="J39" s="20" t="str">
        <f>IFERROR(VLOOKUP(Table4[[#This Row],[FromSite-UPS]],Table1[[#All],[Company or Name]:[FromSite3]],15,FALSE),"")</f>
        <v>Dusseldorf WWTP 2101</v>
      </c>
      <c r="K39" s="20" t="str">
        <f>IFERROR(VLOOKUP(Table4[[#This Row],[FromSite-UPS]],Table1[[#All],[Company or Name]:[FromSite3]],16,FALSE),"")</f>
        <v>Dusseldorf WWTP 601</v>
      </c>
      <c r="L39" s="20">
        <f>IFERROR(VLOOKUP(Table4[[#This Row],[FromSite-UPS]],Table1[[#All],[Company or Name]:[FromSite3]],14,FALSE),"")</f>
        <v>0.625</v>
      </c>
      <c r="M39" s="3" t="s">
        <v>42</v>
      </c>
      <c r="N39" s="20" t="s">
        <v>813</v>
      </c>
      <c r="O39" s="20" t="s">
        <v>870</v>
      </c>
      <c r="P39" s="20" t="s">
        <v>813</v>
      </c>
      <c r="Q39" s="20" t="s">
        <v>914</v>
      </c>
      <c r="R39" s="20" t="s">
        <v>882</v>
      </c>
      <c r="S39" s="20" t="s">
        <v>125</v>
      </c>
      <c r="T39" s="20" t="s">
        <v>856</v>
      </c>
      <c r="U39" s="20"/>
      <c r="V39" s="20"/>
      <c r="W39" s="20" t="str">
        <f>TEXT(Table4[[#This Row],[Confirmed Sampling Date]], "yyyy") &amp; "_" &amp; TEXT(Table4[[#This Row],[Confirmed Sampling Date]], "mm") &amp; "_" &amp; TEXT(Table4[[#This Row],[Confirmed Sampling Date]], "dd")</f>
        <v>2025_07_01</v>
      </c>
      <c r="X39" s="20" t="str">
        <f t="shared" si="0"/>
        <v>Dusseldorf</v>
      </c>
      <c r="Y39" s="20" t="str">
        <f>VLOOKUP(Table4[[#This Row],[FromSite-UPS]],Table1[[Company or Name]:[NOTES]],2,FALSE)</f>
        <v>Germany</v>
      </c>
      <c r="Z39" s="20">
        <f>IFERROR(WEEKNUM(Table4[[#This Row],[Confirmed Sampling Date]] - 10, 21), "TBD")</f>
        <v>25</v>
      </c>
      <c r="AA39" s="20" t="str">
        <f>_xlfn.XLOOKUP(Table4[[#This Row],[FromSite-UPS]],sites!D:D,sites!W:W,"",0)</f>
        <v>Auf dem Draap 15, Chemisch-Biologische Laboratorien, Dusseldorf, 40221, Germany</v>
      </c>
      <c r="AB39" s="20" t="str">
        <f>_xlfn.XLOOKUP(Table4[[#This Row],[ToLab]],labs!D:D,labs!P:P,"no adres",0)</f>
        <v>Via E. Fermi 2749, T.P. 120, Directorate D Sustainable Resources, Ispra, 21027, Italy</v>
      </c>
      <c r="AC39" s="20">
        <f>_xlfn.XLOOKUP(Table4[[#This Row],[combi]],AREA!E:E,AREA!F:F,"",0)</f>
        <v>89</v>
      </c>
      <c r="AD39" s="20" t="str">
        <f>_xlfn.XLOOKUP(Table4[[#This Row],[combi]],AREA!E:E,AREA!G:G,"",0)</f>
        <v>Pick-up service of hypothetic package as defined in the Tech. Specs. and delivery to lots
2 and 3 contractors according to Scenario 1</v>
      </c>
      <c r="AE39" s="20" t="s">
        <v>125</v>
      </c>
      <c r="AF39" s="20" t="str">
        <f>_xlfn.XLOOKUP(Table4[[#This Row],[FromSite-UPS]],sites!D:D,sites!AB:AB,"",0)&amp;_xlfn.XLOOKUP(Table4[[#This Row],[ToLab]],labs!D:D,labs!Q:Q,"",0)</f>
        <v>EUEU</v>
      </c>
    </row>
    <row r="40" spans="2:32" ht="15.6" hidden="1" customHeight="1" x14ac:dyDescent="0.25">
      <c r="B40" s="13">
        <v>23</v>
      </c>
      <c r="C40" s="14" t="s">
        <v>53</v>
      </c>
      <c r="D40" s="13">
        <v>1</v>
      </c>
      <c r="E40" s="34">
        <v>45839</v>
      </c>
      <c r="F40" s="34">
        <v>45840</v>
      </c>
      <c r="G40" s="20">
        <f>IFERROR(WEEKNUM(Table4[[#This Row],[Confirmed Pick-up Date]]),"TBD")</f>
        <v>27</v>
      </c>
      <c r="H40" s="20" t="str">
        <f>IFERROR(TEXT(Table4[[#This Row],[Confirmed Pick-up Date]],"yy-mm"),"TBD")</f>
        <v>25-07</v>
      </c>
      <c r="I40" s="13" t="s">
        <v>19</v>
      </c>
      <c r="J40" s="13" t="str">
        <f>IFERROR(VLOOKUP(Table4[[#This Row],[FromSite-UPS]],Table1[[#All],[Company or Name]:[FromSite3]],15,FALSE),"")</f>
        <v>Munich WWTP</v>
      </c>
      <c r="K40" s="20" t="str">
        <f>IFERROR(VLOOKUP(Table4[[#This Row],[FromSite-UPS]],Table1[[#All],[Company or Name]:[FromSite3]],16,FALSE),"")</f>
        <v>Munich Airport</v>
      </c>
      <c r="L40" s="20">
        <f>IFERROR(VLOOKUP(Table4[[#This Row],[FromSite-UPS]],Table1[[#All],[Company or Name]:[FromSite3]],14,FALSE),"")</f>
        <v>0.58333333333333337</v>
      </c>
      <c r="M40" s="3" t="s">
        <v>42</v>
      </c>
      <c r="N40" s="20" t="s">
        <v>813</v>
      </c>
      <c r="O40" s="13" t="s">
        <v>816</v>
      </c>
      <c r="P40" s="13" t="s">
        <v>813</v>
      </c>
      <c r="Q40" s="20" t="s">
        <v>917</v>
      </c>
      <c r="R40" s="20" t="s">
        <v>874</v>
      </c>
      <c r="S40" s="13" t="s">
        <v>125</v>
      </c>
      <c r="T40" s="13" t="s">
        <v>856</v>
      </c>
      <c r="U40" s="13"/>
      <c r="V40" s="20"/>
      <c r="W40" s="20" t="str">
        <f>TEXT(Table4[[#This Row],[Confirmed Sampling Date]], "yyyy") &amp; "_" &amp; TEXT(Table4[[#This Row],[Confirmed Sampling Date]], "mm") &amp; "_" &amp; TEXT(Table4[[#This Row],[Confirmed Sampling Date]], "dd")</f>
        <v>2025_07_01</v>
      </c>
      <c r="X40" s="20" t="str">
        <f t="shared" si="0"/>
        <v>Munich</v>
      </c>
      <c r="Y40" s="20" t="str">
        <f>VLOOKUP(Table4[[#This Row],[FromSite-UPS]],Table1[[Company or Name]:[NOTES]],2,FALSE)</f>
        <v>Germany</v>
      </c>
      <c r="Z40" s="20">
        <f>IFERROR(WEEKNUM(Table4[[#This Row],[Confirmed Sampling Date]] - 10, 21), "TBD")</f>
        <v>25</v>
      </c>
      <c r="AA40" s="20" t="str">
        <f>_xlfn.XLOOKUP(Table4[[#This Row],[FromSite-UPS]],sites!D:D,sites!W:W,"",0)</f>
        <v>Leopoldstrasse 5, Institut fuer Infektions- und Tropenmedizin, Munich, 80802, Germany</v>
      </c>
      <c r="AB40" s="20" t="str">
        <f>_xlfn.XLOOKUP(Table4[[#This Row],[ToLab]],labs!D:D,labs!P:P,"no adres",0)</f>
        <v>Via E. Fermi 2749, T.P. 120, Directorate D Sustainable Resources, Ispra, 21027, Italy</v>
      </c>
      <c r="AC40" s="20">
        <f>_xlfn.XLOOKUP(Table4[[#This Row],[combi]],AREA!E:E,AREA!F:F,"",0)</f>
        <v>89</v>
      </c>
      <c r="AD40" s="20" t="str">
        <f>_xlfn.XLOOKUP(Table4[[#This Row],[combi]],AREA!E:E,AREA!G:G,"",0)</f>
        <v>Pick-up service of hypothetic package as defined in the Tech. Specs. and delivery to lots
2 and 3 contractors according to Scenario 1</v>
      </c>
      <c r="AE40" s="20" t="s">
        <v>125</v>
      </c>
      <c r="AF40" s="20" t="str">
        <f>_xlfn.XLOOKUP(Table4[[#This Row],[FromSite-UPS]],sites!D:D,sites!AB:AB,"",0)&amp;_xlfn.XLOOKUP(Table4[[#This Row],[ToLab]],labs!D:D,labs!Q:Q,"",0)</f>
        <v>EUEU</v>
      </c>
    </row>
    <row r="41" spans="2:32" ht="15.6" hidden="1" customHeight="1" x14ac:dyDescent="0.25">
      <c r="B41" s="13">
        <v>37</v>
      </c>
      <c r="C41" s="14" t="s">
        <v>53</v>
      </c>
      <c r="D41" s="13">
        <v>1</v>
      </c>
      <c r="E41" s="34">
        <v>45839</v>
      </c>
      <c r="F41" s="34">
        <v>45840</v>
      </c>
      <c r="G41" s="20">
        <f>IFERROR(WEEKNUM(Table4[[#This Row],[Confirmed Pick-up Date]]),"TBD")</f>
        <v>27</v>
      </c>
      <c r="H41" s="20" t="str">
        <f>IFERROR(TEXT(Table4[[#This Row],[Confirmed Pick-up Date]],"yy-mm"),"TBD")</f>
        <v>25-07</v>
      </c>
      <c r="I41" s="13" t="s">
        <v>677</v>
      </c>
      <c r="J41" s="13" t="str">
        <f>IFERROR(VLOOKUP(Table4[[#This Row],[FromSite-UPS]],Table1[[#All],[Company or Name]:[FromSite3]],15,FALSE),"")</f>
        <v>Frankfurt WWTP</v>
      </c>
      <c r="K41" s="20" t="str">
        <f>IFERROR(VLOOKUP(Table4[[#This Row],[FromSite-UPS]],Table1[[#All],[Company or Name]:[FromSite3]],16,FALSE),"")</f>
        <v>Frankfurt Airport</v>
      </c>
      <c r="L41" s="20">
        <f>IFERROR(VLOOKUP(Table4[[#This Row],[FromSite-UPS]],Table1[[#All],[Company or Name]:[FromSite3]],14,FALSE),"")</f>
        <v>0.58333333333333337</v>
      </c>
      <c r="M41" s="3" t="s">
        <v>42</v>
      </c>
      <c r="N41" s="20" t="s">
        <v>813</v>
      </c>
      <c r="O41" s="13" t="s">
        <v>818</v>
      </c>
      <c r="P41" s="13" t="s">
        <v>813</v>
      </c>
      <c r="Q41" s="20" t="s">
        <v>915</v>
      </c>
      <c r="R41" s="20" t="s">
        <v>925</v>
      </c>
      <c r="S41" s="13" t="s">
        <v>125</v>
      </c>
      <c r="T41" s="13" t="s">
        <v>856</v>
      </c>
      <c r="U41" s="13"/>
      <c r="V41" s="20"/>
      <c r="W41" s="20" t="str">
        <f>TEXT(Table4[[#This Row],[Confirmed Sampling Date]], "yyyy") &amp; "_" &amp; TEXT(Table4[[#This Row],[Confirmed Sampling Date]], "mm") &amp; "_" &amp; TEXT(Table4[[#This Row],[Confirmed Sampling Date]], "dd")</f>
        <v>2025_07_01</v>
      </c>
      <c r="X41" s="20" t="str">
        <f t="shared" si="0"/>
        <v>Frankfurt</v>
      </c>
      <c r="Y41" s="20" t="str">
        <f>VLOOKUP(Table4[[#This Row],[FromSite-UPS]],Table1[[Company or Name]:[NOTES]],2,FALSE)</f>
        <v>Germany</v>
      </c>
      <c r="Z41" s="20">
        <f>IFERROR(WEEKNUM(Table4[[#This Row],[Confirmed Sampling Date]] - 10, 21), "TBD")</f>
        <v>25</v>
      </c>
      <c r="AA41" s="20" t="str">
        <f>_xlfn.XLOOKUP(Table4[[#This Row],[FromSite-UPS]],sites!D:D,sites!W:W,"",0)</f>
        <v>Goldsteinstraße 160, Gebäude 71 , Frankfurt am Main , 60528, Germany</v>
      </c>
      <c r="AB41" s="20" t="str">
        <f>_xlfn.XLOOKUP(Table4[[#This Row],[ToLab]],labs!D:D,labs!P:P,"no adres",0)</f>
        <v>Via E. Fermi 2749, T.P. 120, Directorate D Sustainable Resources, Ispra, 21027, Italy</v>
      </c>
      <c r="AC41" s="20">
        <f>_xlfn.XLOOKUP(Table4[[#This Row],[combi]],AREA!E:E,AREA!F:F,"",0)</f>
        <v>89</v>
      </c>
      <c r="AD41" s="20" t="str">
        <f>_xlfn.XLOOKUP(Table4[[#This Row],[combi]],AREA!E:E,AREA!G:G,"",0)</f>
        <v>Pick-up service of hypothetic package as defined in the Tech. Specs. and delivery to lots
2 and 3 contractors according to Scenario 1</v>
      </c>
      <c r="AE41" s="20" t="s">
        <v>125</v>
      </c>
      <c r="AF41" s="20" t="str">
        <f>_xlfn.XLOOKUP(Table4[[#This Row],[FromSite-UPS]],sites!D:D,sites!AB:AB,"",0)&amp;_xlfn.XLOOKUP(Table4[[#This Row],[ToLab]],labs!D:D,labs!Q:Q,"",0)</f>
        <v>EUEU</v>
      </c>
    </row>
    <row r="42" spans="2:32" ht="15.6" hidden="1" customHeight="1" x14ac:dyDescent="0.25">
      <c r="B42" s="13">
        <v>86</v>
      </c>
      <c r="C42" s="14" t="s">
        <v>53</v>
      </c>
      <c r="D42" s="13">
        <v>1</v>
      </c>
      <c r="E42" s="83">
        <v>45839</v>
      </c>
      <c r="F42" s="83">
        <v>45840</v>
      </c>
      <c r="G42" s="20">
        <f>IFERROR(WEEKNUM(Table4[[#This Row],[Confirmed Pick-up Date]]),"TBD")</f>
        <v>27</v>
      </c>
      <c r="H42" s="20" t="str">
        <f>IFERROR(TEXT(Table4[[#This Row],[Confirmed Pick-up Date]],"yy-mm"),"TBD")</f>
        <v>25-07</v>
      </c>
      <c r="I42" s="13" t="s">
        <v>19</v>
      </c>
      <c r="J42" s="20" t="str">
        <f>IFERROR(VLOOKUP(Table4[[#This Row],[FromSite-UPS]],Table1[[#All],[Company or Name]:[FromSite3]],15,FALSE),"")</f>
        <v>Munich WWTP</v>
      </c>
      <c r="K42" s="20" t="str">
        <f>IFERROR(VLOOKUP(Table4[[#This Row],[FromSite-UPS]],Table1[[#All],[Company or Name]:[FromSite3]],16,FALSE),"")</f>
        <v>Munich Airport</v>
      </c>
      <c r="L42" s="20">
        <f>IFERROR(VLOOKUP(Table4[[#This Row],[FromSite-UPS]],Table1[[#All],[Company or Name]:[FromSite3]],14,FALSE),"")</f>
        <v>0.58333333333333337</v>
      </c>
      <c r="M42" s="3" t="s">
        <v>42</v>
      </c>
      <c r="N42" s="20" t="s">
        <v>813</v>
      </c>
      <c r="O42" s="13" t="s">
        <v>817</v>
      </c>
      <c r="P42" s="13" t="s">
        <v>813</v>
      </c>
      <c r="Q42" s="20" t="s">
        <v>917</v>
      </c>
      <c r="R42" s="20" t="s">
        <v>875</v>
      </c>
      <c r="S42" s="13" t="s">
        <v>125</v>
      </c>
      <c r="T42" s="13" t="s">
        <v>856</v>
      </c>
      <c r="U42" s="13"/>
      <c r="V42" s="20"/>
      <c r="W42" s="20" t="str">
        <f>TEXT(Table4[[#This Row],[Confirmed Sampling Date]], "yyyy") &amp; "_" &amp; TEXT(Table4[[#This Row],[Confirmed Sampling Date]], "mm") &amp; "_" &amp; TEXT(Table4[[#This Row],[Confirmed Sampling Date]], "dd")</f>
        <v>2025_07_01</v>
      </c>
      <c r="X42" s="20" t="str">
        <f t="shared" si="0"/>
        <v>Munich</v>
      </c>
      <c r="Y42" s="20" t="str">
        <f>VLOOKUP(Table4[[#This Row],[FromSite-UPS]],Table1[[Company or Name]:[NOTES]],2,FALSE)</f>
        <v>Germany</v>
      </c>
      <c r="Z42" s="20">
        <f>IFERROR(WEEKNUM(Table4[[#This Row],[Confirmed Sampling Date]] - 10, 21), "TBD")</f>
        <v>25</v>
      </c>
      <c r="AA42" s="20" t="str">
        <f>_xlfn.XLOOKUP(Table4[[#This Row],[FromSite-UPS]],sites!D:D,sites!W:W,"",0)</f>
        <v>Leopoldstrasse 5, Institut fuer Infektions- und Tropenmedizin, Munich, 80802, Germany</v>
      </c>
      <c r="AB42" s="20" t="str">
        <f>_xlfn.XLOOKUP(Table4[[#This Row],[ToLab]],labs!D:D,labs!P:P,"no adres",0)</f>
        <v>Via E. Fermi 2749, T.P. 120, Directorate D Sustainable Resources, Ispra, 21027, Italy</v>
      </c>
      <c r="AC42" s="20">
        <f>_xlfn.XLOOKUP(Table4[[#This Row],[combi]],AREA!E:E,AREA!F:F,"",0)</f>
        <v>89</v>
      </c>
      <c r="AD42" s="20" t="str">
        <f>_xlfn.XLOOKUP(Table4[[#This Row],[combi]],AREA!E:E,AREA!G:G,"",0)</f>
        <v>Pick-up service of hypothetic package as defined in the Tech. Specs. and delivery to lots
2 and 3 contractors according to Scenario 1</v>
      </c>
      <c r="AE42" s="20" t="s">
        <v>125</v>
      </c>
      <c r="AF42" s="20" t="str">
        <f>_xlfn.XLOOKUP(Table4[[#This Row],[FromSite-UPS]],sites!D:D,sites!AB:AB,"",0)&amp;_xlfn.XLOOKUP(Table4[[#This Row],[ToLab]],labs!D:D,labs!Q:Q,"",0)</f>
        <v>EUEU</v>
      </c>
    </row>
    <row r="43" spans="2:32" ht="15.6" hidden="1" customHeight="1" x14ac:dyDescent="0.25">
      <c r="B43" s="13">
        <v>127</v>
      </c>
      <c r="C43" s="14" t="s">
        <v>53</v>
      </c>
      <c r="D43" s="13">
        <v>1</v>
      </c>
      <c r="E43" s="83">
        <v>45839</v>
      </c>
      <c r="F43" s="83">
        <v>45840</v>
      </c>
      <c r="G43" s="20">
        <f>IFERROR(WEEKNUM(Table4[[#This Row],[Confirmed Pick-up Date]]),"TBD")</f>
        <v>27</v>
      </c>
      <c r="H43" s="20" t="str">
        <f>IFERROR(TEXT(Table4[[#This Row],[Confirmed Pick-up Date]],"yy-mm"),"TBD")</f>
        <v>25-07</v>
      </c>
      <c r="I43" s="13" t="s">
        <v>637</v>
      </c>
      <c r="J43" s="20" t="str">
        <f>IFERROR(VLOOKUP(Table4[[#This Row],[FromSite-UPS]],Table1[[#All],[Company or Name]:[FromSite3]],15,FALSE),"")</f>
        <v>Luxembourg (Beggen) WWTP</v>
      </c>
      <c r="K43" s="20" t="str">
        <f>IFERROR(VLOOKUP(Table4[[#This Row],[FromSite-UPS]],Table1[[#All],[Company or Name]:[FromSite3]],16,FALSE),"")</f>
        <v>Luxembourg Airport</v>
      </c>
      <c r="L43" s="20">
        <f>IFERROR(VLOOKUP(Table4[[#This Row],[FromSite-UPS]],Table1[[#All],[Company or Name]:[FromSite3]],14,FALSE),"")</f>
        <v>0.66666666666666663</v>
      </c>
      <c r="M43" s="3" t="s">
        <v>42</v>
      </c>
      <c r="N43" s="13" t="s">
        <v>134</v>
      </c>
      <c r="O43" s="13" t="s">
        <v>827</v>
      </c>
      <c r="P43" s="13" t="s">
        <v>813</v>
      </c>
      <c r="Q43" s="20" t="s">
        <v>916</v>
      </c>
      <c r="R43" s="20" t="s">
        <v>873</v>
      </c>
      <c r="S43" s="13" t="s">
        <v>125</v>
      </c>
      <c r="T43" s="13" t="s">
        <v>856</v>
      </c>
      <c r="U43" s="13"/>
      <c r="V43" s="20"/>
      <c r="W43" s="20" t="str">
        <f>TEXT(Table4[[#This Row],[Confirmed Sampling Date]], "yyyy") &amp; "_" &amp; TEXT(Table4[[#This Row],[Confirmed Sampling Date]], "mm") &amp; "_" &amp; TEXT(Table4[[#This Row],[Confirmed Sampling Date]], "dd")</f>
        <v>2025_07_01</v>
      </c>
      <c r="X43" s="20" t="str">
        <f t="shared" si="0"/>
        <v>Luxembourg</v>
      </c>
      <c r="Y43" s="20" t="str">
        <f>VLOOKUP(Table4[[#This Row],[FromSite-UPS]],Table1[[Company or Name]:[NOTES]],2,FALSE)</f>
        <v>Luxembourg</v>
      </c>
      <c r="Z43" s="20">
        <f>IFERROR(WEEKNUM(Table4[[#This Row],[Confirmed Sampling Date]] - 10, 21), "TBD")</f>
        <v>25</v>
      </c>
      <c r="AA43" s="20" t="str">
        <f>_xlfn.XLOOKUP(Table4[[#This Row],[FromSite-UPS]],sites!D:D,sites!W:W,"",0)</f>
        <v>41 rue du Brill, Luxembourg, L-4422 , Luxembourg</v>
      </c>
      <c r="AB43" s="20" t="str">
        <f>_xlfn.XLOOKUP(Table4[[#This Row],[ToLab]],labs!D:D,labs!P:P,"no adres",0)</f>
        <v>Via E. Fermi 2749, T.P. 120, Directorate D Sustainable Resources, Ispra, 21027, Italy</v>
      </c>
      <c r="AC43" s="20">
        <f>_xlfn.XLOOKUP(Table4[[#This Row],[combi]],AREA!E:E,AREA!F:F,"",0)</f>
        <v>89</v>
      </c>
      <c r="AD43" s="20" t="str">
        <f>_xlfn.XLOOKUP(Table4[[#This Row],[combi]],AREA!E:E,AREA!G:G,"",0)</f>
        <v>Pick-up service of hypothetic package as defined in the Tech. Specs. and delivery to lots
2 and 3 contractors according to Scenario 1</v>
      </c>
      <c r="AE43" s="20" t="s">
        <v>125</v>
      </c>
      <c r="AF43" s="20" t="str">
        <f>_xlfn.XLOOKUP(Table4[[#This Row],[FromSite-UPS]],sites!D:D,sites!AB:AB,"",0)&amp;_xlfn.XLOOKUP(Table4[[#This Row],[ToLab]],labs!D:D,labs!Q:Q,"",0)</f>
        <v>EUEU</v>
      </c>
    </row>
    <row r="44" spans="2:32" ht="15.6" hidden="1" customHeight="1" x14ac:dyDescent="0.25">
      <c r="B44" s="13">
        <v>135</v>
      </c>
      <c r="C44" s="14" t="s">
        <v>53</v>
      </c>
      <c r="D44" s="13">
        <v>1</v>
      </c>
      <c r="E44" s="83">
        <v>45840</v>
      </c>
      <c r="F44" s="83">
        <v>45840</v>
      </c>
      <c r="G44" s="20">
        <f>IFERROR(WEEKNUM(Table4[[#This Row],[Confirmed Pick-up Date]]),"TBD")</f>
        <v>27</v>
      </c>
      <c r="H44" s="20" t="str">
        <f>IFERROR(TEXT(Table4[[#This Row],[Confirmed Pick-up Date]],"yy-mm"),"TBD")</f>
        <v>25-07</v>
      </c>
      <c r="I44" s="13" t="s">
        <v>680</v>
      </c>
      <c r="J44" s="20" t="str">
        <f>IFERROR(VLOOKUP(Table4[[#This Row],[FromSite-UPS]],Table1[[#All],[Company or Name]:[FromSite3]],15,FALSE),"")</f>
        <v>Rome WWTP</v>
      </c>
      <c r="K44" s="20" t="str">
        <f>IFERROR(VLOOKUP(Table4[[#This Row],[FromSite-UPS]],Table1[[#All],[Company or Name]:[FromSite3]],16,FALSE),"")</f>
        <v>-</v>
      </c>
      <c r="L44" s="20">
        <f>IFERROR(VLOOKUP(Table4[[#This Row],[FromSite-UPS]],Table1[[#All],[Company or Name]:[FromSite3]],14,FALSE),"")</f>
        <v>0.70833333333333337</v>
      </c>
      <c r="M44" s="3" t="s">
        <v>42</v>
      </c>
      <c r="N44" s="20" t="s">
        <v>134</v>
      </c>
      <c r="O44" s="20" t="s">
        <v>1238</v>
      </c>
      <c r="P44" s="20" t="s">
        <v>813</v>
      </c>
      <c r="Q44" s="20" t="s">
        <v>919</v>
      </c>
      <c r="R44" s="20" t="s">
        <v>876</v>
      </c>
      <c r="S44" s="13" t="s">
        <v>125</v>
      </c>
      <c r="T44" s="13" t="s">
        <v>856</v>
      </c>
      <c r="U44" s="13" t="s">
        <v>1896</v>
      </c>
      <c r="V44" s="68" t="s">
        <v>951</v>
      </c>
      <c r="W44" s="20" t="str">
        <f>TEXT(Table4[[#This Row],[Confirmed Sampling Date]], "yyyy") &amp; "_" &amp; TEXT(Table4[[#This Row],[Confirmed Sampling Date]], "mm") &amp; "_" &amp; TEXT(Table4[[#This Row],[Confirmed Sampling Date]], "dd")</f>
        <v>2025_07_02</v>
      </c>
      <c r="X44" s="20" t="str">
        <f t="shared" si="0"/>
        <v>Rome</v>
      </c>
      <c r="Y44" s="20" t="str">
        <f>VLOOKUP(Table4[[#This Row],[FromSite-UPS]],Table1[[Company or Name]:[NOTES]],2,FALSE)</f>
        <v>Italy</v>
      </c>
      <c r="Z44" s="20">
        <f>IFERROR(WEEKNUM(Table4[[#This Row],[Confirmed Sampling Date]] - 10, 21), "TBD")</f>
        <v>25</v>
      </c>
      <c r="AA44" s="20" t="str">
        <f>_xlfn.XLOOKUP(Table4[[#This Row],[FromSite-UPS]],sites!D:D,sites!W:W,"",0)</f>
        <v>Via dell'Equitazione 10, Rome, 00144, Italy</v>
      </c>
      <c r="AB44" s="20" t="str">
        <f>_xlfn.XLOOKUP(Table4[[#This Row],[ToLab]],labs!D:D,labs!P:P,"no adres",0)</f>
        <v>Via E. Fermi 2749, T.P. 120, Directorate D Sustainable Resources, Ispra, 21027, Italy</v>
      </c>
      <c r="AC44" s="20">
        <f>_xlfn.XLOOKUP(Table4[[#This Row],[combi]],AREA!E:E,AREA!F:F,"",0)</f>
        <v>89</v>
      </c>
      <c r="AD44" s="20" t="str">
        <f>_xlfn.XLOOKUP(Table4[[#This Row],[combi]],AREA!E:E,AREA!G:G,"",0)</f>
        <v>Pick-up service of hypothetic package as defined in the Tech. Specs. and delivery to lots
2 and 3 contractors according to Scenario 1</v>
      </c>
      <c r="AE44" s="20" t="s">
        <v>125</v>
      </c>
      <c r="AF44" s="20" t="str">
        <f>_xlfn.XLOOKUP(Table4[[#This Row],[FromSite-UPS]],sites!D:D,sites!AB:AB,"",0)&amp;_xlfn.XLOOKUP(Table4[[#This Row],[ToLab]],labs!D:D,labs!Q:Q,"",0)</f>
        <v>EUEU</v>
      </c>
    </row>
    <row r="45" spans="2:32" ht="15.6" hidden="1" customHeight="1" x14ac:dyDescent="0.25">
      <c r="B45" s="13">
        <v>149</v>
      </c>
      <c r="C45" s="14" t="s">
        <v>53</v>
      </c>
      <c r="D45" s="13">
        <v>1</v>
      </c>
      <c r="E45" s="22">
        <v>45840</v>
      </c>
      <c r="F45" s="22">
        <v>45840</v>
      </c>
      <c r="G45" s="20">
        <f>IFERROR(WEEKNUM(Table4[[#This Row],[Confirmed Pick-up Date]]),"TBD")</f>
        <v>27</v>
      </c>
      <c r="H45" s="20" t="str">
        <f>IFERROR(TEXT(Table4[[#This Row],[Confirmed Pick-up Date]],"yy-mm"),"TBD")</f>
        <v>25-07</v>
      </c>
      <c r="I45" s="64" t="s">
        <v>771</v>
      </c>
      <c r="J45" s="20" t="str">
        <f>IFERROR(VLOOKUP(Table4[[#This Row],[FromSite-UPS]],Table1[[#All],[Company or Name]:[FromSite3]],15,FALSE),"")</f>
        <v>RomeAirport</v>
      </c>
      <c r="K45" s="20" t="str">
        <f>IFERROR(VLOOKUP(Table4[[#This Row],[FromSite-UPS]],Table1[[#All],[Company or Name]:[FromSite3]],16,FALSE),"")</f>
        <v>-</v>
      </c>
      <c r="L45" s="20">
        <f>IFERROR(VLOOKUP(Table4[[#This Row],[FromSite-UPS]],Table1[[#All],[Company or Name]:[FromSite3]],14,FALSE),"")</f>
        <v>0.70833333333333337</v>
      </c>
      <c r="M45" s="3" t="s">
        <v>42</v>
      </c>
      <c r="N45" s="20" t="s">
        <v>134</v>
      </c>
      <c r="O45" s="20" t="s">
        <v>832</v>
      </c>
      <c r="P45" s="20" t="s">
        <v>134</v>
      </c>
      <c r="Q45" s="20" t="s">
        <v>889</v>
      </c>
      <c r="R45" s="20" t="s">
        <v>880</v>
      </c>
      <c r="S45" s="13" t="s">
        <v>125</v>
      </c>
      <c r="T45" s="13" t="s">
        <v>856</v>
      </c>
      <c r="U45" s="13"/>
      <c r="V45" s="20"/>
      <c r="W45" s="20" t="str">
        <f>TEXT(Table4[[#This Row],[Confirmed Sampling Date]], "yyyy") &amp; "_" &amp; TEXT(Table4[[#This Row],[Confirmed Sampling Date]], "mm") &amp; "_" &amp; TEXT(Table4[[#This Row],[Confirmed Sampling Date]], "dd")</f>
        <v>2025_07_02</v>
      </c>
      <c r="X45" s="20" t="str">
        <f t="shared" si="0"/>
        <v>RomeAirport</v>
      </c>
      <c r="Y45" s="20" t="str">
        <f>VLOOKUP(Table4[[#This Row],[FromSite-UPS]],Table1[[Company or Name]:[NOTES]],2,FALSE)</f>
        <v>Italy</v>
      </c>
      <c r="Z45" s="20">
        <f>IFERROR(WEEKNUM(Table4[[#This Row],[Confirmed Sampling Date]] - 10, 21), "TBD")</f>
        <v>25</v>
      </c>
      <c r="AA45" s="20" t="str">
        <f>_xlfn.XLOOKUP(Table4[[#This Row],[FromSite-UPS]],sites!D:D,sites!W:W,"",0)</f>
        <v>VIA FRATELLI WRIGHT (DEPURATORE BIOLOGICO), FIUMICINO, 00054, Italy</v>
      </c>
      <c r="AB45" s="20" t="str">
        <f>_xlfn.XLOOKUP(Table4[[#This Row],[ToLab]],labs!D:D,labs!P:P,"no adres",0)</f>
        <v>Via E. Fermi 2749, T.P. 120, Directorate D Sustainable Resources, Ispra, 21027, Italy</v>
      </c>
      <c r="AC45" s="20">
        <f>_xlfn.XLOOKUP(Table4[[#This Row],[combi]],AREA!E:E,AREA!F:F,"",0)</f>
        <v>89</v>
      </c>
      <c r="AD45" s="20" t="str">
        <f>_xlfn.XLOOKUP(Table4[[#This Row],[combi]],AREA!E:E,AREA!G:G,"",0)</f>
        <v>Pick-up service of hypothetic package as defined in the Tech. Specs. and delivery to lots
2 and 3 contractors according to Scenario 1</v>
      </c>
      <c r="AE45" s="20" t="s">
        <v>125</v>
      </c>
      <c r="AF45" s="20" t="str">
        <f>_xlfn.XLOOKUP(Table4[[#This Row],[FromSite-UPS]],sites!D:D,sites!AB:AB,"",0)&amp;_xlfn.XLOOKUP(Table4[[#This Row],[ToLab]],labs!D:D,labs!Q:Q,"",0)</f>
        <v>EUEU</v>
      </c>
    </row>
    <row r="46" spans="2:32" ht="15.6" hidden="1" customHeight="1" x14ac:dyDescent="0.25">
      <c r="B46" s="13">
        <v>165</v>
      </c>
      <c r="C46" s="14" t="s">
        <v>53</v>
      </c>
      <c r="D46" s="13">
        <v>1</v>
      </c>
      <c r="E46" s="83">
        <v>45839</v>
      </c>
      <c r="F46" s="83">
        <v>45840</v>
      </c>
      <c r="G46" s="20">
        <f>IFERROR(WEEKNUM(Table4[[#This Row],[Confirmed Pick-up Date]]),"TBD")</f>
        <v>27</v>
      </c>
      <c r="H46" s="20" t="str">
        <f>IFERROR(TEXT(Table4[[#This Row],[Confirmed Pick-up Date]],"yy-mm"),"TBD")</f>
        <v>25-07</v>
      </c>
      <c r="I46" s="13" t="s">
        <v>877</v>
      </c>
      <c r="J46" s="20" t="str">
        <f>IFERROR(VLOOKUP(Table4[[#This Row],[FromSite-UPS]],Table1[[#All],[Company or Name]:[FromSite3]],15,FALSE),"")</f>
        <v>Prague National Institute</v>
      </c>
      <c r="K46" s="20" t="str">
        <f>IFERROR(VLOOKUP(Table4[[#This Row],[FromSite-UPS]],Table1[[#All],[Company or Name]:[FromSite3]],16,FALSE),"")</f>
        <v>Prague WWTP FLOW 1</v>
      </c>
      <c r="L46" s="20">
        <f>IFERROR(VLOOKUP(Table4[[#This Row],[FromSite-UPS]],Table1[[#All],[Company or Name]:[FromSite3]],14,FALSE),"")</f>
        <v>0</v>
      </c>
      <c r="M46" s="3" t="s">
        <v>42</v>
      </c>
      <c r="N46" s="13" t="s">
        <v>134</v>
      </c>
      <c r="O46" s="13" t="s">
        <v>828</v>
      </c>
      <c r="P46" s="13" t="s">
        <v>813</v>
      </c>
      <c r="Q46" s="20" t="s">
        <v>918</v>
      </c>
      <c r="R46" s="20" t="s">
        <v>841</v>
      </c>
      <c r="S46" s="13" t="s">
        <v>125</v>
      </c>
      <c r="T46" s="13" t="s">
        <v>856</v>
      </c>
      <c r="U46" s="13"/>
      <c r="V46" s="20"/>
      <c r="W46" s="20" t="str">
        <f>TEXT(Table4[[#This Row],[Confirmed Sampling Date]], "yyyy") &amp; "_" &amp; TEXT(Table4[[#This Row],[Confirmed Sampling Date]], "mm") &amp; "_" &amp; TEXT(Table4[[#This Row],[Confirmed Sampling Date]], "dd")</f>
        <v>2025_07_01</v>
      </c>
      <c r="X46" s="20" t="str">
        <f t="shared" si="0"/>
        <v>Prague</v>
      </c>
      <c r="Y46" s="20" t="str">
        <f>VLOOKUP(Table4[[#This Row],[FromSite-UPS]],Table1[[Company or Name]:[NOTES]],2,FALSE)</f>
        <v>Czech Republic</v>
      </c>
      <c r="Z46" s="20">
        <f>IFERROR(WEEKNUM(Table4[[#This Row],[Confirmed Sampling Date]] - 10, 21), "TBD")</f>
        <v>25</v>
      </c>
      <c r="AA46" s="20" t="str">
        <f>_xlfn.XLOOKUP(Table4[[#This Row],[FromSite-UPS]],sites!D:D,sites!W:W,"",0)</f>
        <v>Šrobárova 49/48, Státní zdravotní ústav, Praha, 100 00, Czech Republic</v>
      </c>
      <c r="AB46" s="20" t="str">
        <f>_xlfn.XLOOKUP(Table4[[#This Row],[ToLab]],labs!D:D,labs!P:P,"no adres",0)</f>
        <v>Via E. Fermi 2749, T.P. 120, Directorate D Sustainable Resources, Ispra, 21027, Italy</v>
      </c>
      <c r="AC46" s="20">
        <f>_xlfn.XLOOKUP(Table4[[#This Row],[combi]],AREA!E:E,AREA!F:F,"",0)</f>
        <v>89</v>
      </c>
      <c r="AD46" s="20" t="str">
        <f>_xlfn.XLOOKUP(Table4[[#This Row],[combi]],AREA!E:E,AREA!G:G,"",0)</f>
        <v>Pick-up service of hypothetic package as defined in the Tech. Specs. and delivery to lots
2 and 3 contractors according to Scenario 1</v>
      </c>
      <c r="AE46" s="20" t="s">
        <v>125</v>
      </c>
      <c r="AF46" s="20" t="str">
        <f>_xlfn.XLOOKUP(Table4[[#This Row],[FromSite-UPS]],sites!D:D,sites!AB:AB,"",0)&amp;_xlfn.XLOOKUP(Table4[[#This Row],[ToLab]],labs!D:D,labs!Q:Q,"",0)</f>
        <v>EUEU</v>
      </c>
    </row>
    <row r="47" spans="2:32" ht="15.6" hidden="1" customHeight="1" x14ac:dyDescent="0.25">
      <c r="B47" s="13">
        <v>166</v>
      </c>
      <c r="C47" s="14" t="s">
        <v>53</v>
      </c>
      <c r="D47" s="13">
        <v>1</v>
      </c>
      <c r="E47" s="83">
        <v>45839</v>
      </c>
      <c r="F47" s="83">
        <v>45840</v>
      </c>
      <c r="G47" s="20">
        <f>IFERROR(WEEKNUM(Table4[[#This Row],[Confirmed Pick-up Date]]),"TBD")</f>
        <v>27</v>
      </c>
      <c r="H47" s="20" t="str">
        <f>IFERROR(TEXT(Table4[[#This Row],[Confirmed Pick-up Date]],"yy-mm"),"TBD")</f>
        <v>25-07</v>
      </c>
      <c r="I47" s="13" t="s">
        <v>877</v>
      </c>
      <c r="J47" s="20" t="str">
        <f>IFERROR(VLOOKUP(Table4[[#This Row],[FromSite-UPS]],Table1[[#All],[Company or Name]:[FromSite3]],15,FALSE),"")</f>
        <v>Prague National Institute</v>
      </c>
      <c r="K47" s="20" t="str">
        <f>IFERROR(VLOOKUP(Table4[[#This Row],[FromSite-UPS]],Table1[[#All],[Company or Name]:[FromSite3]],16,FALSE),"")</f>
        <v>Prague WWTP FLOW 1</v>
      </c>
      <c r="L47" s="20">
        <f>IFERROR(VLOOKUP(Table4[[#This Row],[FromSite-UPS]],Table1[[#All],[Company or Name]:[FromSite3]],14,FALSE),"")</f>
        <v>0</v>
      </c>
      <c r="M47" s="3" t="s">
        <v>42</v>
      </c>
      <c r="N47" s="13" t="s">
        <v>134</v>
      </c>
      <c r="O47" s="13" t="s">
        <v>829</v>
      </c>
      <c r="P47" s="13" t="s">
        <v>813</v>
      </c>
      <c r="Q47" s="20" t="s">
        <v>918</v>
      </c>
      <c r="R47" s="20" t="s">
        <v>839</v>
      </c>
      <c r="S47" s="13" t="s">
        <v>125</v>
      </c>
      <c r="T47" s="13" t="s">
        <v>856</v>
      </c>
      <c r="U47" s="13"/>
      <c r="V47" s="20"/>
      <c r="W47" s="20" t="str">
        <f>TEXT(Table4[[#This Row],[Confirmed Sampling Date]], "yyyy") &amp; "_" &amp; TEXT(Table4[[#This Row],[Confirmed Sampling Date]], "mm") &amp; "_" &amp; TEXT(Table4[[#This Row],[Confirmed Sampling Date]], "dd")</f>
        <v>2025_07_01</v>
      </c>
      <c r="X47" s="20" t="str">
        <f t="shared" si="0"/>
        <v>Prague</v>
      </c>
      <c r="Y47" s="20" t="str">
        <f>VLOOKUP(Table4[[#This Row],[FromSite-UPS]],Table1[[Company or Name]:[NOTES]],2,FALSE)</f>
        <v>Czech Republic</v>
      </c>
      <c r="Z47" s="20">
        <f>IFERROR(WEEKNUM(Table4[[#This Row],[Confirmed Sampling Date]] - 10, 21), "TBD")</f>
        <v>25</v>
      </c>
      <c r="AA47" s="20" t="str">
        <f>_xlfn.XLOOKUP(Table4[[#This Row],[FromSite-UPS]],sites!D:D,sites!W:W,"",0)</f>
        <v>Šrobárova 49/48, Státní zdravotní ústav, Praha, 100 00, Czech Republic</v>
      </c>
      <c r="AB47" s="20" t="str">
        <f>_xlfn.XLOOKUP(Table4[[#This Row],[ToLab]],labs!D:D,labs!P:P,"no adres",0)</f>
        <v>Via E. Fermi 2749, T.P. 120, Directorate D Sustainable Resources, Ispra, 21027, Italy</v>
      </c>
      <c r="AC47" s="20">
        <f>_xlfn.XLOOKUP(Table4[[#This Row],[combi]],AREA!E:E,AREA!F:F,"",0)</f>
        <v>89</v>
      </c>
      <c r="AD47" s="20" t="str">
        <f>_xlfn.XLOOKUP(Table4[[#This Row],[combi]],AREA!E:E,AREA!G:G,"",0)</f>
        <v>Pick-up service of hypothetic package as defined in the Tech. Specs. and delivery to lots
2 and 3 contractors according to Scenario 1</v>
      </c>
      <c r="AE47" s="20" t="s">
        <v>125</v>
      </c>
      <c r="AF47" s="20" t="str">
        <f>_xlfn.XLOOKUP(Table4[[#This Row],[FromSite-UPS]],sites!D:D,sites!AB:AB,"",0)&amp;_xlfn.XLOOKUP(Table4[[#This Row],[ToLab]],labs!D:D,labs!Q:Q,"",0)</f>
        <v>EUEU</v>
      </c>
    </row>
    <row r="48" spans="2:32" ht="15.6" hidden="1" customHeight="1" x14ac:dyDescent="0.25">
      <c r="B48" s="13">
        <v>167</v>
      </c>
      <c r="C48" s="14" t="s">
        <v>53</v>
      </c>
      <c r="D48" s="13">
        <v>1</v>
      </c>
      <c r="E48" s="83">
        <v>45839</v>
      </c>
      <c r="F48" s="83">
        <v>45840</v>
      </c>
      <c r="G48" s="20">
        <f>IFERROR(WEEKNUM(Table4[[#This Row],[Confirmed Pick-up Date]]),"TBD")</f>
        <v>27</v>
      </c>
      <c r="H48" s="20" t="str">
        <f>IFERROR(TEXT(Table4[[#This Row],[Confirmed Pick-up Date]],"yy-mm"),"TBD")</f>
        <v>25-07</v>
      </c>
      <c r="I48" s="13" t="s">
        <v>877</v>
      </c>
      <c r="J48" s="20" t="str">
        <f>IFERROR(VLOOKUP(Table4[[#This Row],[FromSite-UPS]],Table1[[#All],[Company or Name]:[FromSite3]],15,FALSE),"")</f>
        <v>Prague National Institute</v>
      </c>
      <c r="K48" s="20" t="str">
        <f>IFERROR(VLOOKUP(Table4[[#This Row],[FromSite-UPS]],Table1[[#All],[Company or Name]:[FromSite3]],16,FALSE),"")</f>
        <v>Prague WWTP FLOW 1</v>
      </c>
      <c r="L48" s="20">
        <f>IFERROR(VLOOKUP(Table4[[#This Row],[FromSite-UPS]],Table1[[#All],[Company or Name]:[FromSite3]],14,FALSE),"")</f>
        <v>0</v>
      </c>
      <c r="M48" s="3" t="s">
        <v>42</v>
      </c>
      <c r="N48" s="13" t="s">
        <v>134</v>
      </c>
      <c r="O48" s="13" t="s">
        <v>830</v>
      </c>
      <c r="P48" s="13" t="s">
        <v>813</v>
      </c>
      <c r="Q48" s="20" t="s">
        <v>918</v>
      </c>
      <c r="R48" s="20" t="s">
        <v>838</v>
      </c>
      <c r="S48" s="13" t="s">
        <v>125</v>
      </c>
      <c r="T48" s="13" t="s">
        <v>856</v>
      </c>
      <c r="U48" s="13"/>
      <c r="V48" s="20"/>
      <c r="W48" s="20" t="str">
        <f>TEXT(Table4[[#This Row],[Confirmed Sampling Date]], "yyyy") &amp; "_" &amp; TEXT(Table4[[#This Row],[Confirmed Sampling Date]], "mm") &amp; "_" &amp; TEXT(Table4[[#This Row],[Confirmed Sampling Date]], "dd")</f>
        <v>2025_07_01</v>
      </c>
      <c r="X48" s="20" t="str">
        <f t="shared" si="0"/>
        <v>Prague</v>
      </c>
      <c r="Y48" s="20" t="str">
        <f>VLOOKUP(Table4[[#This Row],[FromSite-UPS]],Table1[[Company or Name]:[NOTES]],2,FALSE)</f>
        <v>Czech Republic</v>
      </c>
      <c r="Z48" s="20">
        <f>IFERROR(WEEKNUM(Table4[[#This Row],[Confirmed Sampling Date]] - 10, 21), "TBD")</f>
        <v>25</v>
      </c>
      <c r="AA48" s="20" t="str">
        <f>_xlfn.XLOOKUP(Table4[[#This Row],[FromSite-UPS]],sites!D:D,sites!W:W,"",0)</f>
        <v>Šrobárova 49/48, Státní zdravotní ústav, Praha, 100 00, Czech Republic</v>
      </c>
      <c r="AB48" s="20" t="str">
        <f>_xlfn.XLOOKUP(Table4[[#This Row],[ToLab]],labs!D:D,labs!P:P,"no adres",0)</f>
        <v>Via E. Fermi 2749, T.P. 120, Directorate D Sustainable Resources, Ispra, 21027, Italy</v>
      </c>
      <c r="AC48" s="20">
        <f>_xlfn.XLOOKUP(Table4[[#This Row],[combi]],AREA!E:E,AREA!F:F,"",0)</f>
        <v>89</v>
      </c>
      <c r="AD48" s="20" t="str">
        <f>_xlfn.XLOOKUP(Table4[[#This Row],[combi]],AREA!E:E,AREA!G:G,"",0)</f>
        <v>Pick-up service of hypothetic package as defined in the Tech. Specs. and delivery to lots
2 and 3 contractors according to Scenario 1</v>
      </c>
      <c r="AE48" s="20" t="s">
        <v>125</v>
      </c>
      <c r="AF48" s="20" t="str">
        <f>_xlfn.XLOOKUP(Table4[[#This Row],[FromSite-UPS]],sites!D:D,sites!AB:AB,"",0)&amp;_xlfn.XLOOKUP(Table4[[#This Row],[ToLab]],labs!D:D,labs!Q:Q,"",0)</f>
        <v>EUEU</v>
      </c>
    </row>
    <row r="49" spans="2:32" ht="15.6" hidden="1" customHeight="1" x14ac:dyDescent="0.25">
      <c r="B49" s="13">
        <v>168</v>
      </c>
      <c r="C49" s="14" t="s">
        <v>53</v>
      </c>
      <c r="D49" s="13">
        <v>1</v>
      </c>
      <c r="E49" s="83">
        <v>45839</v>
      </c>
      <c r="F49" s="83">
        <v>45840</v>
      </c>
      <c r="G49" s="20">
        <f>IFERROR(WEEKNUM(Table4[[#This Row],[Confirmed Pick-up Date]]),"TBD")</f>
        <v>27</v>
      </c>
      <c r="H49" s="20" t="str">
        <f>IFERROR(TEXT(Table4[[#This Row],[Confirmed Pick-up Date]],"yy-mm"),"TBD")</f>
        <v>25-07</v>
      </c>
      <c r="I49" s="13" t="s">
        <v>877</v>
      </c>
      <c r="J49" s="20" t="str">
        <f>IFERROR(VLOOKUP(Table4[[#This Row],[FromSite-UPS]],Table1[[#All],[Company or Name]:[FromSite3]],15,FALSE),"")</f>
        <v>Prague National Institute</v>
      </c>
      <c r="K49" s="20" t="str">
        <f>IFERROR(VLOOKUP(Table4[[#This Row],[FromSite-UPS]],Table1[[#All],[Company or Name]:[FromSite3]],16,FALSE),"")</f>
        <v>Prague WWTP FLOW 1</v>
      </c>
      <c r="L49" s="20">
        <f>IFERROR(VLOOKUP(Table4[[#This Row],[FromSite-UPS]],Table1[[#All],[Company or Name]:[FromSite3]],14,FALSE),"")</f>
        <v>0</v>
      </c>
      <c r="M49" s="3" t="s">
        <v>42</v>
      </c>
      <c r="N49" s="13" t="s">
        <v>134</v>
      </c>
      <c r="O49" s="13" t="s">
        <v>831</v>
      </c>
      <c r="P49" s="13" t="s">
        <v>813</v>
      </c>
      <c r="Q49" s="20" t="s">
        <v>918</v>
      </c>
      <c r="R49" s="20" t="s">
        <v>840</v>
      </c>
      <c r="S49" s="13" t="s">
        <v>125</v>
      </c>
      <c r="T49" s="13" t="s">
        <v>856</v>
      </c>
      <c r="U49" s="13"/>
      <c r="V49" s="20"/>
      <c r="W49" s="20" t="str">
        <f>TEXT(Table4[[#This Row],[Confirmed Sampling Date]], "yyyy") &amp; "_" &amp; TEXT(Table4[[#This Row],[Confirmed Sampling Date]], "mm") &amp; "_" &amp; TEXT(Table4[[#This Row],[Confirmed Sampling Date]], "dd")</f>
        <v>2025_07_01</v>
      </c>
      <c r="X49" s="20" t="str">
        <f t="shared" si="0"/>
        <v>Prague</v>
      </c>
      <c r="Y49" s="20" t="str">
        <f>VLOOKUP(Table4[[#This Row],[FromSite-UPS]],Table1[[Company or Name]:[NOTES]],2,FALSE)</f>
        <v>Czech Republic</v>
      </c>
      <c r="Z49" s="20">
        <f>IFERROR(WEEKNUM(Table4[[#This Row],[Confirmed Sampling Date]] - 10, 21), "TBD")</f>
        <v>25</v>
      </c>
      <c r="AA49" s="20" t="str">
        <f>_xlfn.XLOOKUP(Table4[[#This Row],[FromSite-UPS]],sites!D:D,sites!W:W,"",0)</f>
        <v>Šrobárova 49/48, Státní zdravotní ústav, Praha, 100 00, Czech Republic</v>
      </c>
      <c r="AB49" s="20" t="str">
        <f>_xlfn.XLOOKUP(Table4[[#This Row],[ToLab]],labs!D:D,labs!P:P,"no adres",0)</f>
        <v>Via E. Fermi 2749, T.P. 120, Directorate D Sustainable Resources, Ispra, 21027, Italy</v>
      </c>
      <c r="AC49" s="20">
        <f>_xlfn.XLOOKUP(Table4[[#This Row],[combi]],AREA!E:E,AREA!F:F,"",0)</f>
        <v>89</v>
      </c>
      <c r="AD49" s="20" t="str">
        <f>_xlfn.XLOOKUP(Table4[[#This Row],[combi]],AREA!E:E,AREA!G:G,"",0)</f>
        <v>Pick-up service of hypothetic package as defined in the Tech. Specs. and delivery to lots
2 and 3 contractors according to Scenario 1</v>
      </c>
      <c r="AE49" s="20" t="s">
        <v>125</v>
      </c>
      <c r="AF49" s="20" t="str">
        <f>_xlfn.XLOOKUP(Table4[[#This Row],[FromSite-UPS]],sites!D:D,sites!AB:AB,"",0)&amp;_xlfn.XLOOKUP(Table4[[#This Row],[ToLab]],labs!D:D,labs!Q:Q,"",0)</f>
        <v>EUEU</v>
      </c>
    </row>
    <row r="50" spans="2:32" ht="15.6" hidden="1" customHeight="1" x14ac:dyDescent="0.25">
      <c r="B50" s="13">
        <v>214</v>
      </c>
      <c r="C50" s="14" t="s">
        <v>53</v>
      </c>
      <c r="D50" s="13">
        <v>1</v>
      </c>
      <c r="E50" s="83">
        <v>45839</v>
      </c>
      <c r="F50" s="83">
        <v>45840</v>
      </c>
      <c r="G50" s="20">
        <f>IFERROR(WEEKNUM(Table4[[#This Row],[Confirmed Pick-up Date]]),"TBD")</f>
        <v>27</v>
      </c>
      <c r="H50" s="20" t="str">
        <f>IFERROR(TEXT(Table4[[#This Row],[Confirmed Pick-up Date]],"yy-mm"),"TBD")</f>
        <v>25-07</v>
      </c>
      <c r="I50" s="13" t="s">
        <v>779</v>
      </c>
      <c r="J50" s="20" t="str">
        <f>IFERROR(VLOOKUP(Table4[[#This Row],[FromSite-UPS]],Table1[[#All],[Company or Name]:[FromSite3]],15,FALSE),"")</f>
        <v>Larnaca WWTP</v>
      </c>
      <c r="K50" s="20" t="str">
        <f>IFERROR(VLOOKUP(Table4[[#This Row],[FromSite-UPS]],Table1[[#All],[Company or Name]:[FromSite3]],16,FALSE),"")</f>
        <v>Larnaca Airport</v>
      </c>
      <c r="L50" s="20">
        <f>IFERROR(VLOOKUP(Table4[[#This Row],[FromSite-UPS]],Table1[[#All],[Company or Name]:[FromSite3]],14,FALSE),"")</f>
        <v>0.54166666666666663</v>
      </c>
      <c r="M50" s="3" t="s">
        <v>42</v>
      </c>
      <c r="N50" s="13" t="s">
        <v>134</v>
      </c>
      <c r="O50" s="13" t="s">
        <v>825</v>
      </c>
      <c r="P50" s="13" t="s">
        <v>949</v>
      </c>
      <c r="Q50" s="20" t="s">
        <v>891</v>
      </c>
      <c r="R50" s="20" t="s">
        <v>836</v>
      </c>
      <c r="S50" s="13" t="s">
        <v>125</v>
      </c>
      <c r="T50" s="13" t="s">
        <v>856</v>
      </c>
      <c r="U50" s="13"/>
      <c r="V50" s="20" t="s">
        <v>948</v>
      </c>
      <c r="W50" s="20" t="str">
        <f>TEXT(Table4[[#This Row],[Confirmed Sampling Date]], "yyyy") &amp; "_" &amp; TEXT(Table4[[#This Row],[Confirmed Sampling Date]], "mm") &amp; "_" &amp; TEXT(Table4[[#This Row],[Confirmed Sampling Date]], "dd")</f>
        <v>2025_07_01</v>
      </c>
      <c r="X50" s="20" t="str">
        <f t="shared" si="0"/>
        <v>Larnaca</v>
      </c>
      <c r="Y50" s="20" t="str">
        <f>VLOOKUP(Table4[[#This Row],[FromSite-UPS]],Table1[[Company or Name]:[NOTES]],2,FALSE)</f>
        <v>Cyprus</v>
      </c>
      <c r="Z50" s="20">
        <f>IFERROR(WEEKNUM(Table4[[#This Row],[Confirmed Sampling Date]] - 10, 21), "TBD")</f>
        <v>25</v>
      </c>
      <c r="AA50" s="20" t="str">
        <f>_xlfn.XLOOKUP(Table4[[#This Row],[FromSite-UPS]],sites!D:D,sites!W:W,"",0)</f>
        <v>Adamantiou Korai street 12, Larnaca District Local Government Organization offices, Larnaca, 6010, Cyprus</v>
      </c>
      <c r="AB50" s="20" t="str">
        <f>_xlfn.XLOOKUP(Table4[[#This Row],[ToLab]],labs!D:D,labs!P:P,"no adres",0)</f>
        <v>Via E. Fermi 2749, T.P. 120, Directorate D Sustainable Resources, Ispra, 21027, Italy</v>
      </c>
      <c r="AC50" s="20">
        <f>_xlfn.XLOOKUP(Table4[[#This Row],[combi]],AREA!E:E,AREA!F:F,"",0)</f>
        <v>89</v>
      </c>
      <c r="AD50" s="20" t="str">
        <f>_xlfn.XLOOKUP(Table4[[#This Row],[combi]],AREA!E:E,AREA!G:G,"",0)</f>
        <v>Pick-up service of hypothetic package as defined in the Tech. Specs. and delivery to lots
2 and 3 contractors according to Scenario 1</v>
      </c>
      <c r="AE50" s="20" t="s">
        <v>125</v>
      </c>
      <c r="AF50" s="20" t="str">
        <f>_xlfn.XLOOKUP(Table4[[#This Row],[FromSite-UPS]],sites!D:D,sites!AB:AB,"",0)&amp;_xlfn.XLOOKUP(Table4[[#This Row],[ToLab]],labs!D:D,labs!Q:Q,"",0)</f>
        <v>EUEU</v>
      </c>
    </row>
    <row r="51" spans="2:32" ht="15.6" hidden="1" customHeight="1" x14ac:dyDescent="0.25">
      <c r="B51" s="13">
        <v>227</v>
      </c>
      <c r="C51" s="14" t="s">
        <v>53</v>
      </c>
      <c r="D51" s="13">
        <v>1</v>
      </c>
      <c r="E51" s="83">
        <v>45839</v>
      </c>
      <c r="F51" s="83">
        <v>45840</v>
      </c>
      <c r="G51" s="20">
        <f>IFERROR(WEEKNUM(Table4[[#This Row],[Confirmed Pick-up Date]]),"TBD")</f>
        <v>27</v>
      </c>
      <c r="H51" s="20" t="str">
        <f>IFERROR(TEXT(Table4[[#This Row],[Confirmed Pick-up Date]],"yy-mm"),"TBD")</f>
        <v>25-07</v>
      </c>
      <c r="I51" s="13" t="s">
        <v>779</v>
      </c>
      <c r="J51" s="20" t="str">
        <f>IFERROR(VLOOKUP(Table4[[#This Row],[FromSite-UPS]],Table1[[#All],[Company or Name]:[FromSite3]],15,FALSE),"")</f>
        <v>Larnaca WWTP</v>
      </c>
      <c r="K51" s="20" t="str">
        <f>IFERROR(VLOOKUP(Table4[[#This Row],[FromSite-UPS]],Table1[[#All],[Company or Name]:[FromSite3]],16,FALSE),"")</f>
        <v>Larnaca Airport</v>
      </c>
      <c r="L51" s="20">
        <f>IFERROR(VLOOKUP(Table4[[#This Row],[FromSite-UPS]],Table1[[#All],[Company or Name]:[FromSite3]],14,FALSE),"")</f>
        <v>0.54166666666666663</v>
      </c>
      <c r="M51" s="3" t="s">
        <v>42</v>
      </c>
      <c r="N51" s="13" t="s">
        <v>134</v>
      </c>
      <c r="O51" s="13" t="s">
        <v>826</v>
      </c>
      <c r="P51" s="13" t="s">
        <v>949</v>
      </c>
      <c r="Q51" s="20" t="s">
        <v>891</v>
      </c>
      <c r="R51" s="20" t="s">
        <v>837</v>
      </c>
      <c r="S51" s="13" t="s">
        <v>125</v>
      </c>
      <c r="T51" s="13" t="s">
        <v>856</v>
      </c>
      <c r="U51" s="13"/>
      <c r="V51" s="20" t="s">
        <v>948</v>
      </c>
      <c r="W51" s="20" t="str">
        <f>TEXT(Table4[[#This Row],[Confirmed Sampling Date]], "yyyy") &amp; "_" &amp; TEXT(Table4[[#This Row],[Confirmed Sampling Date]], "mm") &amp; "_" &amp; TEXT(Table4[[#This Row],[Confirmed Sampling Date]], "dd")</f>
        <v>2025_07_01</v>
      </c>
      <c r="X51" s="20" t="str">
        <f t="shared" si="0"/>
        <v>Larnaca</v>
      </c>
      <c r="Y51" s="20" t="str">
        <f>VLOOKUP(Table4[[#This Row],[FromSite-UPS]],Table1[[Company or Name]:[NOTES]],2,FALSE)</f>
        <v>Cyprus</v>
      </c>
      <c r="Z51" s="20">
        <f>IFERROR(WEEKNUM(Table4[[#This Row],[Confirmed Sampling Date]] - 10, 21), "TBD")</f>
        <v>25</v>
      </c>
      <c r="AA51" s="20" t="str">
        <f>_xlfn.XLOOKUP(Table4[[#This Row],[FromSite-UPS]],sites!D:D,sites!W:W,"",0)</f>
        <v>Adamantiou Korai street 12, Larnaca District Local Government Organization offices, Larnaca, 6010, Cyprus</v>
      </c>
      <c r="AB51" s="20" t="str">
        <f>_xlfn.XLOOKUP(Table4[[#This Row],[ToLab]],labs!D:D,labs!P:P,"no adres",0)</f>
        <v>Via E. Fermi 2749, T.P. 120, Directorate D Sustainable Resources, Ispra, 21027, Italy</v>
      </c>
      <c r="AC51" s="20">
        <f>_xlfn.XLOOKUP(Table4[[#This Row],[combi]],AREA!E:E,AREA!F:F,"",0)</f>
        <v>89</v>
      </c>
      <c r="AD51" s="20" t="str">
        <f>_xlfn.XLOOKUP(Table4[[#This Row],[combi]],AREA!E:E,AREA!G:G,"",0)</f>
        <v>Pick-up service of hypothetic package as defined in the Tech. Specs. and delivery to lots
2 and 3 contractors according to Scenario 1</v>
      </c>
      <c r="AE51" s="20" t="s">
        <v>125</v>
      </c>
      <c r="AF51" s="20" t="str">
        <f>_xlfn.XLOOKUP(Table4[[#This Row],[FromSite-UPS]],sites!D:D,sites!AB:AB,"",0)&amp;_xlfn.XLOOKUP(Table4[[#This Row],[ToLab]],labs!D:D,labs!Q:Q,"",0)</f>
        <v>EUEU</v>
      </c>
    </row>
    <row r="52" spans="2:32" ht="15.6" hidden="1" customHeight="1" x14ac:dyDescent="0.25">
      <c r="B52" s="13">
        <v>537</v>
      </c>
      <c r="C52" s="14" t="s">
        <v>53</v>
      </c>
      <c r="D52" s="13">
        <v>1</v>
      </c>
      <c r="E52" s="83">
        <v>45840</v>
      </c>
      <c r="F52" s="83">
        <v>45840</v>
      </c>
      <c r="G52" s="20">
        <f>IFERROR(WEEKNUM(Table4[[#This Row],[Confirmed Pick-up Date]]),"TBD")</f>
        <v>27</v>
      </c>
      <c r="H52" s="20" t="str">
        <f>IFERROR(TEXT(Table4[[#This Row],[Confirmed Pick-up Date]],"yy-mm"),"TBD")</f>
        <v>25-07</v>
      </c>
      <c r="I52" s="13" t="s">
        <v>680</v>
      </c>
      <c r="J52" s="20" t="str">
        <f>IFERROR(VLOOKUP(Table4[[#This Row],[FromSite-UPS]],Table1[[#All],[Company or Name]:[FromSite3]],15,FALSE),"")</f>
        <v>Rome WWTP</v>
      </c>
      <c r="K52" s="20" t="str">
        <f>IFERROR(VLOOKUP(Table4[[#This Row],[FromSite-UPS]],Table1[[#All],[Company or Name]:[FromSite3]],16,FALSE),"")</f>
        <v>-</v>
      </c>
      <c r="L52" s="20">
        <f>IFERROR(VLOOKUP(Table4[[#This Row],[FromSite-UPS]],Table1[[#All],[Company or Name]:[FromSite3]],14,FALSE),"")</f>
        <v>0.70833333333333337</v>
      </c>
      <c r="M52" s="3" t="s">
        <v>42</v>
      </c>
      <c r="N52" s="20" t="s">
        <v>134</v>
      </c>
      <c r="O52" s="20" t="s">
        <v>1239</v>
      </c>
      <c r="P52" s="20"/>
      <c r="Q52" s="20"/>
      <c r="R52" s="20" t="s">
        <v>876</v>
      </c>
      <c r="S52" s="13" t="s">
        <v>125</v>
      </c>
      <c r="T52" s="13" t="s">
        <v>856</v>
      </c>
      <c r="U52" s="13"/>
      <c r="V52" s="68" t="s">
        <v>1240</v>
      </c>
      <c r="W52" s="20" t="str">
        <f>TEXT(Table4[[#This Row],[Confirmed Sampling Date]], "yyyy") &amp; "_" &amp; TEXT(Table4[[#This Row],[Confirmed Sampling Date]], "mm") &amp; "_" &amp; TEXT(Table4[[#This Row],[Confirmed Sampling Date]], "dd")</f>
        <v>2025_07_02</v>
      </c>
      <c r="X52" s="20" t="str">
        <f t="shared" si="0"/>
        <v>Rome</v>
      </c>
      <c r="Y52" s="20" t="str">
        <f>VLOOKUP(Table4[[#This Row],[FromSite-UPS]],Table1[[Company or Name]:[NOTES]],2,FALSE)</f>
        <v>Italy</v>
      </c>
      <c r="Z52" s="20">
        <f>IFERROR(WEEKNUM(Table4[[#This Row],[Confirmed Sampling Date]] - 10, 21), "TBD")</f>
        <v>25</v>
      </c>
      <c r="AA52" s="20" t="str">
        <f>_xlfn.XLOOKUP(Table4[[#This Row],[FromSite-UPS]],sites!D:D,sites!W:W,"",0)</f>
        <v>Via dell'Equitazione 10, Rome, 00144, Italy</v>
      </c>
      <c r="AB52" s="20" t="str">
        <f>_xlfn.XLOOKUP(Table4[[#This Row],[ToLab]],labs!D:D,labs!P:P,"no adres",0)</f>
        <v>Via E. Fermi 2749, T.P. 120, Directorate D Sustainable Resources, Ispra, 21027, Italy</v>
      </c>
      <c r="AC52" s="20">
        <f>_xlfn.XLOOKUP(Table4[[#This Row],[combi]],AREA!E:E,AREA!F:F,"",0)</f>
        <v>89</v>
      </c>
      <c r="AD52" s="20" t="str">
        <f>_xlfn.XLOOKUP(Table4[[#This Row],[combi]],AREA!E:E,AREA!G:G,"",0)</f>
        <v>Pick-up service of hypothetic package as defined in the Tech. Specs. and delivery to lots
2 and 3 contractors according to Scenario 1</v>
      </c>
      <c r="AE52" s="20" t="s">
        <v>125</v>
      </c>
      <c r="AF52" s="20" t="str">
        <f>_xlfn.XLOOKUP(Table4[[#This Row],[FromSite-UPS]],sites!D:D,sites!AB:AB,"",0)&amp;_xlfn.XLOOKUP(Table4[[#This Row],[ToLab]],labs!D:D,labs!Q:Q,"",0)</f>
        <v>EUEU</v>
      </c>
    </row>
    <row r="53" spans="2:32" ht="15.6" hidden="1" customHeight="1" x14ac:dyDescent="0.25">
      <c r="B53" s="13">
        <v>10</v>
      </c>
      <c r="C53" s="14" t="s">
        <v>53</v>
      </c>
      <c r="D53" s="13">
        <v>1</v>
      </c>
      <c r="E53" s="34">
        <v>45851</v>
      </c>
      <c r="F53" s="34">
        <v>45852</v>
      </c>
      <c r="G53" s="13">
        <f>IFERROR(WEEKNUM(Table4[[#This Row],[Confirmed Pick-up Date]]),"TBD")</f>
        <v>29</v>
      </c>
      <c r="H53" s="13" t="str">
        <f>IFERROR(TEXT(Table4[[#This Row],[Confirmed Pick-up Date]],"yy-mm"),"TBD")</f>
        <v>25-07</v>
      </c>
      <c r="I53" s="13" t="s">
        <v>13</v>
      </c>
      <c r="J53" s="13" t="str">
        <f>IFERROR(VLOOKUP(Table4[[#This Row],[FromSite-UPS]],Table1[[#All],[Company or Name]:[FromSite3]],15,FALSE),"")</f>
        <v>Berlin (Schoenefeld) WWTP</v>
      </c>
      <c r="K53" s="13" t="str">
        <f>IFERROR(VLOOKUP(Table4[[#This Row],[FromSite-UPS]],Table1[[#All],[Company or Name]:[FromSite3]],16,FALSE),"")</f>
        <v>Berlin Airport</v>
      </c>
      <c r="L53" s="13">
        <f>IFERROR(VLOOKUP(Table4[[#This Row],[FromSite-UPS]],Table1[[#All],[Company or Name]:[FromSite3]],14,FALSE),"")</f>
        <v>0.58333333333333337</v>
      </c>
      <c r="M53" s="13" t="s">
        <v>42</v>
      </c>
      <c r="N53" s="20" t="s">
        <v>884</v>
      </c>
      <c r="O53" s="13" t="s">
        <v>885</v>
      </c>
      <c r="P53" s="13" t="s">
        <v>813</v>
      </c>
      <c r="Q53" s="20" t="s">
        <v>956</v>
      </c>
      <c r="R53" s="108" t="s">
        <v>938</v>
      </c>
      <c r="S53" s="20" t="s">
        <v>125</v>
      </c>
      <c r="T53" s="20" t="s">
        <v>856</v>
      </c>
      <c r="U53" s="20"/>
      <c r="V53" s="20"/>
      <c r="W53" s="20" t="str">
        <f>TEXT(Table4[[#This Row],[Confirmed Sampling Date]], "yyyy") &amp; "_" &amp; TEXT(Table4[[#This Row],[Confirmed Sampling Date]], "mm") &amp; "_" &amp; TEXT(Table4[[#This Row],[Confirmed Sampling Date]], "dd")</f>
        <v>2025_07_13</v>
      </c>
      <c r="X53" s="20" t="str">
        <f t="shared" si="0"/>
        <v>Berlin</v>
      </c>
      <c r="Y53" s="20" t="str">
        <f>VLOOKUP(Table4[[#This Row],[FromSite-UPS]],Table1[[Company or Name]:[NOTES]],2,FALSE)</f>
        <v>Germany</v>
      </c>
      <c r="Z53" s="20">
        <f>IFERROR(WEEKNUM(Table4[[#This Row],[Confirmed Sampling Date]] - 10, 21), "TBD")</f>
        <v>27</v>
      </c>
      <c r="AA53" s="20" t="str">
        <f>_xlfn.XLOOKUP(Table4[[#This Row],[FromSite-UPS]],sites!D:D,sites!W:W,"",0)</f>
        <v>Strasse am Klarwerk 4, Klarwerk Wassmannsdorf, Schoenefeld, 12529, Germany</v>
      </c>
      <c r="AB53" s="20" t="str">
        <f>_xlfn.XLOOKUP(Table4[[#This Row],[ToLab]],labs!D:D,labs!P:P,"no adres",0)</f>
        <v>Via E. Fermi 2749, T.P. 120, Directorate D Sustainable Resources, Ispra, 21027, Italy</v>
      </c>
      <c r="AC53" s="20">
        <f>_xlfn.XLOOKUP(Table4[[#This Row],[combi]],AREA!E:E,AREA!F:F,"",0)</f>
        <v>89</v>
      </c>
      <c r="AD53" s="20" t="str">
        <f>_xlfn.XLOOKUP(Table4[[#This Row],[combi]],AREA!E:E,AREA!G:G,"",0)</f>
        <v>Pick-up service of hypothetic package as defined in the Tech. Specs. and delivery to lots
2 and 3 contractors according to Scenario 1</v>
      </c>
      <c r="AE53" s="20" t="s">
        <v>125</v>
      </c>
      <c r="AF53" s="20" t="str">
        <f>_xlfn.XLOOKUP(Table4[[#This Row],[FromSite-UPS]],sites!D:D,sites!AB:AB,"",0)&amp;_xlfn.XLOOKUP(Table4[[#This Row],[ToLab]],labs!D:D,labs!Q:Q,"",0)</f>
        <v>EUEU</v>
      </c>
    </row>
    <row r="54" spans="2:32" ht="15.6" hidden="1" customHeight="1" x14ac:dyDescent="0.25">
      <c r="B54" s="13">
        <v>73</v>
      </c>
      <c r="C54" s="14" t="s">
        <v>53</v>
      </c>
      <c r="D54" s="13">
        <v>1</v>
      </c>
      <c r="E54" s="34">
        <v>45851</v>
      </c>
      <c r="F54" s="34">
        <v>45852</v>
      </c>
      <c r="G54" s="20">
        <f>IFERROR(WEEKNUM(Table4[[#This Row],[Confirmed Pick-up Date]]),"TBD")</f>
        <v>29</v>
      </c>
      <c r="H54" s="20" t="str">
        <f>IFERROR(TEXT(Table4[[#This Row],[Confirmed Pick-up Date]],"yy-mm"),"TBD")</f>
        <v>25-07</v>
      </c>
      <c r="I54" s="13" t="s">
        <v>13</v>
      </c>
      <c r="J54" s="20" t="str">
        <f>IFERROR(VLOOKUP(Table4[[#This Row],[FromSite-UPS]],Table1[[#All],[Company or Name]:[FromSite3]],15,FALSE),"")</f>
        <v>Berlin (Schoenefeld) WWTP</v>
      </c>
      <c r="K54" s="20" t="str">
        <f>IFERROR(VLOOKUP(Table4[[#This Row],[FromSite-UPS]],Table1[[#All],[Company or Name]:[FromSite3]],16,FALSE),"")</f>
        <v>Berlin Airport</v>
      </c>
      <c r="L54" s="20">
        <f>IFERROR(VLOOKUP(Table4[[#This Row],[FromSite-UPS]],Table1[[#All],[Company or Name]:[FromSite3]],14,FALSE),"")</f>
        <v>0.58333333333333337</v>
      </c>
      <c r="M54" s="13" t="s">
        <v>42</v>
      </c>
      <c r="N54" s="20" t="s">
        <v>884</v>
      </c>
      <c r="O54" s="13" t="s">
        <v>886</v>
      </c>
      <c r="P54" s="20" t="s">
        <v>813</v>
      </c>
      <c r="Q54" s="20" t="s">
        <v>956</v>
      </c>
      <c r="R54" s="20" t="s">
        <v>939</v>
      </c>
      <c r="S54" s="20" t="s">
        <v>125</v>
      </c>
      <c r="T54" s="20" t="s">
        <v>856</v>
      </c>
      <c r="U54" s="20"/>
      <c r="V54" s="20"/>
      <c r="W54" s="20" t="str">
        <f>TEXT(Table4[[#This Row],[Confirmed Sampling Date]], "yyyy") &amp; "_" &amp; TEXT(Table4[[#This Row],[Confirmed Sampling Date]], "mm") &amp; "_" &amp; TEXT(Table4[[#This Row],[Confirmed Sampling Date]], "dd")</f>
        <v>2025_07_13</v>
      </c>
      <c r="X54" s="20" t="str">
        <f t="shared" si="0"/>
        <v>Berlin</v>
      </c>
      <c r="Y54" s="20" t="str">
        <f>VLOOKUP(Table4[[#This Row],[FromSite-UPS]],Table1[[Company or Name]:[NOTES]],2,FALSE)</f>
        <v>Germany</v>
      </c>
      <c r="Z54" s="20">
        <f>IFERROR(WEEKNUM(Table4[[#This Row],[Confirmed Sampling Date]] - 10, 21), "TBD")</f>
        <v>27</v>
      </c>
      <c r="AA54" s="20" t="str">
        <f>_xlfn.XLOOKUP(Table4[[#This Row],[FromSite-UPS]],sites!D:D,sites!W:W,"",0)</f>
        <v>Strasse am Klarwerk 4, Klarwerk Wassmannsdorf, Schoenefeld, 12529, Germany</v>
      </c>
      <c r="AB54" s="20" t="str">
        <f>_xlfn.XLOOKUP(Table4[[#This Row],[ToLab]],labs!D:D,labs!P:P,"no adres",0)</f>
        <v>Via E. Fermi 2749, T.P. 120, Directorate D Sustainable Resources, Ispra, 21027, Italy</v>
      </c>
      <c r="AC54" s="20">
        <f>_xlfn.XLOOKUP(Table4[[#This Row],[combi]],AREA!E:E,AREA!F:F,"",0)</f>
        <v>89</v>
      </c>
      <c r="AD54" s="20" t="str">
        <f>_xlfn.XLOOKUP(Table4[[#This Row],[combi]],AREA!E:E,AREA!G:G,"",0)</f>
        <v>Pick-up service of hypothetic package as defined in the Tech. Specs. and delivery to lots
2 and 3 contractors according to Scenario 1</v>
      </c>
      <c r="AE54" s="20" t="s">
        <v>125</v>
      </c>
      <c r="AF54" s="20" t="str">
        <f>_xlfn.XLOOKUP(Table4[[#This Row],[FromSite-UPS]],sites!D:D,sites!AB:AB,"",0)&amp;_xlfn.XLOOKUP(Table4[[#This Row],[ToLab]],labs!D:D,labs!Q:Q,"",0)</f>
        <v>EUEU</v>
      </c>
    </row>
    <row r="55" spans="2:32" ht="15.6" hidden="1" customHeight="1" x14ac:dyDescent="0.25">
      <c r="B55" s="13">
        <v>51</v>
      </c>
      <c r="C55" s="14" t="s">
        <v>53</v>
      </c>
      <c r="D55" s="13">
        <v>1</v>
      </c>
      <c r="E55" s="34">
        <v>45852</v>
      </c>
      <c r="F55" s="34">
        <v>45853</v>
      </c>
      <c r="G55" s="20">
        <f>IFERROR(WEEKNUM(Table4[[#This Row],[Confirmed Pick-up Date]]),"TBD")</f>
        <v>29</v>
      </c>
      <c r="H55" s="20" t="str">
        <f>IFERROR(TEXT(Table4[[#This Row],[Confirmed Pick-up Date]],"yy-mm"),"TBD")</f>
        <v>25-07</v>
      </c>
      <c r="I55" s="13" t="s">
        <v>364</v>
      </c>
      <c r="J55" s="20" t="str">
        <f>IFERROR(VLOOKUP(Table4[[#This Row],[FromSite-UPS]],Table1[[#All],[Company or Name]:[FromSite3]],15,FALSE),"")</f>
        <v>Brussels WWTP</v>
      </c>
      <c r="K55" s="20" t="str">
        <f>IFERROR(VLOOKUP(Table4[[#This Row],[FromSite-UPS]],Table1[[#All],[Company or Name]:[FromSite3]],16,FALSE),"")</f>
        <v>Brussels Airport</v>
      </c>
      <c r="L55" s="20">
        <f>IFERROR(VLOOKUP(Table4[[#This Row],[FromSite-UPS]],Table1[[#All],[Company or Name]:[FromSite3]],14,FALSE),"")</f>
        <v>0.70833333333333337</v>
      </c>
      <c r="M55" s="13" t="s">
        <v>42</v>
      </c>
      <c r="N55" s="20" t="s">
        <v>134</v>
      </c>
      <c r="O55" s="13" t="s">
        <v>897</v>
      </c>
      <c r="P55" s="13" t="s">
        <v>813</v>
      </c>
      <c r="Q55" s="20" t="s">
        <v>957</v>
      </c>
      <c r="R55" s="20" t="s">
        <v>943</v>
      </c>
      <c r="S55" s="20" t="s">
        <v>125</v>
      </c>
      <c r="T55" s="20" t="s">
        <v>856</v>
      </c>
      <c r="U55" s="20"/>
      <c r="V55" s="20"/>
      <c r="W55" s="20" t="str">
        <f>TEXT(Table4[[#This Row],[Confirmed Sampling Date]], "yyyy") &amp; "_" &amp; TEXT(Table4[[#This Row],[Confirmed Sampling Date]], "mm") &amp; "_" &amp; TEXT(Table4[[#This Row],[Confirmed Sampling Date]], "dd")</f>
        <v>2025_07_14</v>
      </c>
      <c r="X55" s="20" t="str">
        <f t="shared" si="0"/>
        <v>Brussels</v>
      </c>
      <c r="Y55" s="20" t="str">
        <f>VLOOKUP(Table4[[#This Row],[FromSite-UPS]],Table1[[Company or Name]:[NOTES]],2,FALSE)</f>
        <v>Belgium</v>
      </c>
      <c r="Z55" s="20">
        <f>IFERROR(WEEKNUM(Table4[[#This Row],[Confirmed Sampling Date]] - 10, 21), "TBD")</f>
        <v>27</v>
      </c>
      <c r="AA55" s="20" t="str">
        <f>_xlfn.XLOOKUP(Table4[[#This Row],[FromSite-UPS]],sites!D:D,sites!W:W,"",0)</f>
        <v>Rue Juliette Wytsmanstraat 14, Brussels, 1050, Belgium</v>
      </c>
      <c r="AB55" s="20" t="str">
        <f>_xlfn.XLOOKUP(Table4[[#This Row],[ToLab]],labs!D:D,labs!P:P,"no adres",0)</f>
        <v>Via E. Fermi 2749, T.P. 120, Directorate D Sustainable Resources, Ispra, 21027, Italy</v>
      </c>
      <c r="AC55" s="20">
        <f>_xlfn.XLOOKUP(Table4[[#This Row],[combi]],AREA!E:E,AREA!F:F,"",0)</f>
        <v>89</v>
      </c>
      <c r="AD55" s="20" t="str">
        <f>_xlfn.XLOOKUP(Table4[[#This Row],[combi]],AREA!E:E,AREA!G:G,"",0)</f>
        <v>Pick-up service of hypothetic package as defined in the Tech. Specs. and delivery to lots
2 and 3 contractors according to Scenario 1</v>
      </c>
      <c r="AE55" s="20" t="s">
        <v>125</v>
      </c>
      <c r="AF55" s="20" t="str">
        <f>_xlfn.XLOOKUP(Table4[[#This Row],[FromSite-UPS]],sites!D:D,sites!AB:AB,"",0)&amp;_xlfn.XLOOKUP(Table4[[#This Row],[ToLab]],labs!D:D,labs!Q:Q,"",0)</f>
        <v>EUEU</v>
      </c>
    </row>
    <row r="56" spans="2:32" ht="15.6" hidden="1" customHeight="1" x14ac:dyDescent="0.25">
      <c r="B56" s="13">
        <v>114</v>
      </c>
      <c r="C56" s="14" t="s">
        <v>53</v>
      </c>
      <c r="D56" s="13">
        <v>1</v>
      </c>
      <c r="E56" s="34">
        <v>45852</v>
      </c>
      <c r="F56" s="34">
        <v>45853</v>
      </c>
      <c r="G56" s="20">
        <f>IFERROR(WEEKNUM(Table4[[#This Row],[Confirmed Pick-up Date]]),"TBD")</f>
        <v>29</v>
      </c>
      <c r="H56" s="20" t="str">
        <f>IFERROR(TEXT(Table4[[#This Row],[Confirmed Pick-up Date]],"yy-mm"),"TBD")</f>
        <v>25-07</v>
      </c>
      <c r="I56" s="13" t="s">
        <v>364</v>
      </c>
      <c r="J56" s="20" t="str">
        <f>IFERROR(VLOOKUP(Table4[[#This Row],[FromSite-UPS]],Table1[[#All],[Company or Name]:[FromSite3]],15,FALSE),"")</f>
        <v>Brussels WWTP</v>
      </c>
      <c r="K56" s="20" t="str">
        <f>IFERROR(VLOOKUP(Table4[[#This Row],[FromSite-UPS]],Table1[[#All],[Company or Name]:[FromSite3]],16,FALSE),"")</f>
        <v>Brussels Airport</v>
      </c>
      <c r="L56" s="20">
        <f>IFERROR(VLOOKUP(Table4[[#This Row],[FromSite-UPS]],Table1[[#All],[Company or Name]:[FromSite3]],14,FALSE),"")</f>
        <v>0.70833333333333337</v>
      </c>
      <c r="M56" s="13" t="s">
        <v>42</v>
      </c>
      <c r="N56" s="20" t="s">
        <v>134</v>
      </c>
      <c r="O56" s="13" t="s">
        <v>898</v>
      </c>
      <c r="P56" s="13" t="s">
        <v>813</v>
      </c>
      <c r="Q56" s="20" t="s">
        <v>957</v>
      </c>
      <c r="R56" s="20" t="s">
        <v>942</v>
      </c>
      <c r="S56" s="20" t="s">
        <v>125</v>
      </c>
      <c r="T56" s="20" t="s">
        <v>856</v>
      </c>
      <c r="U56" s="20"/>
      <c r="V56" s="20"/>
      <c r="W56" s="20" t="str">
        <f>TEXT(Table4[[#This Row],[Confirmed Sampling Date]], "yyyy") &amp; "_" &amp; TEXT(Table4[[#This Row],[Confirmed Sampling Date]], "mm") &amp; "_" &amp; TEXT(Table4[[#This Row],[Confirmed Sampling Date]], "dd")</f>
        <v>2025_07_14</v>
      </c>
      <c r="X56" s="20" t="str">
        <f t="shared" si="0"/>
        <v>Brussels</v>
      </c>
      <c r="Y56" s="20" t="str">
        <f>VLOOKUP(Table4[[#This Row],[FromSite-UPS]],Table1[[Company or Name]:[NOTES]],2,FALSE)</f>
        <v>Belgium</v>
      </c>
      <c r="Z56" s="20">
        <f>IFERROR(WEEKNUM(Table4[[#This Row],[Confirmed Sampling Date]] - 10, 21), "TBD")</f>
        <v>27</v>
      </c>
      <c r="AA56" s="20" t="str">
        <f>_xlfn.XLOOKUP(Table4[[#This Row],[FromSite-UPS]],sites!D:D,sites!W:W,"",0)</f>
        <v>Rue Juliette Wytsmanstraat 14, Brussels, 1050, Belgium</v>
      </c>
      <c r="AB56" s="20" t="str">
        <f>_xlfn.XLOOKUP(Table4[[#This Row],[ToLab]],labs!D:D,labs!P:P,"no adres",0)</f>
        <v>Via E. Fermi 2749, T.P. 120, Directorate D Sustainable Resources, Ispra, 21027, Italy</v>
      </c>
      <c r="AC56" s="20">
        <f>_xlfn.XLOOKUP(Table4[[#This Row],[combi]],AREA!E:E,AREA!F:F,"",0)</f>
        <v>89</v>
      </c>
      <c r="AD56" s="20" t="str">
        <f>_xlfn.XLOOKUP(Table4[[#This Row],[combi]],AREA!E:E,AREA!G:G,"",0)</f>
        <v>Pick-up service of hypothetic package as defined in the Tech. Specs. and delivery to lots
2 and 3 contractors according to Scenario 1</v>
      </c>
      <c r="AE56" s="20" t="s">
        <v>125</v>
      </c>
      <c r="AF56" s="20" t="str">
        <f>_xlfn.XLOOKUP(Table4[[#This Row],[FromSite-UPS]],sites!D:D,sites!AB:AB,"",0)&amp;_xlfn.XLOOKUP(Table4[[#This Row],[ToLab]],labs!D:D,labs!Q:Q,"",0)</f>
        <v>EUEU</v>
      </c>
    </row>
    <row r="57" spans="2:32" ht="15.6" hidden="1" customHeight="1" x14ac:dyDescent="0.25">
      <c r="B57" s="13">
        <v>240</v>
      </c>
      <c r="C57" s="14" t="s">
        <v>53</v>
      </c>
      <c r="D57" s="13">
        <v>1</v>
      </c>
      <c r="E57" s="34">
        <v>45853</v>
      </c>
      <c r="F57" s="34">
        <v>45853</v>
      </c>
      <c r="G57" s="20">
        <f>IFERROR(WEEKNUM(Table4[[#This Row],[Confirmed Pick-up Date]]),"TBD")</f>
        <v>29</v>
      </c>
      <c r="H57" s="20" t="str">
        <f>IFERROR(TEXT(Table4[[#This Row],[Confirmed Pick-up Date]],"yy-mm"),"TBD")</f>
        <v>25-07</v>
      </c>
      <c r="I57" s="13" t="s">
        <v>863</v>
      </c>
      <c r="J57" s="20" t="str">
        <f>IFERROR(VLOOKUP(Table4[[#This Row],[FromSite-UPS]],Table1[[#All],[Company or Name]:[FromSite3]],15,FALSE),"")</f>
        <v>Dusseldorf WWTP 2101</v>
      </c>
      <c r="K57" s="20" t="str">
        <f>IFERROR(VLOOKUP(Table4[[#This Row],[FromSite-UPS]],Table1[[#All],[Company or Name]:[FromSite3]],16,FALSE),"")</f>
        <v>Dusseldorf WWTP 601</v>
      </c>
      <c r="L57" s="20">
        <f>IFERROR(VLOOKUP(Table4[[#This Row],[FromSite-UPS]],Table1[[#All],[Company or Name]:[FromSite3]],14,FALSE),"")</f>
        <v>0.625</v>
      </c>
      <c r="M57" s="13" t="s">
        <v>42</v>
      </c>
      <c r="N57" s="20" t="s">
        <v>134</v>
      </c>
      <c r="O57" s="20" t="s">
        <v>909</v>
      </c>
      <c r="P57" s="20" t="s">
        <v>813</v>
      </c>
      <c r="Q57" s="20" t="s">
        <v>963</v>
      </c>
      <c r="R57" s="20" t="s">
        <v>941</v>
      </c>
      <c r="S57" s="20" t="s">
        <v>125</v>
      </c>
      <c r="T57" s="20" t="s">
        <v>856</v>
      </c>
      <c r="U57" s="20"/>
      <c r="V57" s="20"/>
      <c r="W57" s="20" t="str">
        <f>TEXT(Table4[[#This Row],[Confirmed Sampling Date]], "yyyy") &amp; "_" &amp; TEXT(Table4[[#This Row],[Confirmed Sampling Date]], "mm") &amp; "_" &amp; TEXT(Table4[[#This Row],[Confirmed Sampling Date]], "dd")</f>
        <v>2025_07_15</v>
      </c>
      <c r="X57" s="20" t="str">
        <f t="shared" si="0"/>
        <v>Dusseldorf</v>
      </c>
      <c r="Y57" s="20" t="str">
        <f>VLOOKUP(Table4[[#This Row],[FromSite-UPS]],Table1[[Company or Name]:[NOTES]],2,FALSE)</f>
        <v>Germany</v>
      </c>
      <c r="Z57" s="20">
        <f>IFERROR(WEEKNUM(Table4[[#This Row],[Confirmed Sampling Date]] - 10, 21), "TBD")</f>
        <v>27</v>
      </c>
      <c r="AA57" s="20" t="str">
        <f>_xlfn.XLOOKUP(Table4[[#This Row],[FromSite-UPS]],sites!D:D,sites!W:W,"",0)</f>
        <v>Auf dem Draap 15, Chemisch-Biologische Laboratorien, Dusseldorf, 40221, Germany</v>
      </c>
      <c r="AB57" s="20" t="str">
        <f>_xlfn.XLOOKUP(Table4[[#This Row],[ToLab]],labs!D:D,labs!P:P,"no adres",0)</f>
        <v>Via E. Fermi 2749, T.P. 120, Directorate D Sustainable Resources, Ispra, 21027, Italy</v>
      </c>
      <c r="AC57" s="20">
        <f>_xlfn.XLOOKUP(Table4[[#This Row],[combi]],AREA!E:E,AREA!F:F,"",0)</f>
        <v>89</v>
      </c>
      <c r="AD57" s="20" t="str">
        <f>_xlfn.XLOOKUP(Table4[[#This Row],[combi]],AREA!E:E,AREA!G:G,"",0)</f>
        <v>Pick-up service of hypothetic package as defined in the Tech. Specs. and delivery to lots
2 and 3 contractors according to Scenario 1</v>
      </c>
      <c r="AE57" s="20" t="s">
        <v>125</v>
      </c>
      <c r="AF57" s="20" t="str">
        <f>_xlfn.XLOOKUP(Table4[[#This Row],[FromSite-UPS]],sites!D:D,sites!AB:AB,"",0)&amp;_xlfn.XLOOKUP(Table4[[#This Row],[ToLab]],labs!D:D,labs!Q:Q,"",0)</f>
        <v>EUEU</v>
      </c>
    </row>
    <row r="58" spans="2:32" ht="15.6" hidden="1" customHeight="1" x14ac:dyDescent="0.25">
      <c r="B58" s="13">
        <v>252</v>
      </c>
      <c r="C58" s="14" t="s">
        <v>53</v>
      </c>
      <c r="D58" s="13">
        <v>1</v>
      </c>
      <c r="E58" s="131">
        <v>45853</v>
      </c>
      <c r="F58" s="131">
        <v>45853</v>
      </c>
      <c r="G58" s="20">
        <f>IFERROR(WEEKNUM(Table4[[#This Row],[Confirmed Pick-up Date]]),"TBD")</f>
        <v>29</v>
      </c>
      <c r="H58" s="20" t="str">
        <f>IFERROR(TEXT(Table4[[#This Row],[Confirmed Pick-up Date]],"yy-mm"),"TBD")</f>
        <v>25-07</v>
      </c>
      <c r="I58" s="67" t="s">
        <v>863</v>
      </c>
      <c r="J58" s="20" t="str">
        <f>IFERROR(VLOOKUP(Table4[[#This Row],[FromSite-UPS]],Table1[[#All],[Company or Name]:[FromSite3]],15,FALSE),"")</f>
        <v>Dusseldorf WWTP 2101</v>
      </c>
      <c r="K58" s="20" t="str">
        <f>IFERROR(VLOOKUP(Table4[[#This Row],[FromSite-UPS]],Table1[[#All],[Company or Name]:[FromSite3]],16,FALSE),"")</f>
        <v>Dusseldorf WWTP 601</v>
      </c>
      <c r="L58" s="20">
        <f>IFERROR(VLOOKUP(Table4[[#This Row],[FromSite-UPS]],Table1[[#All],[Company or Name]:[FromSite3]],14,FALSE),"")</f>
        <v>0.625</v>
      </c>
      <c r="M58" s="43" t="s">
        <v>42</v>
      </c>
      <c r="N58" s="20" t="s">
        <v>134</v>
      </c>
      <c r="O58" s="20" t="s">
        <v>908</v>
      </c>
      <c r="P58" s="20" t="s">
        <v>813</v>
      </c>
      <c r="Q58" s="20" t="s">
        <v>963</v>
      </c>
      <c r="R58" s="20" t="s">
        <v>940</v>
      </c>
      <c r="S58" s="20" t="s">
        <v>125</v>
      </c>
      <c r="T58" s="20" t="s">
        <v>856</v>
      </c>
      <c r="U58" s="20"/>
      <c r="V58" s="20"/>
      <c r="W58" s="20" t="str">
        <f>TEXT(Table4[[#This Row],[Confirmed Sampling Date]], "yyyy") &amp; "_" &amp; TEXT(Table4[[#This Row],[Confirmed Sampling Date]], "mm") &amp; "_" &amp; TEXT(Table4[[#This Row],[Confirmed Sampling Date]], "dd")</f>
        <v>2025_07_15</v>
      </c>
      <c r="X58" s="20" t="str">
        <f t="shared" si="0"/>
        <v>Dusseldorf</v>
      </c>
      <c r="Y58" s="20" t="str">
        <f>VLOOKUP(Table4[[#This Row],[FromSite-UPS]],Table1[[Company or Name]:[NOTES]],2,FALSE)</f>
        <v>Germany</v>
      </c>
      <c r="Z58" s="20">
        <f>IFERROR(WEEKNUM(Table4[[#This Row],[Confirmed Sampling Date]] - 10, 21), "TBD")</f>
        <v>27</v>
      </c>
      <c r="AA58" s="20" t="str">
        <f>_xlfn.XLOOKUP(Table4[[#This Row],[FromSite-UPS]],sites!D:D,sites!W:W,"",0)</f>
        <v>Auf dem Draap 15, Chemisch-Biologische Laboratorien, Dusseldorf, 40221, Germany</v>
      </c>
      <c r="AB58" s="20" t="str">
        <f>_xlfn.XLOOKUP(Table4[[#This Row],[ToLab]],labs!D:D,labs!P:P,"no adres",0)</f>
        <v>Via E. Fermi 2749, T.P. 120, Directorate D Sustainable Resources, Ispra, 21027, Italy</v>
      </c>
      <c r="AC58" s="20">
        <f>_xlfn.XLOOKUP(Table4[[#This Row],[combi]],AREA!E:E,AREA!F:F,"",0)</f>
        <v>89</v>
      </c>
      <c r="AD58" s="20" t="str">
        <f>_xlfn.XLOOKUP(Table4[[#This Row],[combi]],AREA!E:E,AREA!G:G,"",0)</f>
        <v>Pick-up service of hypothetic package as defined in the Tech. Specs. and delivery to lots
2 and 3 contractors according to Scenario 1</v>
      </c>
      <c r="AE58" s="20" t="s">
        <v>125</v>
      </c>
      <c r="AF58" s="20" t="str">
        <f>_xlfn.XLOOKUP(Table4[[#This Row],[FromSite-UPS]],sites!D:D,sites!AB:AB,"",0)&amp;_xlfn.XLOOKUP(Table4[[#This Row],[ToLab]],labs!D:D,labs!Q:Q,"",0)</f>
        <v>EUEU</v>
      </c>
    </row>
    <row r="59" spans="2:32" ht="15.6" hidden="1" customHeight="1" x14ac:dyDescent="0.25">
      <c r="B59" s="13">
        <v>24</v>
      </c>
      <c r="C59" s="14" t="s">
        <v>53</v>
      </c>
      <c r="D59" s="13">
        <v>1</v>
      </c>
      <c r="E59" s="83">
        <v>45853</v>
      </c>
      <c r="F59" s="83">
        <v>45854</v>
      </c>
      <c r="G59" s="20">
        <f>IFERROR(WEEKNUM(Table4[[#This Row],[Confirmed Pick-up Date]]),"TBD")</f>
        <v>29</v>
      </c>
      <c r="H59" s="20" t="str">
        <f>IFERROR(TEXT(Table4[[#This Row],[Confirmed Pick-up Date]],"yy-mm"),"TBD")</f>
        <v>25-07</v>
      </c>
      <c r="I59" s="13" t="s">
        <v>19</v>
      </c>
      <c r="J59" s="13" t="str">
        <f>IFERROR(VLOOKUP(Table4[[#This Row],[FromSite-UPS]],Table1[[#All],[Company or Name]:[FromSite3]],15,FALSE),"")</f>
        <v>Munich WWTP</v>
      </c>
      <c r="K59" s="20" t="str">
        <f>IFERROR(VLOOKUP(Table4[[#This Row],[FromSite-UPS]],Table1[[#All],[Company or Name]:[FromSite3]],16,FALSE),"")</f>
        <v>Munich Airport</v>
      </c>
      <c r="L59" s="20">
        <f>IFERROR(VLOOKUP(Table4[[#This Row],[FromSite-UPS]],Table1[[#All],[Company or Name]:[FromSite3]],14,FALSE),"")</f>
        <v>0.58333333333333337</v>
      </c>
      <c r="M59" s="13" t="s">
        <v>42</v>
      </c>
      <c r="N59" s="20" t="s">
        <v>134</v>
      </c>
      <c r="O59" s="13" t="s">
        <v>901</v>
      </c>
      <c r="P59" s="20" t="s">
        <v>813</v>
      </c>
      <c r="Q59" s="13" t="s">
        <v>958</v>
      </c>
      <c r="R59" s="20" t="s">
        <v>944</v>
      </c>
      <c r="S59" s="20" t="s">
        <v>125</v>
      </c>
      <c r="T59" s="20" t="s">
        <v>856</v>
      </c>
      <c r="U59" s="20"/>
      <c r="V59" s="20"/>
      <c r="W59" s="20" t="str">
        <f>TEXT(Table4[[#This Row],[Confirmed Sampling Date]], "yyyy") &amp; "_" &amp; TEXT(Table4[[#This Row],[Confirmed Sampling Date]], "mm") &amp; "_" &amp; TEXT(Table4[[#This Row],[Confirmed Sampling Date]], "dd")</f>
        <v>2025_07_15</v>
      </c>
      <c r="X59" s="20" t="str">
        <f t="shared" si="0"/>
        <v>Munich</v>
      </c>
      <c r="Y59" s="20" t="str">
        <f>VLOOKUP(Table4[[#This Row],[FromSite-UPS]],Table1[[Company or Name]:[NOTES]],2,FALSE)</f>
        <v>Germany</v>
      </c>
      <c r="Z59" s="20">
        <f>IFERROR(WEEKNUM(Table4[[#This Row],[Confirmed Sampling Date]] - 10, 21), "TBD")</f>
        <v>27</v>
      </c>
      <c r="AA59" s="20" t="str">
        <f>_xlfn.XLOOKUP(Table4[[#This Row],[FromSite-UPS]],sites!D:D,sites!W:W,"",0)</f>
        <v>Leopoldstrasse 5, Institut fuer Infektions- und Tropenmedizin, Munich, 80802, Germany</v>
      </c>
      <c r="AB59" s="20" t="str">
        <f>_xlfn.XLOOKUP(Table4[[#This Row],[ToLab]],labs!D:D,labs!P:P,"no adres",0)</f>
        <v>Via E. Fermi 2749, T.P. 120, Directorate D Sustainable Resources, Ispra, 21027, Italy</v>
      </c>
      <c r="AC59" s="20">
        <f>_xlfn.XLOOKUP(Table4[[#This Row],[combi]],AREA!E:E,AREA!F:F,"",0)</f>
        <v>89</v>
      </c>
      <c r="AD59" s="20" t="str">
        <f>_xlfn.XLOOKUP(Table4[[#This Row],[combi]],AREA!E:E,AREA!G:G,"",0)</f>
        <v>Pick-up service of hypothetic package as defined in the Tech. Specs. and delivery to lots
2 and 3 contractors according to Scenario 1</v>
      </c>
      <c r="AE59" s="20" t="s">
        <v>125</v>
      </c>
      <c r="AF59" s="20" t="str">
        <f>_xlfn.XLOOKUP(Table4[[#This Row],[FromSite-UPS]],sites!D:D,sites!AB:AB,"",0)&amp;_xlfn.XLOOKUP(Table4[[#This Row],[ToLab]],labs!D:D,labs!Q:Q,"",0)</f>
        <v>EUEU</v>
      </c>
    </row>
    <row r="60" spans="2:32" ht="15.6" hidden="1" customHeight="1" x14ac:dyDescent="0.25">
      <c r="B60" s="13">
        <v>38</v>
      </c>
      <c r="C60" s="14" t="s">
        <v>53</v>
      </c>
      <c r="D60" s="13">
        <v>1</v>
      </c>
      <c r="E60" s="22">
        <v>45853</v>
      </c>
      <c r="F60" s="22">
        <v>45854</v>
      </c>
      <c r="G60" s="20">
        <f>IFERROR(WEEKNUM(Table4[[#This Row],[Confirmed Pick-up Date]]),"TBD")</f>
        <v>29</v>
      </c>
      <c r="H60" s="20" t="str">
        <f>IFERROR(TEXT(Table4[[#This Row],[Confirmed Pick-up Date]],"yy-mm"),"TBD")</f>
        <v>25-07</v>
      </c>
      <c r="I60" s="64" t="s">
        <v>677</v>
      </c>
      <c r="J60" s="13" t="str">
        <f>IFERROR(VLOOKUP(Table4[[#This Row],[FromSite-UPS]],Table1[[#All],[Company or Name]:[FromSite3]],15,FALSE),"")</f>
        <v>Frankfurt WWTP</v>
      </c>
      <c r="K60" s="20" t="str">
        <f>IFERROR(VLOOKUP(Table4[[#This Row],[FromSite-UPS]],Table1[[#All],[Company or Name]:[FromSite3]],16,FALSE),"")</f>
        <v>Frankfurt Airport</v>
      </c>
      <c r="L60" s="20">
        <f>IFERROR(VLOOKUP(Table4[[#This Row],[FromSite-UPS]],Table1[[#All],[Company or Name]:[FromSite3]],14,FALSE),"")</f>
        <v>0.58333333333333337</v>
      </c>
      <c r="M60" s="13" t="s">
        <v>42</v>
      </c>
      <c r="N60" s="20" t="s">
        <v>134</v>
      </c>
      <c r="O60" s="13" t="s">
        <v>910</v>
      </c>
      <c r="P60" s="13" t="s">
        <v>813</v>
      </c>
      <c r="Q60" s="101" t="s">
        <v>959</v>
      </c>
      <c r="R60" s="20" t="s">
        <v>936</v>
      </c>
      <c r="S60" s="20" t="s">
        <v>125</v>
      </c>
      <c r="T60" s="20" t="s">
        <v>856</v>
      </c>
      <c r="U60" s="20"/>
      <c r="V60" s="20"/>
      <c r="W60" s="20" t="str">
        <f>TEXT(Table4[[#This Row],[Confirmed Sampling Date]], "yyyy") &amp; "_" &amp; TEXT(Table4[[#This Row],[Confirmed Sampling Date]], "mm") &amp; "_" &amp; TEXT(Table4[[#This Row],[Confirmed Sampling Date]], "dd")</f>
        <v>2025_07_15</v>
      </c>
      <c r="X60" s="20" t="str">
        <f t="shared" si="0"/>
        <v>Frankfurt</v>
      </c>
      <c r="Y60" s="20" t="str">
        <f>VLOOKUP(Table4[[#This Row],[FromSite-UPS]],Table1[[Company or Name]:[NOTES]],2,FALSE)</f>
        <v>Germany</v>
      </c>
      <c r="Z60" s="20">
        <f>IFERROR(WEEKNUM(Table4[[#This Row],[Confirmed Sampling Date]] - 10, 21), "TBD")</f>
        <v>27</v>
      </c>
      <c r="AA60" s="20" t="str">
        <f>_xlfn.XLOOKUP(Table4[[#This Row],[FromSite-UPS]],sites!D:D,sites!W:W,"",0)</f>
        <v>Goldsteinstraße 160, Gebäude 71 , Frankfurt am Main , 60528, Germany</v>
      </c>
      <c r="AB60" s="20" t="str">
        <f>_xlfn.XLOOKUP(Table4[[#This Row],[ToLab]],labs!D:D,labs!P:P,"no adres",0)</f>
        <v>Via E. Fermi 2749, T.P. 120, Directorate D Sustainable Resources, Ispra, 21027, Italy</v>
      </c>
      <c r="AC60" s="20">
        <f>_xlfn.XLOOKUP(Table4[[#This Row],[combi]],AREA!E:E,AREA!F:F,"",0)</f>
        <v>89</v>
      </c>
      <c r="AD60" s="20" t="str">
        <f>_xlfn.XLOOKUP(Table4[[#This Row],[combi]],AREA!E:E,AREA!G:G,"",0)</f>
        <v>Pick-up service of hypothetic package as defined in the Tech. Specs. and delivery to lots
2 and 3 contractors according to Scenario 1</v>
      </c>
      <c r="AE60" s="20" t="s">
        <v>125</v>
      </c>
      <c r="AF60" s="20" t="str">
        <f>_xlfn.XLOOKUP(Table4[[#This Row],[FromSite-UPS]],sites!D:D,sites!AB:AB,"",0)&amp;_xlfn.XLOOKUP(Table4[[#This Row],[ToLab]],labs!D:D,labs!Q:Q,"",0)</f>
        <v>EUEU</v>
      </c>
    </row>
    <row r="61" spans="2:32" ht="15.6" hidden="1" customHeight="1" x14ac:dyDescent="0.25">
      <c r="B61" s="13">
        <v>87</v>
      </c>
      <c r="C61" s="14" t="s">
        <v>53</v>
      </c>
      <c r="D61" s="13">
        <v>1</v>
      </c>
      <c r="E61" s="83">
        <v>45853</v>
      </c>
      <c r="F61" s="83">
        <v>45854</v>
      </c>
      <c r="G61" s="20">
        <f>IFERROR(WEEKNUM(Table4[[#This Row],[Confirmed Pick-up Date]]),"TBD")</f>
        <v>29</v>
      </c>
      <c r="H61" s="20" t="str">
        <f>IFERROR(TEXT(Table4[[#This Row],[Confirmed Pick-up Date]],"yy-mm"),"TBD")</f>
        <v>25-07</v>
      </c>
      <c r="I61" s="13" t="s">
        <v>19</v>
      </c>
      <c r="J61" s="20" t="str">
        <f>IFERROR(VLOOKUP(Table4[[#This Row],[FromSite-UPS]],Table1[[#All],[Company or Name]:[FromSite3]],15,FALSE),"")</f>
        <v>Munich WWTP</v>
      </c>
      <c r="K61" s="20" t="str">
        <f>IFERROR(VLOOKUP(Table4[[#This Row],[FromSite-UPS]],Table1[[#All],[Company or Name]:[FromSite3]],16,FALSE),"")</f>
        <v>Munich Airport</v>
      </c>
      <c r="L61" s="20">
        <f>IFERROR(VLOOKUP(Table4[[#This Row],[FromSite-UPS]],Table1[[#All],[Company or Name]:[FromSite3]],14,FALSE),"")</f>
        <v>0.58333333333333337</v>
      </c>
      <c r="M61" s="13" t="s">
        <v>42</v>
      </c>
      <c r="N61" s="20" t="s">
        <v>134</v>
      </c>
      <c r="O61" s="13" t="s">
        <v>902</v>
      </c>
      <c r="P61" s="20" t="s">
        <v>813</v>
      </c>
      <c r="Q61" s="13" t="s">
        <v>958</v>
      </c>
      <c r="R61" s="20" t="s">
        <v>945</v>
      </c>
      <c r="S61" s="20" t="s">
        <v>125</v>
      </c>
      <c r="T61" s="20" t="s">
        <v>856</v>
      </c>
      <c r="U61" s="20"/>
      <c r="V61" s="20"/>
      <c r="W61" s="20" t="str">
        <f>TEXT(Table4[[#This Row],[Confirmed Sampling Date]], "yyyy") &amp; "_" &amp; TEXT(Table4[[#This Row],[Confirmed Sampling Date]], "mm") &amp; "_" &amp; TEXT(Table4[[#This Row],[Confirmed Sampling Date]], "dd")</f>
        <v>2025_07_15</v>
      </c>
      <c r="X61" s="20" t="str">
        <f t="shared" si="0"/>
        <v>Munich</v>
      </c>
      <c r="Y61" s="20" t="str">
        <f>VLOOKUP(Table4[[#This Row],[FromSite-UPS]],Table1[[Company or Name]:[NOTES]],2,FALSE)</f>
        <v>Germany</v>
      </c>
      <c r="Z61" s="20">
        <f>IFERROR(WEEKNUM(Table4[[#This Row],[Confirmed Sampling Date]] - 10, 21), "TBD")</f>
        <v>27</v>
      </c>
      <c r="AA61" s="20" t="str">
        <f>_xlfn.XLOOKUP(Table4[[#This Row],[FromSite-UPS]],sites!D:D,sites!W:W,"",0)</f>
        <v>Leopoldstrasse 5, Institut fuer Infektions- und Tropenmedizin, Munich, 80802, Germany</v>
      </c>
      <c r="AB61" s="20" t="str">
        <f>_xlfn.XLOOKUP(Table4[[#This Row],[ToLab]],labs!D:D,labs!P:P,"no adres",0)</f>
        <v>Via E. Fermi 2749, T.P. 120, Directorate D Sustainable Resources, Ispra, 21027, Italy</v>
      </c>
      <c r="AC61" s="20">
        <f>_xlfn.XLOOKUP(Table4[[#This Row],[combi]],AREA!E:E,AREA!F:F,"",0)</f>
        <v>89</v>
      </c>
      <c r="AD61" s="20" t="str">
        <f>_xlfn.XLOOKUP(Table4[[#This Row],[combi]],AREA!E:E,AREA!G:G,"",0)</f>
        <v>Pick-up service of hypothetic package as defined in the Tech. Specs. and delivery to lots
2 and 3 contractors according to Scenario 1</v>
      </c>
      <c r="AE61" s="20" t="s">
        <v>125</v>
      </c>
      <c r="AF61" s="20" t="str">
        <f>_xlfn.XLOOKUP(Table4[[#This Row],[FromSite-UPS]],sites!D:D,sites!AB:AB,"",0)&amp;_xlfn.XLOOKUP(Table4[[#This Row],[ToLab]],labs!D:D,labs!Q:Q,"",0)</f>
        <v>EUEU</v>
      </c>
    </row>
    <row r="62" spans="2:32" ht="15.6" hidden="1" customHeight="1" x14ac:dyDescent="0.25">
      <c r="B62" s="13">
        <v>128</v>
      </c>
      <c r="C62" s="14" t="s">
        <v>53</v>
      </c>
      <c r="D62" s="13">
        <v>1</v>
      </c>
      <c r="E62" s="83">
        <v>45853</v>
      </c>
      <c r="F62" s="83">
        <v>45854</v>
      </c>
      <c r="G62" s="20">
        <f>IFERROR(WEEKNUM(Table4[[#This Row],[Confirmed Pick-up Date]]),"TBD")</f>
        <v>29</v>
      </c>
      <c r="H62" s="20" t="str">
        <f>IFERROR(TEXT(Table4[[#This Row],[Confirmed Pick-up Date]],"yy-mm"),"TBD")</f>
        <v>25-07</v>
      </c>
      <c r="I62" s="13" t="s">
        <v>637</v>
      </c>
      <c r="J62" s="20" t="str">
        <f>IFERROR(VLOOKUP(Table4[[#This Row],[FromSite-UPS]],Table1[[#All],[Company or Name]:[FromSite3]],15,FALSE),"")</f>
        <v>Luxembourg (Beggen) WWTP</v>
      </c>
      <c r="K62" s="20" t="str">
        <f>IFERROR(VLOOKUP(Table4[[#This Row],[FromSite-UPS]],Table1[[#All],[Company or Name]:[FromSite3]],16,FALSE),"")</f>
        <v>Luxembourg Airport</v>
      </c>
      <c r="L62" s="20">
        <f>IFERROR(VLOOKUP(Table4[[#This Row],[FromSite-UPS]],Table1[[#All],[Company or Name]:[FromSite3]],14,FALSE),"")</f>
        <v>0.66666666666666663</v>
      </c>
      <c r="M62" s="13" t="s">
        <v>42</v>
      </c>
      <c r="N62" s="20" t="s">
        <v>134</v>
      </c>
      <c r="O62" s="13" t="s">
        <v>924</v>
      </c>
      <c r="P62" s="13" t="s">
        <v>813</v>
      </c>
      <c r="Q62" s="65" t="s">
        <v>960</v>
      </c>
      <c r="R62" s="20" t="s">
        <v>937</v>
      </c>
      <c r="S62" s="20" t="s">
        <v>125</v>
      </c>
      <c r="T62" s="20" t="s">
        <v>856</v>
      </c>
      <c r="U62" s="20"/>
      <c r="V62" s="20"/>
      <c r="W62" s="20" t="str">
        <f>TEXT(Table4[[#This Row],[Confirmed Sampling Date]], "yyyy") &amp; "_" &amp; TEXT(Table4[[#This Row],[Confirmed Sampling Date]], "mm") &amp; "_" &amp; TEXT(Table4[[#This Row],[Confirmed Sampling Date]], "dd")</f>
        <v>2025_07_15</v>
      </c>
      <c r="X62" s="20" t="str">
        <f t="shared" si="0"/>
        <v>Luxembourg</v>
      </c>
      <c r="Y62" s="20" t="str">
        <f>VLOOKUP(Table4[[#This Row],[FromSite-UPS]],Table1[[Company or Name]:[NOTES]],2,FALSE)</f>
        <v>Luxembourg</v>
      </c>
      <c r="Z62" s="20">
        <f>IFERROR(WEEKNUM(Table4[[#This Row],[Confirmed Sampling Date]] - 10, 21), "TBD")</f>
        <v>27</v>
      </c>
      <c r="AA62" s="20" t="str">
        <f>_xlfn.XLOOKUP(Table4[[#This Row],[FromSite-UPS]],sites!D:D,sites!W:W,"",0)</f>
        <v>41 rue du Brill, Luxembourg, L-4422 , Luxembourg</v>
      </c>
      <c r="AB62" s="20" t="str">
        <f>_xlfn.XLOOKUP(Table4[[#This Row],[ToLab]],labs!D:D,labs!P:P,"no adres",0)</f>
        <v>Via E. Fermi 2749, T.P. 120, Directorate D Sustainable Resources, Ispra, 21027, Italy</v>
      </c>
      <c r="AC62" s="20">
        <f>_xlfn.XLOOKUP(Table4[[#This Row],[combi]],AREA!E:E,AREA!F:F,"",0)</f>
        <v>89</v>
      </c>
      <c r="AD62" s="20" t="str">
        <f>_xlfn.XLOOKUP(Table4[[#This Row],[combi]],AREA!E:E,AREA!G:G,"",0)</f>
        <v>Pick-up service of hypothetic package as defined in the Tech. Specs. and delivery to lots
2 and 3 contractors according to Scenario 1</v>
      </c>
      <c r="AE62" s="20" t="s">
        <v>125</v>
      </c>
      <c r="AF62" s="20" t="str">
        <f>_xlfn.XLOOKUP(Table4[[#This Row],[FromSite-UPS]],sites!D:D,sites!AB:AB,"",0)&amp;_xlfn.XLOOKUP(Table4[[#This Row],[ToLab]],labs!D:D,labs!Q:Q,"",0)</f>
        <v>EUEU</v>
      </c>
    </row>
    <row r="63" spans="2:32" ht="15.6" hidden="1" customHeight="1" x14ac:dyDescent="0.25">
      <c r="B63" s="13">
        <v>136</v>
      </c>
      <c r="C63" s="14" t="s">
        <v>53</v>
      </c>
      <c r="D63" s="13">
        <v>1</v>
      </c>
      <c r="E63" s="83">
        <v>45854</v>
      </c>
      <c r="F63" s="83">
        <v>45854</v>
      </c>
      <c r="G63" s="20">
        <f>IFERROR(WEEKNUM(Table4[[#This Row],[Confirmed Pick-up Date]]),"TBD")</f>
        <v>29</v>
      </c>
      <c r="H63" s="20" t="str">
        <f>IFERROR(TEXT(Table4[[#This Row],[Confirmed Pick-up Date]],"yy-mm"),"TBD")</f>
        <v>25-07</v>
      </c>
      <c r="I63" s="13" t="s">
        <v>680</v>
      </c>
      <c r="J63" s="20" t="str">
        <f>IFERROR(VLOOKUP(Table4[[#This Row],[FromSite-UPS]],Table1[[#All],[Company or Name]:[FromSite3]],15,FALSE),"")</f>
        <v>Rome WWTP</v>
      </c>
      <c r="K63" s="20" t="str">
        <f>IFERROR(VLOOKUP(Table4[[#This Row],[FromSite-UPS]],Table1[[#All],[Company or Name]:[FromSite3]],16,FALSE),"")</f>
        <v>-</v>
      </c>
      <c r="L63" s="20">
        <f>IFERROR(VLOOKUP(Table4[[#This Row],[FromSite-UPS]],Table1[[#All],[Company or Name]:[FromSite3]],14,FALSE),"")</f>
        <v>0.70833333333333337</v>
      </c>
      <c r="M63" s="13" t="s">
        <v>42</v>
      </c>
      <c r="N63" s="20" t="s">
        <v>134</v>
      </c>
      <c r="O63" s="13" t="s">
        <v>912</v>
      </c>
      <c r="P63" s="13" t="s">
        <v>813</v>
      </c>
      <c r="Q63" s="20" t="s">
        <v>964</v>
      </c>
      <c r="R63" s="20" t="s">
        <v>876</v>
      </c>
      <c r="S63" s="20" t="s">
        <v>125</v>
      </c>
      <c r="T63" s="20" t="s">
        <v>856</v>
      </c>
      <c r="U63" s="20"/>
      <c r="V63" s="20"/>
      <c r="W63" s="20" t="str">
        <f>TEXT(Table4[[#This Row],[Confirmed Sampling Date]], "yyyy") &amp; "_" &amp; TEXT(Table4[[#This Row],[Confirmed Sampling Date]], "mm") &amp; "_" &amp; TEXT(Table4[[#This Row],[Confirmed Sampling Date]], "dd")</f>
        <v>2025_07_16</v>
      </c>
      <c r="X63" s="20" t="str">
        <f t="shared" si="0"/>
        <v>Rome</v>
      </c>
      <c r="Y63" s="20" t="str">
        <f>VLOOKUP(Table4[[#This Row],[FromSite-UPS]],Table1[[Company or Name]:[NOTES]],2,FALSE)</f>
        <v>Italy</v>
      </c>
      <c r="Z63" s="20">
        <f>IFERROR(WEEKNUM(Table4[[#This Row],[Confirmed Sampling Date]] - 10, 21), "TBD")</f>
        <v>27</v>
      </c>
      <c r="AA63" s="20" t="str">
        <f>_xlfn.XLOOKUP(Table4[[#This Row],[FromSite-UPS]],sites!D:D,sites!W:W,"",0)</f>
        <v>Via dell'Equitazione 10, Rome, 00144, Italy</v>
      </c>
      <c r="AB63" s="20" t="str">
        <f>_xlfn.XLOOKUP(Table4[[#This Row],[ToLab]],labs!D:D,labs!P:P,"no adres",0)</f>
        <v>Via E. Fermi 2749, T.P. 120, Directorate D Sustainable Resources, Ispra, 21027, Italy</v>
      </c>
      <c r="AC63" s="20">
        <f>_xlfn.XLOOKUP(Table4[[#This Row],[combi]],AREA!E:E,AREA!F:F,"",0)</f>
        <v>89</v>
      </c>
      <c r="AD63" s="20" t="str">
        <f>_xlfn.XLOOKUP(Table4[[#This Row],[combi]],AREA!E:E,AREA!G:G,"",0)</f>
        <v>Pick-up service of hypothetic package as defined in the Tech. Specs. and delivery to lots
2 and 3 contractors according to Scenario 1</v>
      </c>
      <c r="AE63" s="20" t="s">
        <v>125</v>
      </c>
      <c r="AF63" s="20" t="str">
        <f>_xlfn.XLOOKUP(Table4[[#This Row],[FromSite-UPS]],sites!D:D,sites!AB:AB,"",0)&amp;_xlfn.XLOOKUP(Table4[[#This Row],[ToLab]],labs!D:D,labs!Q:Q,"",0)</f>
        <v>EUEU</v>
      </c>
    </row>
    <row r="64" spans="2:32" ht="15.6" hidden="1" customHeight="1" x14ac:dyDescent="0.25">
      <c r="B64" s="13">
        <v>150</v>
      </c>
      <c r="C64" s="14" t="s">
        <v>53</v>
      </c>
      <c r="D64" s="13">
        <v>1</v>
      </c>
      <c r="E64" s="22">
        <v>45854</v>
      </c>
      <c r="F64" s="22">
        <v>45854</v>
      </c>
      <c r="G64" s="20">
        <f>IFERROR(WEEKNUM(Table4[[#This Row],[Confirmed Pick-up Date]]),"TBD")</f>
        <v>29</v>
      </c>
      <c r="H64" s="20" t="str">
        <f>IFERROR(TEXT(Table4[[#This Row],[Confirmed Pick-up Date]],"yy-mm"),"TBD")</f>
        <v>25-07</v>
      </c>
      <c r="I64" s="64" t="s">
        <v>771</v>
      </c>
      <c r="J64" s="20" t="str">
        <f>IFERROR(VLOOKUP(Table4[[#This Row],[FromSite-UPS]],Table1[[#All],[Company or Name]:[FromSite3]],15,FALSE),"")</f>
        <v>RomeAirport</v>
      </c>
      <c r="K64" s="20" t="str">
        <f>IFERROR(VLOOKUP(Table4[[#This Row],[FromSite-UPS]],Table1[[#All],[Company or Name]:[FromSite3]],16,FALSE),"")</f>
        <v>-</v>
      </c>
      <c r="L64" s="20">
        <f>IFERROR(VLOOKUP(Table4[[#This Row],[FromSite-UPS]],Table1[[#All],[Company or Name]:[FromSite3]],14,FALSE),"")</f>
        <v>0.70833333333333337</v>
      </c>
      <c r="M64" s="13" t="s">
        <v>42</v>
      </c>
      <c r="N64" s="20" t="s">
        <v>134</v>
      </c>
      <c r="O64" s="13" t="s">
        <v>911</v>
      </c>
      <c r="P64" s="13" t="s">
        <v>813</v>
      </c>
      <c r="Q64" s="20" t="s">
        <v>965</v>
      </c>
      <c r="R64" s="20" t="s">
        <v>935</v>
      </c>
      <c r="S64" s="20" t="s">
        <v>125</v>
      </c>
      <c r="T64" s="20" t="s">
        <v>856</v>
      </c>
      <c r="U64" s="20"/>
      <c r="V64" s="20"/>
      <c r="W64" s="20" t="str">
        <f>TEXT(Table4[[#This Row],[Confirmed Sampling Date]], "yyyy") &amp; "_" &amp; TEXT(Table4[[#This Row],[Confirmed Sampling Date]], "mm") &amp; "_" &amp; TEXT(Table4[[#This Row],[Confirmed Sampling Date]], "dd")</f>
        <v>2025_07_16</v>
      </c>
      <c r="X64" s="20" t="str">
        <f t="shared" si="0"/>
        <v>RomeAirport</v>
      </c>
      <c r="Y64" s="20" t="str">
        <f>VLOOKUP(Table4[[#This Row],[FromSite-UPS]],Table1[[Company or Name]:[NOTES]],2,FALSE)</f>
        <v>Italy</v>
      </c>
      <c r="Z64" s="20">
        <f>IFERROR(WEEKNUM(Table4[[#This Row],[Confirmed Sampling Date]] - 10, 21), "TBD")</f>
        <v>27</v>
      </c>
      <c r="AA64" s="20" t="str">
        <f>_xlfn.XLOOKUP(Table4[[#This Row],[FromSite-UPS]],sites!D:D,sites!W:W,"",0)</f>
        <v>VIA FRATELLI WRIGHT (DEPURATORE BIOLOGICO), FIUMICINO, 00054, Italy</v>
      </c>
      <c r="AB64" s="20" t="str">
        <f>_xlfn.XLOOKUP(Table4[[#This Row],[ToLab]],labs!D:D,labs!P:P,"no adres",0)</f>
        <v>Via E. Fermi 2749, T.P. 120, Directorate D Sustainable Resources, Ispra, 21027, Italy</v>
      </c>
      <c r="AC64" s="20">
        <f>_xlfn.XLOOKUP(Table4[[#This Row],[combi]],AREA!E:E,AREA!F:F,"",0)</f>
        <v>89</v>
      </c>
      <c r="AD64" s="20" t="str">
        <f>_xlfn.XLOOKUP(Table4[[#This Row],[combi]],AREA!E:E,AREA!G:G,"",0)</f>
        <v>Pick-up service of hypothetic package as defined in the Tech. Specs. and delivery to lots
2 and 3 contractors according to Scenario 1</v>
      </c>
      <c r="AE64" s="20" t="s">
        <v>125</v>
      </c>
      <c r="AF64" s="20" t="str">
        <f>_xlfn.XLOOKUP(Table4[[#This Row],[FromSite-UPS]],sites!D:D,sites!AB:AB,"",0)&amp;_xlfn.XLOOKUP(Table4[[#This Row],[ToLab]],labs!D:D,labs!Q:Q,"",0)</f>
        <v>EUEU</v>
      </c>
    </row>
    <row r="65" spans="2:32" ht="15.6" hidden="1" customHeight="1" x14ac:dyDescent="0.25">
      <c r="B65" s="13">
        <v>169</v>
      </c>
      <c r="C65" s="14" t="s">
        <v>53</v>
      </c>
      <c r="D65" s="13">
        <v>1</v>
      </c>
      <c r="E65" s="83">
        <v>45853</v>
      </c>
      <c r="F65" s="83">
        <v>45854</v>
      </c>
      <c r="G65" s="20">
        <f>IFERROR(WEEKNUM(Table4[[#This Row],[Confirmed Pick-up Date]]),"TBD")</f>
        <v>29</v>
      </c>
      <c r="H65" s="20" t="str">
        <f>IFERROR(TEXT(Table4[[#This Row],[Confirmed Pick-up Date]],"yy-mm"),"TBD")</f>
        <v>25-07</v>
      </c>
      <c r="I65" s="13" t="s">
        <v>877</v>
      </c>
      <c r="J65" s="20" t="str">
        <f>IFERROR(VLOOKUP(Table4[[#This Row],[FromSite-UPS]],Table1[[#All],[Company or Name]:[FromSite3]],15,FALSE),"")</f>
        <v>Prague National Institute</v>
      </c>
      <c r="K65" s="20" t="str">
        <f>IFERROR(VLOOKUP(Table4[[#This Row],[FromSite-UPS]],Table1[[#All],[Company or Name]:[FromSite3]],16,FALSE),"")</f>
        <v>Prague WWTP FLOW 1</v>
      </c>
      <c r="L65" s="20">
        <f>IFERROR(VLOOKUP(Table4[[#This Row],[FromSite-UPS]],Table1[[#All],[Company or Name]:[FromSite3]],14,FALSE),"")</f>
        <v>0</v>
      </c>
      <c r="M65" s="13" t="s">
        <v>42</v>
      </c>
      <c r="N65" s="20" t="s">
        <v>134</v>
      </c>
      <c r="O65" s="13" t="s">
        <v>903</v>
      </c>
      <c r="P65" s="13" t="s">
        <v>813</v>
      </c>
      <c r="Q65" s="20" t="s">
        <v>961</v>
      </c>
      <c r="R65" s="20" t="s">
        <v>934</v>
      </c>
      <c r="S65" s="20" t="s">
        <v>125</v>
      </c>
      <c r="T65" s="20" t="s">
        <v>856</v>
      </c>
      <c r="U65" s="20"/>
      <c r="V65" s="20"/>
      <c r="W65" s="20" t="str">
        <f>TEXT(Table4[[#This Row],[Confirmed Sampling Date]], "yyyy") &amp; "_" &amp; TEXT(Table4[[#This Row],[Confirmed Sampling Date]], "mm") &amp; "_" &amp; TEXT(Table4[[#This Row],[Confirmed Sampling Date]], "dd")</f>
        <v>2025_07_15</v>
      </c>
      <c r="X65" s="20" t="str">
        <f t="shared" si="0"/>
        <v>Prague</v>
      </c>
      <c r="Y65" s="20" t="str">
        <f>VLOOKUP(Table4[[#This Row],[FromSite-UPS]],Table1[[Company or Name]:[NOTES]],2,FALSE)</f>
        <v>Czech Republic</v>
      </c>
      <c r="Z65" s="20">
        <f>IFERROR(WEEKNUM(Table4[[#This Row],[Confirmed Sampling Date]] - 10, 21), "TBD")</f>
        <v>27</v>
      </c>
      <c r="AA65" s="20" t="str">
        <f>_xlfn.XLOOKUP(Table4[[#This Row],[FromSite-UPS]],sites!D:D,sites!W:W,"",0)</f>
        <v>Šrobárova 49/48, Státní zdravotní ústav, Praha, 100 00, Czech Republic</v>
      </c>
      <c r="AB65" s="20" t="str">
        <f>_xlfn.XLOOKUP(Table4[[#This Row],[ToLab]],labs!D:D,labs!P:P,"no adres",0)</f>
        <v>Via E. Fermi 2749, T.P. 120, Directorate D Sustainable Resources, Ispra, 21027, Italy</v>
      </c>
      <c r="AC65" s="20">
        <f>_xlfn.XLOOKUP(Table4[[#This Row],[combi]],AREA!E:E,AREA!F:F,"",0)</f>
        <v>89</v>
      </c>
      <c r="AD65" s="20" t="str">
        <f>_xlfn.XLOOKUP(Table4[[#This Row],[combi]],AREA!E:E,AREA!G:G,"",0)</f>
        <v>Pick-up service of hypothetic package as defined in the Tech. Specs. and delivery to lots
2 and 3 contractors according to Scenario 1</v>
      </c>
      <c r="AE65" s="20" t="s">
        <v>125</v>
      </c>
      <c r="AF65" s="20" t="str">
        <f>_xlfn.XLOOKUP(Table4[[#This Row],[FromSite-UPS]],sites!D:D,sites!AB:AB,"",0)&amp;_xlfn.XLOOKUP(Table4[[#This Row],[ToLab]],labs!D:D,labs!Q:Q,"",0)</f>
        <v>EUEU</v>
      </c>
    </row>
    <row r="66" spans="2:32" ht="15.6" hidden="1" customHeight="1" x14ac:dyDescent="0.25">
      <c r="B66" s="13">
        <v>170</v>
      </c>
      <c r="C66" s="14" t="s">
        <v>53</v>
      </c>
      <c r="D66" s="13">
        <v>1</v>
      </c>
      <c r="E66" s="83">
        <v>45853</v>
      </c>
      <c r="F66" s="83">
        <v>45854</v>
      </c>
      <c r="G66" s="20">
        <f>IFERROR(WEEKNUM(Table4[[#This Row],[Confirmed Pick-up Date]]),"TBD")</f>
        <v>29</v>
      </c>
      <c r="H66" s="20" t="str">
        <f>IFERROR(TEXT(Table4[[#This Row],[Confirmed Pick-up Date]],"yy-mm"),"TBD")</f>
        <v>25-07</v>
      </c>
      <c r="I66" s="13" t="s">
        <v>877</v>
      </c>
      <c r="J66" s="20" t="str">
        <f>IFERROR(VLOOKUP(Table4[[#This Row],[FromSite-UPS]],Table1[[#All],[Company or Name]:[FromSite3]],15,FALSE),"")</f>
        <v>Prague National Institute</v>
      </c>
      <c r="K66" s="20" t="str">
        <f>IFERROR(VLOOKUP(Table4[[#This Row],[FromSite-UPS]],Table1[[#All],[Company or Name]:[FromSite3]],16,FALSE),"")</f>
        <v>Prague WWTP FLOW 1</v>
      </c>
      <c r="L66" s="20">
        <f>IFERROR(VLOOKUP(Table4[[#This Row],[FromSite-UPS]],Table1[[#All],[Company or Name]:[FromSite3]],14,FALSE),"")</f>
        <v>0</v>
      </c>
      <c r="M66" s="13" t="s">
        <v>42</v>
      </c>
      <c r="N66" s="20" t="s">
        <v>134</v>
      </c>
      <c r="O66" s="13" t="s">
        <v>904</v>
      </c>
      <c r="P66" s="13" t="s">
        <v>813</v>
      </c>
      <c r="Q66" s="20" t="s">
        <v>961</v>
      </c>
      <c r="R66" s="20" t="s">
        <v>931</v>
      </c>
      <c r="S66" s="20" t="s">
        <v>125</v>
      </c>
      <c r="T66" s="20" t="s">
        <v>856</v>
      </c>
      <c r="U66" s="20"/>
      <c r="V66" s="20"/>
      <c r="W66" s="20" t="str">
        <f>TEXT(Table4[[#This Row],[Confirmed Sampling Date]], "yyyy") &amp; "_" &amp; TEXT(Table4[[#This Row],[Confirmed Sampling Date]], "mm") &amp; "_" &amp; TEXT(Table4[[#This Row],[Confirmed Sampling Date]], "dd")</f>
        <v>2025_07_15</v>
      </c>
      <c r="X66" s="20" t="str">
        <f t="shared" si="0"/>
        <v>Prague</v>
      </c>
      <c r="Y66" s="20" t="str">
        <f>VLOOKUP(Table4[[#This Row],[FromSite-UPS]],Table1[[Company or Name]:[NOTES]],2,FALSE)</f>
        <v>Czech Republic</v>
      </c>
      <c r="Z66" s="20">
        <f>IFERROR(WEEKNUM(Table4[[#This Row],[Confirmed Sampling Date]] - 10, 21), "TBD")</f>
        <v>27</v>
      </c>
      <c r="AA66" s="20" t="str">
        <f>_xlfn.XLOOKUP(Table4[[#This Row],[FromSite-UPS]],sites!D:D,sites!W:W,"",0)</f>
        <v>Šrobárova 49/48, Státní zdravotní ústav, Praha, 100 00, Czech Republic</v>
      </c>
      <c r="AB66" s="20" t="str">
        <f>_xlfn.XLOOKUP(Table4[[#This Row],[ToLab]],labs!D:D,labs!P:P,"no adres",0)</f>
        <v>Via E. Fermi 2749, T.P. 120, Directorate D Sustainable Resources, Ispra, 21027, Italy</v>
      </c>
      <c r="AC66" s="20">
        <f>_xlfn.XLOOKUP(Table4[[#This Row],[combi]],AREA!E:E,AREA!F:F,"",0)</f>
        <v>89</v>
      </c>
      <c r="AD66" s="20" t="str">
        <f>_xlfn.XLOOKUP(Table4[[#This Row],[combi]],AREA!E:E,AREA!G:G,"",0)</f>
        <v>Pick-up service of hypothetic package as defined in the Tech. Specs. and delivery to lots
2 and 3 contractors according to Scenario 1</v>
      </c>
      <c r="AE66" s="20" t="s">
        <v>125</v>
      </c>
      <c r="AF66" s="20" t="str">
        <f>_xlfn.XLOOKUP(Table4[[#This Row],[FromSite-UPS]],sites!D:D,sites!AB:AB,"",0)&amp;_xlfn.XLOOKUP(Table4[[#This Row],[ToLab]],labs!D:D,labs!Q:Q,"",0)</f>
        <v>EUEU</v>
      </c>
    </row>
    <row r="67" spans="2:32" ht="15.6" hidden="1" customHeight="1" x14ac:dyDescent="0.25">
      <c r="B67" s="13">
        <v>171</v>
      </c>
      <c r="C67" s="14" t="s">
        <v>53</v>
      </c>
      <c r="D67" s="13">
        <v>1</v>
      </c>
      <c r="E67" s="34">
        <v>45853</v>
      </c>
      <c r="F67" s="34">
        <v>45854</v>
      </c>
      <c r="G67" s="20">
        <f>IFERROR(WEEKNUM(Table4[[#This Row],[Confirmed Pick-up Date]]),"TBD")</f>
        <v>29</v>
      </c>
      <c r="H67" s="20" t="str">
        <f>IFERROR(TEXT(Table4[[#This Row],[Confirmed Pick-up Date]],"yy-mm"),"TBD")</f>
        <v>25-07</v>
      </c>
      <c r="I67" s="13" t="s">
        <v>877</v>
      </c>
      <c r="J67" s="20" t="str">
        <f>IFERROR(VLOOKUP(Table4[[#This Row],[FromSite-UPS]],Table1[[#All],[Company or Name]:[FromSite3]],15,FALSE),"")</f>
        <v>Prague National Institute</v>
      </c>
      <c r="K67" s="20" t="str">
        <f>IFERROR(VLOOKUP(Table4[[#This Row],[FromSite-UPS]],Table1[[#All],[Company or Name]:[FromSite3]],16,FALSE),"")</f>
        <v>Prague WWTP FLOW 1</v>
      </c>
      <c r="L67" s="20">
        <f>IFERROR(VLOOKUP(Table4[[#This Row],[FromSite-UPS]],Table1[[#All],[Company or Name]:[FromSite3]],14,FALSE),"")</f>
        <v>0</v>
      </c>
      <c r="M67" s="13" t="s">
        <v>42</v>
      </c>
      <c r="N67" s="20" t="s">
        <v>134</v>
      </c>
      <c r="O67" s="13" t="s">
        <v>905</v>
      </c>
      <c r="P67" s="13" t="s">
        <v>813</v>
      </c>
      <c r="Q67" s="20" t="s">
        <v>961</v>
      </c>
      <c r="R67" s="20" t="s">
        <v>932</v>
      </c>
      <c r="S67" s="20" t="s">
        <v>125</v>
      </c>
      <c r="T67" s="20" t="s">
        <v>856</v>
      </c>
      <c r="U67" s="20"/>
      <c r="V67" s="20"/>
      <c r="W67" s="20" t="str">
        <f>TEXT(Table4[[#This Row],[Confirmed Sampling Date]], "yyyy") &amp; "_" &amp; TEXT(Table4[[#This Row],[Confirmed Sampling Date]], "mm") &amp; "_" &amp; TEXT(Table4[[#This Row],[Confirmed Sampling Date]], "dd")</f>
        <v>2025_07_15</v>
      </c>
      <c r="X67" s="20" t="str">
        <f t="shared" si="0"/>
        <v>Prague</v>
      </c>
      <c r="Y67" s="20" t="str">
        <f>VLOOKUP(Table4[[#This Row],[FromSite-UPS]],Table1[[Company or Name]:[NOTES]],2,FALSE)</f>
        <v>Czech Republic</v>
      </c>
      <c r="Z67" s="20">
        <f>IFERROR(WEEKNUM(Table4[[#This Row],[Confirmed Sampling Date]] - 10, 21), "TBD")</f>
        <v>27</v>
      </c>
      <c r="AA67" s="20" t="str">
        <f>_xlfn.XLOOKUP(Table4[[#This Row],[FromSite-UPS]],sites!D:D,sites!W:W,"",0)</f>
        <v>Šrobárova 49/48, Státní zdravotní ústav, Praha, 100 00, Czech Republic</v>
      </c>
      <c r="AB67" s="20" t="str">
        <f>_xlfn.XLOOKUP(Table4[[#This Row],[ToLab]],labs!D:D,labs!P:P,"no adres",0)</f>
        <v>Via E. Fermi 2749, T.P. 120, Directorate D Sustainable Resources, Ispra, 21027, Italy</v>
      </c>
      <c r="AC67" s="20">
        <f>_xlfn.XLOOKUP(Table4[[#This Row],[combi]],AREA!E:E,AREA!F:F,"",0)</f>
        <v>89</v>
      </c>
      <c r="AD67" s="20" t="str">
        <f>_xlfn.XLOOKUP(Table4[[#This Row],[combi]],AREA!E:E,AREA!G:G,"",0)</f>
        <v>Pick-up service of hypothetic package as defined in the Tech. Specs. and delivery to lots
2 and 3 contractors according to Scenario 1</v>
      </c>
      <c r="AE67" s="20" t="s">
        <v>125</v>
      </c>
      <c r="AF67" s="20" t="str">
        <f>_xlfn.XLOOKUP(Table4[[#This Row],[FromSite-UPS]],sites!D:D,sites!AB:AB,"",0)&amp;_xlfn.XLOOKUP(Table4[[#This Row],[ToLab]],labs!D:D,labs!Q:Q,"",0)</f>
        <v>EUEU</v>
      </c>
    </row>
    <row r="68" spans="2:32" ht="15.6" hidden="1" customHeight="1" x14ac:dyDescent="0.25">
      <c r="B68" s="13">
        <v>172</v>
      </c>
      <c r="C68" s="14" t="s">
        <v>53</v>
      </c>
      <c r="D68" s="13">
        <v>1</v>
      </c>
      <c r="E68" s="83">
        <v>45853</v>
      </c>
      <c r="F68" s="83">
        <v>45854</v>
      </c>
      <c r="G68" s="20">
        <f>IFERROR(WEEKNUM(Table4[[#This Row],[Confirmed Pick-up Date]]),"TBD")</f>
        <v>29</v>
      </c>
      <c r="H68" s="20" t="str">
        <f>IFERROR(TEXT(Table4[[#This Row],[Confirmed Pick-up Date]],"yy-mm"),"TBD")</f>
        <v>25-07</v>
      </c>
      <c r="I68" s="13" t="s">
        <v>877</v>
      </c>
      <c r="J68" s="20" t="str">
        <f>IFERROR(VLOOKUP(Table4[[#This Row],[FromSite-UPS]],Table1[[#All],[Company or Name]:[FromSite3]],15,FALSE),"")</f>
        <v>Prague National Institute</v>
      </c>
      <c r="K68" s="20" t="str">
        <f>IFERROR(VLOOKUP(Table4[[#This Row],[FromSite-UPS]],Table1[[#All],[Company or Name]:[FromSite3]],16,FALSE),"")</f>
        <v>Prague WWTP FLOW 1</v>
      </c>
      <c r="L68" s="20">
        <f>IFERROR(VLOOKUP(Table4[[#This Row],[FromSite-UPS]],Table1[[#All],[Company or Name]:[FromSite3]],14,FALSE),"")</f>
        <v>0</v>
      </c>
      <c r="M68" s="13" t="s">
        <v>42</v>
      </c>
      <c r="N68" s="20" t="s">
        <v>134</v>
      </c>
      <c r="O68" s="13" t="s">
        <v>906</v>
      </c>
      <c r="P68" s="13" t="s">
        <v>813</v>
      </c>
      <c r="Q68" s="20" t="s">
        <v>961</v>
      </c>
      <c r="R68" s="20" t="s">
        <v>933</v>
      </c>
      <c r="S68" s="20" t="s">
        <v>125</v>
      </c>
      <c r="T68" s="20" t="s">
        <v>856</v>
      </c>
      <c r="U68" s="20"/>
      <c r="V68" s="20"/>
      <c r="W68" s="20" t="str">
        <f>TEXT(Table4[[#This Row],[Confirmed Sampling Date]], "yyyy") &amp; "_" &amp; TEXT(Table4[[#This Row],[Confirmed Sampling Date]], "mm") &amp; "_" &amp; TEXT(Table4[[#This Row],[Confirmed Sampling Date]], "dd")</f>
        <v>2025_07_15</v>
      </c>
      <c r="X68" s="20" t="str">
        <f t="shared" si="0"/>
        <v>Prague</v>
      </c>
      <c r="Y68" s="20" t="str">
        <f>VLOOKUP(Table4[[#This Row],[FromSite-UPS]],Table1[[Company or Name]:[NOTES]],2,FALSE)</f>
        <v>Czech Republic</v>
      </c>
      <c r="Z68" s="20">
        <f>IFERROR(WEEKNUM(Table4[[#This Row],[Confirmed Sampling Date]] - 10, 21), "TBD")</f>
        <v>27</v>
      </c>
      <c r="AA68" s="20" t="str">
        <f>_xlfn.XLOOKUP(Table4[[#This Row],[FromSite-UPS]],sites!D:D,sites!W:W,"",0)</f>
        <v>Šrobárova 49/48, Státní zdravotní ústav, Praha, 100 00, Czech Republic</v>
      </c>
      <c r="AB68" s="20" t="str">
        <f>_xlfn.XLOOKUP(Table4[[#This Row],[ToLab]],labs!D:D,labs!P:P,"no adres",0)</f>
        <v>Via E. Fermi 2749, T.P. 120, Directorate D Sustainable Resources, Ispra, 21027, Italy</v>
      </c>
      <c r="AC68" s="20">
        <f>_xlfn.XLOOKUP(Table4[[#This Row],[combi]],AREA!E:E,AREA!F:F,"",0)</f>
        <v>89</v>
      </c>
      <c r="AD68" s="20" t="str">
        <f>_xlfn.XLOOKUP(Table4[[#This Row],[combi]],AREA!E:E,AREA!G:G,"",0)</f>
        <v>Pick-up service of hypothetic package as defined in the Tech. Specs. and delivery to lots
2 and 3 contractors according to Scenario 1</v>
      </c>
      <c r="AE68" s="20" t="s">
        <v>125</v>
      </c>
      <c r="AF68" s="20" t="str">
        <f>_xlfn.XLOOKUP(Table4[[#This Row],[FromSite-UPS]],sites!D:D,sites!AB:AB,"",0)&amp;_xlfn.XLOOKUP(Table4[[#This Row],[ToLab]],labs!D:D,labs!Q:Q,"",0)</f>
        <v>EUEU</v>
      </c>
    </row>
    <row r="69" spans="2:32" ht="15.6" hidden="1" customHeight="1" x14ac:dyDescent="0.25">
      <c r="B69" s="13">
        <v>215</v>
      </c>
      <c r="C69" s="14" t="s">
        <v>53</v>
      </c>
      <c r="D69" s="13">
        <v>1</v>
      </c>
      <c r="E69" s="83">
        <v>45853</v>
      </c>
      <c r="F69" s="83">
        <v>45854</v>
      </c>
      <c r="G69" s="20">
        <f>IFERROR(WEEKNUM(Table4[[#This Row],[Confirmed Pick-up Date]]),"TBD")</f>
        <v>29</v>
      </c>
      <c r="H69" s="20" t="str">
        <f>IFERROR(TEXT(Table4[[#This Row],[Confirmed Pick-up Date]],"yy-mm"),"TBD")</f>
        <v>25-07</v>
      </c>
      <c r="I69" s="13" t="s">
        <v>779</v>
      </c>
      <c r="J69" s="20" t="str">
        <f>IFERROR(VLOOKUP(Table4[[#This Row],[FromSite-UPS]],Table1[[#All],[Company or Name]:[FromSite3]],15,FALSE),"")</f>
        <v>Larnaca WWTP</v>
      </c>
      <c r="K69" s="20" t="str">
        <f>IFERROR(VLOOKUP(Table4[[#This Row],[FromSite-UPS]],Table1[[#All],[Company or Name]:[FromSite3]],16,FALSE),"")</f>
        <v>Larnaca Airport</v>
      </c>
      <c r="L69" s="20">
        <f>IFERROR(VLOOKUP(Table4[[#This Row],[FromSite-UPS]],Table1[[#All],[Company or Name]:[FromSite3]],14,FALSE),"")</f>
        <v>0.54166666666666663</v>
      </c>
      <c r="M69" s="13" t="s">
        <v>42</v>
      </c>
      <c r="N69" s="20" t="s">
        <v>134</v>
      </c>
      <c r="O69" s="13" t="s">
        <v>899</v>
      </c>
      <c r="P69" s="13" t="s">
        <v>813</v>
      </c>
      <c r="Q69" s="20" t="s">
        <v>962</v>
      </c>
      <c r="R69" s="20" t="s">
        <v>929</v>
      </c>
      <c r="S69" s="20" t="s">
        <v>125</v>
      </c>
      <c r="T69" s="20" t="s">
        <v>856</v>
      </c>
      <c r="U69" s="20"/>
      <c r="V69" s="20"/>
      <c r="W69" s="20" t="str">
        <f>TEXT(Table4[[#This Row],[Confirmed Sampling Date]], "yyyy") &amp; "_" &amp; TEXT(Table4[[#This Row],[Confirmed Sampling Date]], "mm") &amp; "_" &amp; TEXT(Table4[[#This Row],[Confirmed Sampling Date]], "dd")</f>
        <v>2025_07_15</v>
      </c>
      <c r="X69" s="20" t="str">
        <f t="shared" ref="X69:X132" si="1">IFERROR(LEFT(J69, FIND(" ", J69) - 1), J69)</f>
        <v>Larnaca</v>
      </c>
      <c r="Y69" s="20" t="str">
        <f>VLOOKUP(Table4[[#This Row],[FromSite-UPS]],Table1[[Company or Name]:[NOTES]],2,FALSE)</f>
        <v>Cyprus</v>
      </c>
      <c r="Z69" s="20">
        <f>IFERROR(WEEKNUM(Table4[[#This Row],[Confirmed Sampling Date]] - 10, 21), "TBD")</f>
        <v>27</v>
      </c>
      <c r="AA69" s="20" t="str">
        <f>_xlfn.XLOOKUP(Table4[[#This Row],[FromSite-UPS]],sites!D:D,sites!W:W,"",0)</f>
        <v>Adamantiou Korai street 12, Larnaca District Local Government Organization offices, Larnaca, 6010, Cyprus</v>
      </c>
      <c r="AB69" s="20" t="str">
        <f>_xlfn.XLOOKUP(Table4[[#This Row],[ToLab]],labs!D:D,labs!P:P,"no adres",0)</f>
        <v>Via E. Fermi 2749, T.P. 120, Directorate D Sustainable Resources, Ispra, 21027, Italy</v>
      </c>
      <c r="AC69" s="20">
        <f>_xlfn.XLOOKUP(Table4[[#This Row],[combi]],AREA!E:E,AREA!F:F,"",0)</f>
        <v>89</v>
      </c>
      <c r="AD69" s="20" t="str">
        <f>_xlfn.XLOOKUP(Table4[[#This Row],[combi]],AREA!E:E,AREA!G:G,"",0)</f>
        <v>Pick-up service of hypothetic package as defined in the Tech. Specs. and delivery to lots
2 and 3 contractors according to Scenario 1</v>
      </c>
      <c r="AE69" s="20" t="s">
        <v>125</v>
      </c>
      <c r="AF69" s="20" t="str">
        <f>_xlfn.XLOOKUP(Table4[[#This Row],[FromSite-UPS]],sites!D:D,sites!AB:AB,"",0)&amp;_xlfn.XLOOKUP(Table4[[#This Row],[ToLab]],labs!D:D,labs!Q:Q,"",0)</f>
        <v>EUEU</v>
      </c>
    </row>
    <row r="70" spans="2:32" ht="15.6" hidden="1" customHeight="1" x14ac:dyDescent="0.25">
      <c r="B70" s="13">
        <v>228</v>
      </c>
      <c r="C70" s="14" t="s">
        <v>53</v>
      </c>
      <c r="D70" s="13">
        <v>1</v>
      </c>
      <c r="E70" s="22">
        <v>45853</v>
      </c>
      <c r="F70" s="22">
        <v>45854</v>
      </c>
      <c r="G70" s="20">
        <f>IFERROR(WEEKNUM(Table4[[#This Row],[Confirmed Pick-up Date]]),"TBD")</f>
        <v>29</v>
      </c>
      <c r="H70" s="20" t="str">
        <f>IFERROR(TEXT(Table4[[#This Row],[Confirmed Pick-up Date]],"yy-mm"),"TBD")</f>
        <v>25-07</v>
      </c>
      <c r="I70" s="64" t="s">
        <v>779</v>
      </c>
      <c r="J70" s="20" t="str">
        <f>IFERROR(VLOOKUP(Table4[[#This Row],[FromSite-UPS]],Table1[[#All],[Company or Name]:[FromSite3]],15,FALSE),"")</f>
        <v>Larnaca WWTP</v>
      </c>
      <c r="K70" s="20" t="str">
        <f>IFERROR(VLOOKUP(Table4[[#This Row],[FromSite-UPS]],Table1[[#All],[Company or Name]:[FromSite3]],16,FALSE),"")</f>
        <v>Larnaca Airport</v>
      </c>
      <c r="L70" s="20">
        <f>IFERROR(VLOOKUP(Table4[[#This Row],[FromSite-UPS]],Table1[[#All],[Company or Name]:[FromSite3]],14,FALSE),"")</f>
        <v>0.54166666666666663</v>
      </c>
      <c r="M70" s="13" t="s">
        <v>42</v>
      </c>
      <c r="N70" s="20" t="s">
        <v>134</v>
      </c>
      <c r="O70" s="20" t="s">
        <v>900</v>
      </c>
      <c r="P70" s="20" t="s">
        <v>813</v>
      </c>
      <c r="Q70" s="20" t="s">
        <v>962</v>
      </c>
      <c r="R70" s="20" t="s">
        <v>930</v>
      </c>
      <c r="S70" s="20" t="s">
        <v>125</v>
      </c>
      <c r="T70" s="20" t="s">
        <v>856</v>
      </c>
      <c r="U70" s="20"/>
      <c r="V70" s="20"/>
      <c r="W70" s="20" t="str">
        <f>TEXT(Table4[[#This Row],[Confirmed Sampling Date]], "yyyy") &amp; "_" &amp; TEXT(Table4[[#This Row],[Confirmed Sampling Date]], "mm") &amp; "_" &amp; TEXT(Table4[[#This Row],[Confirmed Sampling Date]], "dd")</f>
        <v>2025_07_15</v>
      </c>
      <c r="X70" s="20" t="str">
        <f t="shared" si="1"/>
        <v>Larnaca</v>
      </c>
      <c r="Y70" s="20" t="str">
        <f>VLOOKUP(Table4[[#This Row],[FromSite-UPS]],Table1[[Company or Name]:[NOTES]],2,FALSE)</f>
        <v>Cyprus</v>
      </c>
      <c r="Z70" s="20">
        <f>IFERROR(WEEKNUM(Table4[[#This Row],[Confirmed Sampling Date]] - 10, 21), "TBD")</f>
        <v>27</v>
      </c>
      <c r="AA70" s="20" t="str">
        <f>_xlfn.XLOOKUP(Table4[[#This Row],[FromSite-UPS]],sites!D:D,sites!W:W,"",0)</f>
        <v>Adamantiou Korai street 12, Larnaca District Local Government Organization offices, Larnaca, 6010, Cyprus</v>
      </c>
      <c r="AB70" s="20" t="str">
        <f>_xlfn.XLOOKUP(Table4[[#This Row],[ToLab]],labs!D:D,labs!P:P,"no adres",0)</f>
        <v>Via E. Fermi 2749, T.P. 120, Directorate D Sustainable Resources, Ispra, 21027, Italy</v>
      </c>
      <c r="AC70" s="20">
        <f>_xlfn.XLOOKUP(Table4[[#This Row],[combi]],AREA!E:E,AREA!F:F,"",0)</f>
        <v>89</v>
      </c>
      <c r="AD70" s="20" t="str">
        <f>_xlfn.XLOOKUP(Table4[[#This Row],[combi]],AREA!E:E,AREA!G:G,"",0)</f>
        <v>Pick-up service of hypothetic package as defined in the Tech. Specs. and delivery to lots
2 and 3 contractors according to Scenario 1</v>
      </c>
      <c r="AE70" s="20" t="s">
        <v>125</v>
      </c>
      <c r="AF70" s="20" t="str">
        <f>_xlfn.XLOOKUP(Table4[[#This Row],[FromSite-UPS]],sites!D:D,sites!AB:AB,"",0)&amp;_xlfn.XLOOKUP(Table4[[#This Row],[ToLab]],labs!D:D,labs!Q:Q,"",0)</f>
        <v>EUEU</v>
      </c>
    </row>
    <row r="71" spans="2:32" ht="15.6" hidden="1" customHeight="1" x14ac:dyDescent="0.25">
      <c r="B71" s="13">
        <v>263</v>
      </c>
      <c r="C71" s="14" t="s">
        <v>53</v>
      </c>
      <c r="D71" s="13">
        <v>1</v>
      </c>
      <c r="E71" s="22">
        <v>45853</v>
      </c>
      <c r="F71" s="22">
        <v>45854</v>
      </c>
      <c r="G71" s="20">
        <f>IFERROR(WEEKNUM(Table4[[#This Row],[Confirmed Pick-up Date]]),"TBD")</f>
        <v>29</v>
      </c>
      <c r="H71" s="20" t="str">
        <f>IFERROR(TEXT(Table4[[#This Row],[Confirmed Pick-up Date]],"yy-mm"),"TBD")</f>
        <v>25-07</v>
      </c>
      <c r="I71" s="64" t="s">
        <v>637</v>
      </c>
      <c r="J71" s="20" t="str">
        <f>IFERROR(VLOOKUP(Table4[[#This Row],[FromSite-UPS]],Table1[[#All],[Company or Name]:[FromSite3]],15,FALSE),"")</f>
        <v>Luxembourg (Beggen) WWTP</v>
      </c>
      <c r="K71" s="20" t="str">
        <f>IFERROR(VLOOKUP(Table4[[#This Row],[FromSite-UPS]],Table1[[#All],[Company or Name]:[FromSite3]],16,FALSE),"")</f>
        <v>Luxembourg Airport</v>
      </c>
      <c r="L71" s="20">
        <f>IFERROR(VLOOKUP(Table4[[#This Row],[FromSite-UPS]],Table1[[#All],[Company or Name]:[FromSite3]],14,FALSE),"")</f>
        <v>0.66666666666666663</v>
      </c>
      <c r="M71" s="13" t="s">
        <v>42</v>
      </c>
      <c r="N71" s="20" t="s">
        <v>813</v>
      </c>
      <c r="O71" s="20" t="s">
        <v>953</v>
      </c>
      <c r="P71" s="20" t="s">
        <v>813</v>
      </c>
      <c r="Q71" s="20" t="s">
        <v>960</v>
      </c>
      <c r="R71" s="20" t="s">
        <v>954</v>
      </c>
      <c r="S71" s="20" t="s">
        <v>125</v>
      </c>
      <c r="T71" s="20" t="s">
        <v>856</v>
      </c>
      <c r="U71" s="20"/>
      <c r="V71" s="20"/>
      <c r="W71" s="20" t="str">
        <f>TEXT(Table4[[#This Row],[Confirmed Sampling Date]], "yyyy") &amp; "_" &amp; TEXT(Table4[[#This Row],[Confirmed Sampling Date]], "mm") &amp; "_" &amp; TEXT(Table4[[#This Row],[Confirmed Sampling Date]], "dd")</f>
        <v>2025_07_15</v>
      </c>
      <c r="X71" s="20" t="str">
        <f t="shared" si="1"/>
        <v>Luxembourg</v>
      </c>
      <c r="Y71" s="20" t="str">
        <f>VLOOKUP(Table4[[#This Row],[FromSite-UPS]],Table1[[Company or Name]:[NOTES]],2,FALSE)</f>
        <v>Luxembourg</v>
      </c>
      <c r="Z71" s="20">
        <f>IFERROR(WEEKNUM(Table4[[#This Row],[Confirmed Sampling Date]] - 10, 21), "TBD")</f>
        <v>27</v>
      </c>
      <c r="AA71" s="20" t="str">
        <f>_xlfn.XLOOKUP(Table4[[#This Row],[FromSite-UPS]],sites!D:D,sites!W:W,"",0)</f>
        <v>41 rue du Brill, Luxembourg, L-4422 , Luxembourg</v>
      </c>
      <c r="AB71" s="20" t="str">
        <f>_xlfn.XLOOKUP(Table4[[#This Row],[ToLab]],labs!D:D,labs!P:P,"no adres",0)</f>
        <v>Via E. Fermi 2749, T.P. 120, Directorate D Sustainable Resources, Ispra, 21027, Italy</v>
      </c>
      <c r="AC71" s="20">
        <f>_xlfn.XLOOKUP(Table4[[#This Row],[combi]],AREA!E:E,AREA!F:F,"",0)</f>
        <v>89</v>
      </c>
      <c r="AD71" s="20" t="str">
        <f>_xlfn.XLOOKUP(Table4[[#This Row],[combi]],AREA!E:E,AREA!G:G,"",0)</f>
        <v>Pick-up service of hypothetic package as defined in the Tech. Specs. and delivery to lots
2 and 3 contractors according to Scenario 1</v>
      </c>
      <c r="AE71" s="20" t="s">
        <v>125</v>
      </c>
      <c r="AF71" s="20" t="str">
        <f>_xlfn.XLOOKUP(Table4[[#This Row],[FromSite-UPS]],sites!D:D,sites!AB:AB,"",0)&amp;_xlfn.XLOOKUP(Table4[[#This Row],[ToLab]],labs!D:D,labs!Q:Q,"",0)</f>
        <v>EUEU</v>
      </c>
    </row>
    <row r="72" spans="2:32" ht="15.6" hidden="1" customHeight="1" x14ac:dyDescent="0.25">
      <c r="B72" s="13">
        <v>269</v>
      </c>
      <c r="C72" s="14" t="s">
        <v>53</v>
      </c>
      <c r="D72" s="13">
        <v>1</v>
      </c>
      <c r="E72" s="34">
        <v>45860</v>
      </c>
      <c r="F72" s="34">
        <v>45861</v>
      </c>
      <c r="G72" s="20">
        <f>IFERROR(WEEKNUM(Table4[[#This Row],[Confirmed Pick-up Date]]),"TBD")</f>
        <v>30</v>
      </c>
      <c r="H72" s="20" t="str">
        <f>IFERROR(TEXT(Table4[[#This Row],[Confirmed Pick-up Date]],"yy-mm"),"TBD")</f>
        <v>25-07</v>
      </c>
      <c r="I72" s="13" t="s">
        <v>975</v>
      </c>
      <c r="J72" s="20" t="str">
        <f>IFERROR(VLOOKUP(Table4[[#This Row],[FromSite-UPS]],Table1[[#All],[Company or Name]:[FromSite3]],15,FALSE),"")</f>
        <v>Vilnius WWTP</v>
      </c>
      <c r="K72" s="20" t="str">
        <f>IFERROR(VLOOKUP(Table4[[#This Row],[FromSite-UPS]],Table1[[#All],[Company or Name]:[FromSite3]],16,FALSE),"")</f>
        <v>Vilnius Bus Terminal</v>
      </c>
      <c r="L72" s="20">
        <f>IFERROR(VLOOKUP(Table4[[#This Row],[FromSite-UPS]],Table1[[#All],[Company or Name]:[FromSite3]],14,FALSE),"")</f>
        <v>0.58333333333333337</v>
      </c>
      <c r="M72" s="13" t="s">
        <v>42</v>
      </c>
      <c r="N72" s="20" t="s">
        <v>813</v>
      </c>
      <c r="O72" s="20" t="s">
        <v>993</v>
      </c>
      <c r="P72" s="64" t="s">
        <v>892</v>
      </c>
      <c r="Q72" s="64" t="s">
        <v>1638</v>
      </c>
      <c r="R72" s="20" t="s">
        <v>1000</v>
      </c>
      <c r="S72" s="20" t="s">
        <v>125</v>
      </c>
      <c r="T72" s="20" t="s">
        <v>856</v>
      </c>
      <c r="U72" s="20"/>
      <c r="V72" s="20"/>
      <c r="W72" s="20" t="str">
        <f>TEXT(Table4[[#This Row],[Confirmed Sampling Date]], "yyyy") &amp; "_" &amp; TEXT(Table4[[#This Row],[Confirmed Sampling Date]], "mm") &amp; "_" &amp; TEXT(Table4[[#This Row],[Confirmed Sampling Date]], "dd")</f>
        <v>2025_07_22</v>
      </c>
      <c r="X72" s="20" t="str">
        <f t="shared" si="1"/>
        <v>Vilnius</v>
      </c>
      <c r="Y72" s="20" t="str">
        <f>VLOOKUP(Table4[[#This Row],[FromSite-UPS]],Table1[[Company or Name]:[NOTES]],2,FALSE)</f>
        <v>Lithuania</v>
      </c>
      <c r="Z72" s="20">
        <f>IFERROR(WEEKNUM(Table4[[#This Row],[Confirmed Sampling Date]] - 10, 21), "TBD")</f>
        <v>28</v>
      </c>
      <c r="AA72" s="20" t="str">
        <f>_xlfn.XLOOKUP(Table4[[#This Row],[FromSite-UPS]],sites!D:D,sites!W:W,"",0)</f>
        <v>Zolyno 36 gatve, Vilnius, 10210, Lithuania</v>
      </c>
      <c r="AB72" s="20" t="str">
        <f>_xlfn.XLOOKUP(Table4[[#This Row],[ToLab]],labs!D:D,labs!P:P,"no adres",0)</f>
        <v>Via E. Fermi 2749, T.P. 120, Directorate D Sustainable Resources, Ispra, 21027, Italy</v>
      </c>
      <c r="AC72" s="20">
        <f>_xlfn.XLOOKUP(Table4[[#This Row],[combi]],AREA!E:E,AREA!F:F,"",0)</f>
        <v>89</v>
      </c>
      <c r="AD72" s="20" t="str">
        <f>_xlfn.XLOOKUP(Table4[[#This Row],[combi]],AREA!E:E,AREA!G:G,"",0)</f>
        <v>Pick-up service of hypothetic package as defined in the Tech. Specs. and delivery to lots
2 and 3 contractors according to Scenario 1</v>
      </c>
      <c r="AE72" s="20" t="s">
        <v>125</v>
      </c>
      <c r="AF72" s="20" t="str">
        <f>_xlfn.XLOOKUP(Table4[[#This Row],[FromSite-UPS]],sites!D:D,sites!AB:AB,"",0)&amp;_xlfn.XLOOKUP(Table4[[#This Row],[ToLab]],labs!D:D,labs!Q:Q,"",0)</f>
        <v>EUEU</v>
      </c>
    </row>
    <row r="73" spans="2:32" ht="15.6" hidden="1" customHeight="1" x14ac:dyDescent="0.25">
      <c r="B73" s="13">
        <v>280</v>
      </c>
      <c r="C73" s="14" t="s">
        <v>53</v>
      </c>
      <c r="D73" s="13">
        <v>1</v>
      </c>
      <c r="E73" s="83">
        <v>45860</v>
      </c>
      <c r="F73" s="83">
        <v>45861</v>
      </c>
      <c r="G73" s="20">
        <f>IFERROR(WEEKNUM(Table4[[#This Row],[Confirmed Pick-up Date]]),"TBD")</f>
        <v>30</v>
      </c>
      <c r="H73" s="20" t="str">
        <f>IFERROR(TEXT(Table4[[#This Row],[Confirmed Pick-up Date]],"yy-mm"),"TBD")</f>
        <v>25-07</v>
      </c>
      <c r="I73" s="13" t="s">
        <v>975</v>
      </c>
      <c r="J73" s="20" t="str">
        <f>IFERROR(VLOOKUP(Table4[[#This Row],[FromSite-UPS]],Table1[[#All],[Company or Name]:[FromSite3]],15,FALSE),"")</f>
        <v>Vilnius WWTP</v>
      </c>
      <c r="K73" s="20" t="str">
        <f>IFERROR(VLOOKUP(Table4[[#This Row],[FromSite-UPS]],Table1[[#All],[Company or Name]:[FromSite3]],16,FALSE),"")</f>
        <v>Vilnius Bus Terminal</v>
      </c>
      <c r="L73" s="20">
        <f>IFERROR(VLOOKUP(Table4[[#This Row],[FromSite-UPS]],Table1[[#All],[Company or Name]:[FromSite3]],14,FALSE),"")</f>
        <v>0.58333333333333337</v>
      </c>
      <c r="M73" s="13" t="s">
        <v>42</v>
      </c>
      <c r="N73" s="20" t="s">
        <v>813</v>
      </c>
      <c r="O73" s="20" t="s">
        <v>994</v>
      </c>
      <c r="P73" s="20" t="s">
        <v>813</v>
      </c>
      <c r="Q73" s="20" t="s">
        <v>1017</v>
      </c>
      <c r="R73" s="20" t="s">
        <v>1001</v>
      </c>
      <c r="S73" s="20" t="s">
        <v>125</v>
      </c>
      <c r="T73" s="20" t="s">
        <v>856</v>
      </c>
      <c r="U73" s="20"/>
      <c r="V73" s="20"/>
      <c r="W73" s="20" t="str">
        <f>TEXT(Table4[[#This Row],[Confirmed Sampling Date]], "yyyy") &amp; "_" &amp; TEXT(Table4[[#This Row],[Confirmed Sampling Date]], "mm") &amp; "_" &amp; TEXT(Table4[[#This Row],[Confirmed Sampling Date]], "dd")</f>
        <v>2025_07_22</v>
      </c>
      <c r="X73" s="20" t="str">
        <f t="shared" si="1"/>
        <v>Vilnius</v>
      </c>
      <c r="Y73" s="20" t="str">
        <f>VLOOKUP(Table4[[#This Row],[FromSite-UPS]],Table1[[Company or Name]:[NOTES]],2,FALSE)</f>
        <v>Lithuania</v>
      </c>
      <c r="Z73" s="20">
        <f>IFERROR(WEEKNUM(Table4[[#This Row],[Confirmed Sampling Date]] - 10, 21), "TBD")</f>
        <v>28</v>
      </c>
      <c r="AA73" s="20" t="str">
        <f>_xlfn.XLOOKUP(Table4[[#This Row],[FromSite-UPS]],sites!D:D,sites!W:W,"",0)</f>
        <v>Zolyno 36 gatve, Vilnius, 10210, Lithuania</v>
      </c>
      <c r="AB73" s="20" t="str">
        <f>_xlfn.XLOOKUP(Table4[[#This Row],[ToLab]],labs!D:D,labs!P:P,"no adres",0)</f>
        <v>Via E. Fermi 2749, T.P. 120, Directorate D Sustainable Resources, Ispra, 21027, Italy</v>
      </c>
      <c r="AC73" s="20">
        <f>_xlfn.XLOOKUP(Table4[[#This Row],[combi]],AREA!E:E,AREA!F:F,"",0)</f>
        <v>89</v>
      </c>
      <c r="AD73" s="20" t="str">
        <f>_xlfn.XLOOKUP(Table4[[#This Row],[combi]],AREA!E:E,AREA!G:G,"",0)</f>
        <v>Pick-up service of hypothetic package as defined in the Tech. Specs. and delivery to lots
2 and 3 contractors according to Scenario 1</v>
      </c>
      <c r="AE73" s="20" t="s">
        <v>125</v>
      </c>
      <c r="AF73" s="20" t="str">
        <f>_xlfn.XLOOKUP(Table4[[#This Row],[FromSite-UPS]],sites!D:D,sites!AB:AB,"",0)&amp;_xlfn.XLOOKUP(Table4[[#This Row],[ToLab]],labs!D:D,labs!Q:Q,"",0)</f>
        <v>EUEU</v>
      </c>
    </row>
    <row r="74" spans="2:32" ht="15.6" hidden="1" customHeight="1" x14ac:dyDescent="0.25">
      <c r="B74" s="13">
        <v>291</v>
      </c>
      <c r="C74" s="14" t="s">
        <v>53</v>
      </c>
      <c r="D74" s="13">
        <v>1</v>
      </c>
      <c r="E74" s="83">
        <v>45861</v>
      </c>
      <c r="F74" s="83">
        <v>45862</v>
      </c>
      <c r="G74" s="20">
        <f>IFERROR(WEEKNUM(Table4[[#This Row],[Confirmed Pick-up Date]]),"TBD")</f>
        <v>30</v>
      </c>
      <c r="H74" s="20" t="str">
        <f>IFERROR(TEXT(Table4[[#This Row],[Confirmed Pick-up Date]],"yy-mm"),"TBD")</f>
        <v>25-07</v>
      </c>
      <c r="I74" s="13" t="s">
        <v>975</v>
      </c>
      <c r="J74" s="20" t="str">
        <f>IFERROR(VLOOKUP(Table4[[#This Row],[FromSite-UPS]],Table1[[#All],[Company or Name]:[FromSite3]],15,FALSE),"")</f>
        <v>Vilnius WWTP</v>
      </c>
      <c r="K74" s="20" t="str">
        <f>IFERROR(VLOOKUP(Table4[[#This Row],[FromSite-UPS]],Table1[[#All],[Company or Name]:[FromSite3]],16,FALSE),"")</f>
        <v>Vilnius Bus Terminal</v>
      </c>
      <c r="L74" s="20">
        <f>IFERROR(VLOOKUP(Table4[[#This Row],[FromSite-UPS]],Table1[[#All],[Company or Name]:[FromSite3]],14,FALSE),"")</f>
        <v>0.58333333333333337</v>
      </c>
      <c r="M74" s="13" t="s">
        <v>42</v>
      </c>
      <c r="N74" s="20" t="s">
        <v>813</v>
      </c>
      <c r="O74" s="20" t="s">
        <v>995</v>
      </c>
      <c r="P74" s="20" t="s">
        <v>813</v>
      </c>
      <c r="Q74" s="20" t="s">
        <v>1018</v>
      </c>
      <c r="R74" s="20" t="s">
        <v>1002</v>
      </c>
      <c r="S74" s="20" t="s">
        <v>125</v>
      </c>
      <c r="T74" s="20" t="s">
        <v>856</v>
      </c>
      <c r="U74" s="20"/>
      <c r="V74" s="20"/>
      <c r="W74" s="20" t="str">
        <f>TEXT(Table4[[#This Row],[Confirmed Sampling Date]], "yyyy") &amp; "_" &amp; TEXT(Table4[[#This Row],[Confirmed Sampling Date]], "mm") &amp; "_" &amp; TEXT(Table4[[#This Row],[Confirmed Sampling Date]], "dd")</f>
        <v>2025_07_23</v>
      </c>
      <c r="X74" s="20" t="str">
        <f t="shared" si="1"/>
        <v>Vilnius</v>
      </c>
      <c r="Y74" s="20" t="str">
        <f>VLOOKUP(Table4[[#This Row],[FromSite-UPS]],Table1[[Company or Name]:[NOTES]],2,FALSE)</f>
        <v>Lithuania</v>
      </c>
      <c r="Z74" s="20">
        <f>IFERROR(WEEKNUM(Table4[[#This Row],[Confirmed Sampling Date]] - 10, 21), "TBD")</f>
        <v>28</v>
      </c>
      <c r="AA74" s="20" t="str">
        <f>_xlfn.XLOOKUP(Table4[[#This Row],[FromSite-UPS]],sites!D:D,sites!W:W,"",0)</f>
        <v>Zolyno 36 gatve, Vilnius, 10210, Lithuania</v>
      </c>
      <c r="AB74" s="20" t="str">
        <f>_xlfn.XLOOKUP(Table4[[#This Row],[ToLab]],labs!D:D,labs!P:P,"no adres",0)</f>
        <v>Via E. Fermi 2749, T.P. 120, Directorate D Sustainable Resources, Ispra, 21027, Italy</v>
      </c>
      <c r="AC74" s="20">
        <f>_xlfn.XLOOKUP(Table4[[#This Row],[combi]],AREA!E:E,AREA!F:F,"",0)</f>
        <v>89</v>
      </c>
      <c r="AD74" s="20" t="str">
        <f>_xlfn.XLOOKUP(Table4[[#This Row],[combi]],AREA!E:E,AREA!G:G,"",0)</f>
        <v>Pick-up service of hypothetic package as defined in the Tech. Specs. and delivery to lots
2 and 3 contractors according to Scenario 1</v>
      </c>
      <c r="AE74" s="20" t="s">
        <v>125</v>
      </c>
      <c r="AF74" s="20" t="str">
        <f>_xlfn.XLOOKUP(Table4[[#This Row],[FromSite-UPS]],sites!D:D,sites!AB:AB,"",0)&amp;_xlfn.XLOOKUP(Table4[[#This Row],[ToLab]],labs!D:D,labs!Q:Q,"",0)</f>
        <v>EUEU</v>
      </c>
    </row>
    <row r="75" spans="2:32" ht="15.6" hidden="1" customHeight="1" x14ac:dyDescent="0.2">
      <c r="B75" s="13">
        <v>3</v>
      </c>
      <c r="C75" s="14" t="s">
        <v>53</v>
      </c>
      <c r="D75" s="13">
        <v>1</v>
      </c>
      <c r="E75" s="22">
        <v>45864</v>
      </c>
      <c r="F75" s="22">
        <v>45867</v>
      </c>
      <c r="G75" s="20">
        <f>IFERROR(WEEKNUM(Table4[[#This Row],[Confirmed Pick-up Date]]),"TBD")</f>
        <v>31</v>
      </c>
      <c r="H75" s="20" t="str">
        <f>IFERROR(TEXT(Table4[[#This Row],[Confirmed Pick-up Date]],"yy-mm"),"TBD")</f>
        <v>25-07</v>
      </c>
      <c r="I75" s="64" t="s">
        <v>33</v>
      </c>
      <c r="J75" s="20" t="str">
        <f>IFERROR(VLOOKUP(Table4[[#This Row],[FromSite-UPS]],Table1[[#All],[Company or Name]:[FromSite3]],15,FALSE),"")</f>
        <v>Osaka Expo</v>
      </c>
      <c r="K75" s="20" t="str">
        <f>IFERROR(VLOOKUP(Table4[[#This Row],[FromSite-UPS]],Table1[[#All],[Company or Name]:[FromSite3]],16,FALSE),"")</f>
        <v>-</v>
      </c>
      <c r="L75" s="20">
        <f>IFERROR(VLOOKUP(Table4[[#This Row],[FromSite-UPS]],Table1[[#All],[Company or Name]:[FromSite3]],14,FALSE),"")</f>
        <v>0.58333333333333337</v>
      </c>
      <c r="M75" s="13" t="s">
        <v>42</v>
      </c>
      <c r="N75" s="20" t="s">
        <v>813</v>
      </c>
      <c r="O75" s="20" t="s">
        <v>1004</v>
      </c>
      <c r="P75" s="20" t="s">
        <v>813</v>
      </c>
      <c r="Q75" s="20" t="s">
        <v>1072</v>
      </c>
      <c r="R75" s="73" t="s">
        <v>1007</v>
      </c>
      <c r="S75" s="20" t="s">
        <v>125</v>
      </c>
      <c r="T75" s="20" t="s">
        <v>856</v>
      </c>
      <c r="U75" s="20"/>
      <c r="V75" s="20"/>
      <c r="W75" s="20" t="str">
        <f>TEXT(Table4[[#This Row],[Confirmed Sampling Date]], "yyyy") &amp; "_" &amp; TEXT(Table4[[#This Row],[Confirmed Sampling Date]], "mm") &amp; "_" &amp; TEXT(Table4[[#This Row],[Confirmed Sampling Date]], "dd")</f>
        <v>2025_07_26</v>
      </c>
      <c r="X75" s="20" t="str">
        <f t="shared" si="1"/>
        <v>Osaka</v>
      </c>
      <c r="Y75" s="20" t="str">
        <f>VLOOKUP(Table4[[#This Row],[FromSite-UPS]],Table1[[Company or Name]:[NOTES]],2,FALSE)</f>
        <v>Japan</v>
      </c>
      <c r="Z75" s="20">
        <f>IFERROR(WEEKNUM(Table4[[#This Row],[Confirmed Sampling Date]] - 10, 21), "TBD")</f>
        <v>29</v>
      </c>
      <c r="AA75" s="20" t="str">
        <f>_xlfn.XLOOKUP(Table4[[#This Row],[FromSite-UPS]],sites!D:D,sites!W:W,"",0)</f>
        <v>1-3-3 Nakamichi, Higashinari-ku, Osaka, 537-0025, Japan</v>
      </c>
      <c r="AB75" s="20" t="str">
        <f>_xlfn.XLOOKUP(Table4[[#This Row],[ToLab]],labs!D:D,labs!P:P,"no adres",0)</f>
        <v>Via E. Fermi 2749, T.P. 120, Directorate D Sustainable Resources, Ispra, 21027, Italy</v>
      </c>
      <c r="AC75" s="20">
        <f>_xlfn.XLOOKUP(Table4[[#This Row],[combi]],AREA!E:E,AREA!F:F,"",0)</f>
        <v>92</v>
      </c>
      <c r="AD75" s="20" t="str">
        <f>_xlfn.XLOOKUP(Table4[[#This Row],[combi]],AREA!E:E,AREA!G:G,"",0)</f>
        <v>Pick-up service of hypothetic package as defined in the Tech. Specs. and delivery to lots
2 and 3 contractors according to Scenario 4</v>
      </c>
      <c r="AE75" s="20" t="s">
        <v>125</v>
      </c>
      <c r="AF75" s="20" t="str">
        <f>_xlfn.XLOOKUP(Table4[[#This Row],[FromSite-UPS]],sites!D:D,sites!AB:AB,"",0)&amp;_xlfn.XLOOKUP(Table4[[#This Row],[ToLab]],labs!D:D,labs!Q:Q,"",0)</f>
        <v>Non-EuropeEU</v>
      </c>
    </row>
    <row r="76" spans="2:32" ht="15.6" hidden="1" customHeight="1" x14ac:dyDescent="0.25">
      <c r="B76" s="13">
        <v>11</v>
      </c>
      <c r="C76" s="14" t="s">
        <v>53</v>
      </c>
      <c r="D76" s="13">
        <v>1</v>
      </c>
      <c r="E76" s="83">
        <v>45872</v>
      </c>
      <c r="F76" s="83">
        <v>45873</v>
      </c>
      <c r="G76" s="13">
        <f>IFERROR(WEEKNUM(Table4[[#This Row],[Confirmed Pick-up Date]]),"TBD")</f>
        <v>32</v>
      </c>
      <c r="H76" s="13" t="str">
        <f>IFERROR(TEXT(Table4[[#This Row],[Confirmed Pick-up Date]],"yy-mm"),"TBD")</f>
        <v>25-08</v>
      </c>
      <c r="I76" s="13" t="s">
        <v>13</v>
      </c>
      <c r="J76" s="13" t="str">
        <f>IFERROR(VLOOKUP(Table4[[#This Row],[FromSite-UPS]],Table1[[#All],[Company or Name]:[FromSite3]],15,FALSE),"")</f>
        <v>Berlin (Schoenefeld) WWTP</v>
      </c>
      <c r="K76" s="13" t="str">
        <f>IFERROR(VLOOKUP(Table4[[#This Row],[FromSite-UPS]],Table1[[#All],[Company or Name]:[FromSite3]],16,FALSE),"")</f>
        <v>Berlin Airport</v>
      </c>
      <c r="L76" s="13">
        <f>IFERROR(VLOOKUP(Table4[[#This Row],[FromSite-UPS]],Table1[[#All],[Company or Name]:[FromSite3]],14,FALSE),"")</f>
        <v>0.58333333333333337</v>
      </c>
      <c r="M76" s="13" t="s">
        <v>1011</v>
      </c>
      <c r="N76" s="20" t="s">
        <v>813</v>
      </c>
      <c r="O76" s="13" t="s">
        <v>1053</v>
      </c>
      <c r="P76" s="13" t="s">
        <v>1098</v>
      </c>
      <c r="Q76" s="74" t="s">
        <v>1097</v>
      </c>
      <c r="R76" s="35"/>
      <c r="S76" s="20" t="s">
        <v>125</v>
      </c>
      <c r="T76" s="20" t="s">
        <v>856</v>
      </c>
      <c r="U76" s="20"/>
      <c r="V76" s="20"/>
      <c r="W76" s="20" t="str">
        <f>TEXT(Table4[[#This Row],[Confirmed Sampling Date]], "yyyy") &amp; "_" &amp; TEXT(Table4[[#This Row],[Confirmed Sampling Date]], "mm") &amp; "_" &amp; TEXT(Table4[[#This Row],[Confirmed Sampling Date]], "dd")</f>
        <v>2025_08_03</v>
      </c>
      <c r="X76" s="20" t="str">
        <f t="shared" si="1"/>
        <v>Berlin</v>
      </c>
      <c r="Y76" s="20" t="str">
        <f>VLOOKUP(Table4[[#This Row],[FromSite-UPS]],Table1[[Company or Name]:[NOTES]],2,FALSE)</f>
        <v>Germany</v>
      </c>
      <c r="Z76" s="20">
        <f>IFERROR(WEEKNUM(Table4[[#This Row],[Confirmed Sampling Date]] - 10, 21), "TBD")</f>
        <v>30</v>
      </c>
      <c r="AA76" s="20" t="str">
        <f>_xlfn.XLOOKUP(Table4[[#This Row],[FromSite-UPS]],sites!D:D,sites!W:W,"",0)</f>
        <v>Strasse am Klarwerk 4, Klarwerk Wassmannsdorf, Schoenefeld, 12529, Germany</v>
      </c>
      <c r="AB76" s="20" t="str">
        <f>_xlfn.XLOOKUP(Table4[[#This Row],[ToLab]],labs!D:D,labs!P:P,"no adres",0)</f>
        <v>Av. Rovisco Pais 1, Laboratorio de Analises de Agua, Lisbon, 1049-001, Portugal</v>
      </c>
      <c r="AC76" s="20">
        <f>_xlfn.XLOOKUP(Table4[[#This Row],[combi]],AREA!E:E,AREA!F:F,"",0)</f>
        <v>89</v>
      </c>
      <c r="AD76" s="20" t="str">
        <f>_xlfn.XLOOKUP(Table4[[#This Row],[combi]],AREA!E:E,AREA!G:G,"",0)</f>
        <v>Pick-up service of hypothetic package as defined in the Tech. Specs. and delivery to lots
2 and 3 contractors according to Scenario 1</v>
      </c>
      <c r="AE76" s="20" t="s">
        <v>125</v>
      </c>
      <c r="AF76" s="20" t="str">
        <f>_xlfn.XLOOKUP(Table4[[#This Row],[FromSite-UPS]],sites!D:D,sites!AB:AB,"",0)&amp;_xlfn.XLOOKUP(Table4[[#This Row],[ToLab]],labs!D:D,labs!Q:Q,"",0)</f>
        <v>EUEU</v>
      </c>
    </row>
    <row r="77" spans="2:32" ht="15.6" hidden="1" customHeight="1" x14ac:dyDescent="0.25">
      <c r="B77" s="13">
        <v>74</v>
      </c>
      <c r="C77" s="14" t="s">
        <v>53</v>
      </c>
      <c r="D77" s="13">
        <v>1</v>
      </c>
      <c r="E77" s="83">
        <v>45872</v>
      </c>
      <c r="F77" s="83">
        <v>45873</v>
      </c>
      <c r="G77" s="20">
        <f>IFERROR(WEEKNUM(Table4[[#This Row],[Confirmed Pick-up Date]]),"TBD")</f>
        <v>32</v>
      </c>
      <c r="H77" s="20" t="str">
        <f>IFERROR(TEXT(Table4[[#This Row],[Confirmed Pick-up Date]],"yy-mm"),"TBD")</f>
        <v>25-08</v>
      </c>
      <c r="I77" s="13" t="s">
        <v>13</v>
      </c>
      <c r="J77" s="20" t="str">
        <f>IFERROR(VLOOKUP(Table4[[#This Row],[FromSite-UPS]],Table1[[#All],[Company or Name]:[FromSite3]],15,FALSE),"")</f>
        <v>Berlin (Schoenefeld) WWTP</v>
      </c>
      <c r="K77" s="20" t="str">
        <f>IFERROR(VLOOKUP(Table4[[#This Row],[FromSite-UPS]],Table1[[#All],[Company or Name]:[FromSite3]],16,FALSE),"")</f>
        <v>Berlin Airport</v>
      </c>
      <c r="L77" s="20">
        <f>IFERROR(VLOOKUP(Table4[[#This Row],[FromSite-UPS]],Table1[[#All],[Company or Name]:[FromSite3]],14,FALSE),"")</f>
        <v>0.58333333333333337</v>
      </c>
      <c r="M77" s="13" t="s">
        <v>1011</v>
      </c>
      <c r="N77" s="20" t="s">
        <v>813</v>
      </c>
      <c r="O77" s="13" t="s">
        <v>1054</v>
      </c>
      <c r="P77" s="13" t="s">
        <v>1098</v>
      </c>
      <c r="Q77" s="74" t="s">
        <v>1097</v>
      </c>
      <c r="R77" s="20"/>
      <c r="S77" s="20" t="s">
        <v>125</v>
      </c>
      <c r="T77" s="20" t="s">
        <v>856</v>
      </c>
      <c r="U77" s="20"/>
      <c r="V77" s="20"/>
      <c r="W77" s="20" t="str">
        <f>TEXT(Table4[[#This Row],[Confirmed Sampling Date]], "yyyy") &amp; "_" &amp; TEXT(Table4[[#This Row],[Confirmed Sampling Date]], "mm") &amp; "_" &amp; TEXT(Table4[[#This Row],[Confirmed Sampling Date]], "dd")</f>
        <v>2025_08_03</v>
      </c>
      <c r="X77" s="20" t="str">
        <f t="shared" si="1"/>
        <v>Berlin</v>
      </c>
      <c r="Y77" s="20" t="str">
        <f>VLOOKUP(Table4[[#This Row],[FromSite-UPS]],Table1[[Company or Name]:[NOTES]],2,FALSE)</f>
        <v>Germany</v>
      </c>
      <c r="Z77" s="20">
        <f>IFERROR(WEEKNUM(Table4[[#This Row],[Confirmed Sampling Date]] - 10, 21), "TBD")</f>
        <v>30</v>
      </c>
      <c r="AA77" s="20" t="str">
        <f>_xlfn.XLOOKUP(Table4[[#This Row],[FromSite-UPS]],sites!D:D,sites!W:W,"",0)</f>
        <v>Strasse am Klarwerk 4, Klarwerk Wassmannsdorf, Schoenefeld, 12529, Germany</v>
      </c>
      <c r="AB77" s="20" t="str">
        <f>_xlfn.XLOOKUP(Table4[[#This Row],[ToLab]],labs!D:D,labs!P:P,"no adres",0)</f>
        <v>Av. Rovisco Pais 1, Laboratorio de Analises de Agua, Lisbon, 1049-001, Portugal</v>
      </c>
      <c r="AC77" s="20">
        <f>_xlfn.XLOOKUP(Table4[[#This Row],[combi]],AREA!E:E,AREA!F:F,"",0)</f>
        <v>89</v>
      </c>
      <c r="AD77" s="20" t="str">
        <f>_xlfn.XLOOKUP(Table4[[#This Row],[combi]],AREA!E:E,AREA!G:G,"",0)</f>
        <v>Pick-up service of hypothetic package as defined in the Tech. Specs. and delivery to lots
2 and 3 contractors according to Scenario 1</v>
      </c>
      <c r="AE77" s="20" t="s">
        <v>125</v>
      </c>
      <c r="AF77" s="20" t="str">
        <f>_xlfn.XLOOKUP(Table4[[#This Row],[FromSite-UPS]],sites!D:D,sites!AB:AB,"",0)&amp;_xlfn.XLOOKUP(Table4[[#This Row],[ToLab]],labs!D:D,labs!Q:Q,"",0)</f>
        <v>EUEU</v>
      </c>
    </row>
    <row r="78" spans="2:32" ht="15.6" hidden="1" customHeight="1" x14ac:dyDescent="0.25">
      <c r="B78" s="13">
        <v>52</v>
      </c>
      <c r="C78" s="14" t="s">
        <v>53</v>
      </c>
      <c r="D78" s="13">
        <v>1</v>
      </c>
      <c r="E78" s="83">
        <v>45873</v>
      </c>
      <c r="F78" s="83">
        <v>45874</v>
      </c>
      <c r="G78" s="20">
        <f>IFERROR(WEEKNUM(Table4[[#This Row],[Confirmed Pick-up Date]]),"TBD")</f>
        <v>32</v>
      </c>
      <c r="H78" s="20" t="str">
        <f>IFERROR(TEXT(Table4[[#This Row],[Confirmed Pick-up Date]],"yy-mm"),"TBD")</f>
        <v>25-08</v>
      </c>
      <c r="I78" s="13" t="s">
        <v>364</v>
      </c>
      <c r="J78" s="20" t="str">
        <f>IFERROR(VLOOKUP(Table4[[#This Row],[FromSite-UPS]],Table1[[#All],[Company or Name]:[FromSite3]],15,FALSE),"")</f>
        <v>Brussels WWTP</v>
      </c>
      <c r="K78" s="20" t="str">
        <f>IFERROR(VLOOKUP(Table4[[#This Row],[FromSite-UPS]],Table1[[#All],[Company or Name]:[FromSite3]],16,FALSE),"")</f>
        <v>Brussels Airport</v>
      </c>
      <c r="L78" s="20">
        <f>IFERROR(VLOOKUP(Table4[[#This Row],[FromSite-UPS]],Table1[[#All],[Company or Name]:[FromSite3]],14,FALSE),"")</f>
        <v>0.70833333333333337</v>
      </c>
      <c r="M78" s="13" t="s">
        <v>1011</v>
      </c>
      <c r="N78" s="20" t="s">
        <v>813</v>
      </c>
      <c r="O78" s="13" t="s">
        <v>1055</v>
      </c>
      <c r="P78" s="13" t="s">
        <v>1098</v>
      </c>
      <c r="Q78" s="20" t="s">
        <v>1102</v>
      </c>
      <c r="R78" s="20"/>
      <c r="S78" s="20" t="s">
        <v>125</v>
      </c>
      <c r="T78" s="20" t="s">
        <v>856</v>
      </c>
      <c r="U78" s="20"/>
      <c r="V78" s="20"/>
      <c r="W78" s="20" t="str">
        <f>TEXT(Table4[[#This Row],[Confirmed Sampling Date]], "yyyy") &amp; "_" &amp; TEXT(Table4[[#This Row],[Confirmed Sampling Date]], "mm") &amp; "_" &amp; TEXT(Table4[[#This Row],[Confirmed Sampling Date]], "dd")</f>
        <v>2025_08_04</v>
      </c>
      <c r="X78" s="20" t="str">
        <f t="shared" si="1"/>
        <v>Brussels</v>
      </c>
      <c r="Y78" s="20" t="str">
        <f>VLOOKUP(Table4[[#This Row],[FromSite-UPS]],Table1[[Company or Name]:[NOTES]],2,FALSE)</f>
        <v>Belgium</v>
      </c>
      <c r="Z78" s="20">
        <f>IFERROR(WEEKNUM(Table4[[#This Row],[Confirmed Sampling Date]] - 10, 21), "TBD")</f>
        <v>30</v>
      </c>
      <c r="AA78" s="20" t="str">
        <f>_xlfn.XLOOKUP(Table4[[#This Row],[FromSite-UPS]],sites!D:D,sites!W:W,"",0)</f>
        <v>Rue Juliette Wytsmanstraat 14, Brussels, 1050, Belgium</v>
      </c>
      <c r="AB78" s="20" t="str">
        <f>_xlfn.XLOOKUP(Table4[[#This Row],[ToLab]],labs!D:D,labs!P:P,"no adres",0)</f>
        <v>Av. Rovisco Pais 1, Laboratorio de Analises de Agua, Lisbon, 1049-001, Portugal</v>
      </c>
      <c r="AC78" s="20">
        <f>_xlfn.XLOOKUP(Table4[[#This Row],[combi]],AREA!E:E,AREA!F:F,"",0)</f>
        <v>89</v>
      </c>
      <c r="AD78" s="20" t="str">
        <f>_xlfn.XLOOKUP(Table4[[#This Row],[combi]],AREA!E:E,AREA!G:G,"",0)</f>
        <v>Pick-up service of hypothetic package as defined in the Tech. Specs. and delivery to lots
2 and 3 contractors according to Scenario 1</v>
      </c>
      <c r="AE78" s="20" t="s">
        <v>125</v>
      </c>
      <c r="AF78" s="20" t="str">
        <f>_xlfn.XLOOKUP(Table4[[#This Row],[FromSite-UPS]],sites!D:D,sites!AB:AB,"",0)&amp;_xlfn.XLOOKUP(Table4[[#This Row],[ToLab]],labs!D:D,labs!Q:Q,"",0)</f>
        <v>EUEU</v>
      </c>
    </row>
    <row r="79" spans="2:32" ht="15.6" hidden="1" customHeight="1" x14ac:dyDescent="0.25">
      <c r="B79" s="13">
        <v>115</v>
      </c>
      <c r="C79" s="14" t="s">
        <v>53</v>
      </c>
      <c r="D79" s="13">
        <v>1</v>
      </c>
      <c r="E79" s="83">
        <v>45873</v>
      </c>
      <c r="F79" s="83">
        <v>45874</v>
      </c>
      <c r="G79" s="20">
        <f>IFERROR(WEEKNUM(Table4[[#This Row],[Confirmed Pick-up Date]]),"TBD")</f>
        <v>32</v>
      </c>
      <c r="H79" s="20" t="str">
        <f>IFERROR(TEXT(Table4[[#This Row],[Confirmed Pick-up Date]],"yy-mm"),"TBD")</f>
        <v>25-08</v>
      </c>
      <c r="I79" s="13" t="s">
        <v>364</v>
      </c>
      <c r="J79" s="20" t="str">
        <f>IFERROR(VLOOKUP(Table4[[#This Row],[FromSite-UPS]],Table1[[#All],[Company or Name]:[FromSite3]],15,FALSE),"")</f>
        <v>Brussels WWTP</v>
      </c>
      <c r="K79" s="20" t="str">
        <f>IFERROR(VLOOKUP(Table4[[#This Row],[FromSite-UPS]],Table1[[#All],[Company or Name]:[FromSite3]],16,FALSE),"")</f>
        <v>Brussels Airport</v>
      </c>
      <c r="L79" s="20">
        <f>IFERROR(VLOOKUP(Table4[[#This Row],[FromSite-UPS]],Table1[[#All],[Company or Name]:[FromSite3]],14,FALSE),"")</f>
        <v>0.70833333333333337</v>
      </c>
      <c r="M79" s="13" t="s">
        <v>1011</v>
      </c>
      <c r="N79" s="20" t="s">
        <v>813</v>
      </c>
      <c r="O79" s="13" t="s">
        <v>1056</v>
      </c>
      <c r="P79" s="13" t="s">
        <v>1098</v>
      </c>
      <c r="Q79" s="20" t="s">
        <v>1102</v>
      </c>
      <c r="R79" s="20"/>
      <c r="S79" s="20" t="s">
        <v>125</v>
      </c>
      <c r="T79" s="20" t="s">
        <v>856</v>
      </c>
      <c r="U79" s="20"/>
      <c r="V79" s="20"/>
      <c r="W79" s="20" t="str">
        <f>TEXT(Table4[[#This Row],[Confirmed Sampling Date]], "yyyy") &amp; "_" &amp; TEXT(Table4[[#This Row],[Confirmed Sampling Date]], "mm") &amp; "_" &amp; TEXT(Table4[[#This Row],[Confirmed Sampling Date]], "dd")</f>
        <v>2025_08_04</v>
      </c>
      <c r="X79" s="20" t="str">
        <f t="shared" si="1"/>
        <v>Brussels</v>
      </c>
      <c r="Y79" s="20" t="str">
        <f>VLOOKUP(Table4[[#This Row],[FromSite-UPS]],Table1[[Company or Name]:[NOTES]],2,FALSE)</f>
        <v>Belgium</v>
      </c>
      <c r="Z79" s="20">
        <f>IFERROR(WEEKNUM(Table4[[#This Row],[Confirmed Sampling Date]] - 10, 21), "TBD")</f>
        <v>30</v>
      </c>
      <c r="AA79" s="20" t="str">
        <f>_xlfn.XLOOKUP(Table4[[#This Row],[FromSite-UPS]],sites!D:D,sites!W:W,"",0)</f>
        <v>Rue Juliette Wytsmanstraat 14, Brussels, 1050, Belgium</v>
      </c>
      <c r="AB79" s="20" t="str">
        <f>_xlfn.XLOOKUP(Table4[[#This Row],[ToLab]],labs!D:D,labs!P:P,"no adres",0)</f>
        <v>Av. Rovisco Pais 1, Laboratorio de Analises de Agua, Lisbon, 1049-001, Portugal</v>
      </c>
      <c r="AC79" s="20">
        <f>_xlfn.XLOOKUP(Table4[[#This Row],[combi]],AREA!E:E,AREA!F:F,"",0)</f>
        <v>89</v>
      </c>
      <c r="AD79" s="20" t="str">
        <f>_xlfn.XLOOKUP(Table4[[#This Row],[combi]],AREA!E:E,AREA!G:G,"",0)</f>
        <v>Pick-up service of hypothetic package as defined in the Tech. Specs. and delivery to lots
2 and 3 contractors according to Scenario 1</v>
      </c>
      <c r="AE79" s="20" t="s">
        <v>125</v>
      </c>
      <c r="AF79" s="20" t="str">
        <f>_xlfn.XLOOKUP(Table4[[#This Row],[FromSite-UPS]],sites!D:D,sites!AB:AB,"",0)&amp;_xlfn.XLOOKUP(Table4[[#This Row],[ToLab]],labs!D:D,labs!Q:Q,"",0)</f>
        <v>EUEU</v>
      </c>
    </row>
    <row r="80" spans="2:32" ht="15.6" hidden="1" customHeight="1" x14ac:dyDescent="0.25">
      <c r="B80" s="13">
        <v>241</v>
      </c>
      <c r="C80" s="14" t="s">
        <v>53</v>
      </c>
      <c r="D80" s="13">
        <v>1</v>
      </c>
      <c r="E80" s="83">
        <v>45874</v>
      </c>
      <c r="F80" s="83">
        <v>45874</v>
      </c>
      <c r="G80" s="20">
        <f>IFERROR(WEEKNUM(Table4[[#This Row],[Confirmed Pick-up Date]]),"TBD")</f>
        <v>32</v>
      </c>
      <c r="H80" s="20" t="str">
        <f>IFERROR(TEXT(Table4[[#This Row],[Confirmed Pick-up Date]],"yy-mm"),"TBD")</f>
        <v>25-08</v>
      </c>
      <c r="I80" s="13" t="s">
        <v>863</v>
      </c>
      <c r="J80" s="20" t="str">
        <f>IFERROR(VLOOKUP(Table4[[#This Row],[FromSite-UPS]],Table1[[#All],[Company or Name]:[FromSite3]],15,FALSE),"")</f>
        <v>Dusseldorf WWTP 2101</v>
      </c>
      <c r="K80" s="20" t="str">
        <f>IFERROR(VLOOKUP(Table4[[#This Row],[FromSite-UPS]],Table1[[#All],[Company or Name]:[FromSite3]],16,FALSE),"")</f>
        <v>Dusseldorf WWTP 601</v>
      </c>
      <c r="L80" s="20">
        <f>IFERROR(VLOOKUP(Table4[[#This Row],[FromSite-UPS]],Table1[[#All],[Company or Name]:[FromSite3]],14,FALSE),"")</f>
        <v>0.625</v>
      </c>
      <c r="M80" s="13" t="s">
        <v>1011</v>
      </c>
      <c r="N80" s="20" t="s">
        <v>813</v>
      </c>
      <c r="O80" s="20" t="s">
        <v>1065</v>
      </c>
      <c r="P80" s="13" t="s">
        <v>1098</v>
      </c>
      <c r="Q80" s="20" t="s">
        <v>1194</v>
      </c>
      <c r="R80" s="20"/>
      <c r="S80" s="20" t="s">
        <v>125</v>
      </c>
      <c r="T80" s="20" t="s">
        <v>856</v>
      </c>
      <c r="U80" s="20"/>
      <c r="V80" s="20"/>
      <c r="W80" s="20" t="str">
        <f>TEXT(Table4[[#This Row],[Confirmed Sampling Date]], "yyyy") &amp; "_" &amp; TEXT(Table4[[#This Row],[Confirmed Sampling Date]], "mm") &amp; "_" &amp; TEXT(Table4[[#This Row],[Confirmed Sampling Date]], "dd")</f>
        <v>2025_08_05</v>
      </c>
      <c r="X80" s="20" t="str">
        <f t="shared" si="1"/>
        <v>Dusseldorf</v>
      </c>
      <c r="Y80" s="20" t="str">
        <f>VLOOKUP(Table4[[#This Row],[FromSite-UPS]],Table1[[Company or Name]:[NOTES]],2,FALSE)</f>
        <v>Germany</v>
      </c>
      <c r="Z80" s="20">
        <f>IFERROR(WEEKNUM(Table4[[#This Row],[Confirmed Sampling Date]] - 10, 21), "TBD")</f>
        <v>30</v>
      </c>
      <c r="AA80" s="20" t="str">
        <f>_xlfn.XLOOKUP(Table4[[#This Row],[FromSite-UPS]],sites!D:D,sites!W:W,"",0)</f>
        <v>Auf dem Draap 15, Chemisch-Biologische Laboratorien, Dusseldorf, 40221, Germany</v>
      </c>
      <c r="AB80" s="20" t="str">
        <f>_xlfn.XLOOKUP(Table4[[#This Row],[ToLab]],labs!D:D,labs!P:P,"no adres",0)</f>
        <v>Av. Rovisco Pais 1, Laboratorio de Analises de Agua, Lisbon, 1049-001, Portugal</v>
      </c>
      <c r="AC80" s="20">
        <f>_xlfn.XLOOKUP(Table4[[#This Row],[combi]],AREA!E:E,AREA!F:F,"",0)</f>
        <v>89</v>
      </c>
      <c r="AD80" s="20" t="str">
        <f>_xlfn.XLOOKUP(Table4[[#This Row],[combi]],AREA!E:E,AREA!G:G,"",0)</f>
        <v>Pick-up service of hypothetic package as defined in the Tech. Specs. and delivery to lots
2 and 3 contractors according to Scenario 1</v>
      </c>
      <c r="AE80" s="20" t="s">
        <v>125</v>
      </c>
      <c r="AF80" s="20" t="str">
        <f>_xlfn.XLOOKUP(Table4[[#This Row],[FromSite-UPS]],sites!D:D,sites!AB:AB,"",0)&amp;_xlfn.XLOOKUP(Table4[[#This Row],[ToLab]],labs!D:D,labs!Q:Q,"",0)</f>
        <v>EUEU</v>
      </c>
    </row>
    <row r="81" spans="2:32" ht="15.6" hidden="1" customHeight="1" x14ac:dyDescent="0.25">
      <c r="B81" s="13">
        <v>253</v>
      </c>
      <c r="C81" s="14" t="s">
        <v>53</v>
      </c>
      <c r="D81" s="13">
        <v>1</v>
      </c>
      <c r="E81" s="84">
        <v>45874</v>
      </c>
      <c r="F81" s="84">
        <v>45874</v>
      </c>
      <c r="G81" s="20">
        <f>IFERROR(WEEKNUM(Table4[[#This Row],[Confirmed Pick-up Date]]),"TBD")</f>
        <v>32</v>
      </c>
      <c r="H81" s="20" t="str">
        <f>IFERROR(TEXT(Table4[[#This Row],[Confirmed Pick-up Date]],"yy-mm"),"TBD")</f>
        <v>25-08</v>
      </c>
      <c r="I81" s="66" t="s">
        <v>863</v>
      </c>
      <c r="J81" s="20" t="str">
        <f>IFERROR(VLOOKUP(Table4[[#This Row],[FromSite-UPS]],Table1[[#All],[Company or Name]:[FromSite3]],15,FALSE),"")</f>
        <v>Dusseldorf WWTP 2101</v>
      </c>
      <c r="K81" s="20" t="str">
        <f>IFERROR(VLOOKUP(Table4[[#This Row],[FromSite-UPS]],Table1[[#All],[Company or Name]:[FromSite3]],16,FALSE),"")</f>
        <v>Dusseldorf WWTP 601</v>
      </c>
      <c r="L81" s="20">
        <f>IFERROR(VLOOKUP(Table4[[#This Row],[FromSite-UPS]],Table1[[#All],[Company or Name]:[FromSite3]],14,FALSE),"")</f>
        <v>0.625</v>
      </c>
      <c r="M81" s="13" t="s">
        <v>1011</v>
      </c>
      <c r="N81" s="20" t="s">
        <v>813</v>
      </c>
      <c r="O81" s="20" t="s">
        <v>1066</v>
      </c>
      <c r="P81" s="13" t="s">
        <v>1098</v>
      </c>
      <c r="Q81" s="20" t="s">
        <v>1101</v>
      </c>
      <c r="R81" s="20"/>
      <c r="S81" s="20" t="s">
        <v>125</v>
      </c>
      <c r="T81" s="20" t="s">
        <v>856</v>
      </c>
      <c r="U81" s="20"/>
      <c r="V81" s="20"/>
      <c r="W81" s="20" t="str">
        <f>TEXT(Table4[[#This Row],[Confirmed Sampling Date]], "yyyy") &amp; "_" &amp; TEXT(Table4[[#This Row],[Confirmed Sampling Date]], "mm") &amp; "_" &amp; TEXT(Table4[[#This Row],[Confirmed Sampling Date]], "dd")</f>
        <v>2025_08_05</v>
      </c>
      <c r="X81" s="20" t="str">
        <f t="shared" si="1"/>
        <v>Dusseldorf</v>
      </c>
      <c r="Y81" s="20" t="str">
        <f>VLOOKUP(Table4[[#This Row],[FromSite-UPS]],Table1[[Company or Name]:[NOTES]],2,FALSE)</f>
        <v>Germany</v>
      </c>
      <c r="Z81" s="20">
        <f>IFERROR(WEEKNUM(Table4[[#This Row],[Confirmed Sampling Date]] - 10, 21), "TBD")</f>
        <v>30</v>
      </c>
      <c r="AA81" s="20" t="str">
        <f>_xlfn.XLOOKUP(Table4[[#This Row],[FromSite-UPS]],sites!D:D,sites!W:W,"",0)</f>
        <v>Auf dem Draap 15, Chemisch-Biologische Laboratorien, Dusseldorf, 40221, Germany</v>
      </c>
      <c r="AB81" s="20" t="str">
        <f>_xlfn.XLOOKUP(Table4[[#This Row],[ToLab]],labs!D:D,labs!P:P,"no adres",0)</f>
        <v>Av. Rovisco Pais 1, Laboratorio de Analises de Agua, Lisbon, 1049-001, Portugal</v>
      </c>
      <c r="AC81" s="20">
        <f>_xlfn.XLOOKUP(Table4[[#This Row],[combi]],AREA!E:E,AREA!F:F,"",0)</f>
        <v>89</v>
      </c>
      <c r="AD81" s="20" t="str">
        <f>_xlfn.XLOOKUP(Table4[[#This Row],[combi]],AREA!E:E,AREA!G:G,"",0)</f>
        <v>Pick-up service of hypothetic package as defined in the Tech. Specs. and delivery to lots
2 and 3 contractors according to Scenario 1</v>
      </c>
      <c r="AE81" s="20" t="s">
        <v>125</v>
      </c>
      <c r="AF81" s="20" t="str">
        <f>_xlfn.XLOOKUP(Table4[[#This Row],[FromSite-UPS]],sites!D:D,sites!AB:AB,"",0)&amp;_xlfn.XLOOKUP(Table4[[#This Row],[ToLab]],labs!D:D,labs!Q:Q,"",0)</f>
        <v>EUEU</v>
      </c>
    </row>
    <row r="82" spans="2:32" ht="15.6" hidden="1" customHeight="1" x14ac:dyDescent="0.25">
      <c r="B82" s="13">
        <v>25</v>
      </c>
      <c r="C82" s="14" t="s">
        <v>53</v>
      </c>
      <c r="D82" s="13">
        <v>1</v>
      </c>
      <c r="E82" s="34">
        <v>45874</v>
      </c>
      <c r="F82" s="34">
        <v>45875</v>
      </c>
      <c r="G82" s="20">
        <f>IFERROR(WEEKNUM(Table4[[#This Row],[Confirmed Pick-up Date]]),"TBD")</f>
        <v>32</v>
      </c>
      <c r="H82" s="20" t="str">
        <f>IFERROR(TEXT(Table4[[#This Row],[Confirmed Pick-up Date]],"yy-mm"),"TBD")</f>
        <v>25-08</v>
      </c>
      <c r="I82" s="13" t="s">
        <v>19</v>
      </c>
      <c r="J82" s="13" t="str">
        <f>IFERROR(VLOOKUP(Table4[[#This Row],[FromSite-UPS]],Table1[[#All],[Company or Name]:[FromSite3]],15,FALSE),"")</f>
        <v>Munich WWTP</v>
      </c>
      <c r="K82" s="20" t="str">
        <f>IFERROR(VLOOKUP(Table4[[#This Row],[FromSite-UPS]],Table1[[#All],[Company or Name]:[FromSite3]],16,FALSE),"")</f>
        <v>Munich Airport</v>
      </c>
      <c r="L82" s="20">
        <f>IFERROR(VLOOKUP(Table4[[#This Row],[FromSite-UPS]],Table1[[#All],[Company or Name]:[FromSite3]],14,FALSE),"")</f>
        <v>0.58333333333333337</v>
      </c>
      <c r="M82" s="13" t="s">
        <v>1011</v>
      </c>
      <c r="N82" s="20" t="s">
        <v>813</v>
      </c>
      <c r="O82" s="13" t="s">
        <v>1057</v>
      </c>
      <c r="P82" s="13" t="s">
        <v>1098</v>
      </c>
      <c r="Q82" s="20" t="s">
        <v>1099</v>
      </c>
      <c r="R82" s="20"/>
      <c r="S82" s="20" t="s">
        <v>125</v>
      </c>
      <c r="T82" s="20" t="s">
        <v>856</v>
      </c>
      <c r="U82" s="20"/>
      <c r="V82" s="20" t="s">
        <v>1223</v>
      </c>
      <c r="W82" s="20" t="str">
        <f>TEXT(Table4[[#This Row],[Confirmed Sampling Date]], "yyyy") &amp; "_" &amp; TEXT(Table4[[#This Row],[Confirmed Sampling Date]], "mm") &amp; "_" &amp; TEXT(Table4[[#This Row],[Confirmed Sampling Date]], "dd")</f>
        <v>2025_08_05</v>
      </c>
      <c r="X82" s="20" t="str">
        <f t="shared" si="1"/>
        <v>Munich</v>
      </c>
      <c r="Y82" s="20" t="str">
        <f>VLOOKUP(Table4[[#This Row],[FromSite-UPS]],Table1[[Company or Name]:[NOTES]],2,FALSE)</f>
        <v>Germany</v>
      </c>
      <c r="Z82" s="20">
        <f>IFERROR(WEEKNUM(Table4[[#This Row],[Confirmed Sampling Date]] - 10, 21), "TBD")</f>
        <v>30</v>
      </c>
      <c r="AA82" s="20" t="str">
        <f>_xlfn.XLOOKUP(Table4[[#This Row],[FromSite-UPS]],sites!D:D,sites!W:W,"",0)</f>
        <v>Leopoldstrasse 5, Institut fuer Infektions- und Tropenmedizin, Munich, 80802, Germany</v>
      </c>
      <c r="AB82" s="20" t="str">
        <f>_xlfn.XLOOKUP(Table4[[#This Row],[ToLab]],labs!D:D,labs!P:P,"no adres",0)</f>
        <v>Av. Rovisco Pais 1, Laboratorio de Analises de Agua, Lisbon, 1049-001, Portugal</v>
      </c>
      <c r="AC82" s="20">
        <f>_xlfn.XLOOKUP(Table4[[#This Row],[combi]],AREA!E:E,AREA!F:F,"",0)</f>
        <v>89</v>
      </c>
      <c r="AD82" s="20" t="str">
        <f>_xlfn.XLOOKUP(Table4[[#This Row],[combi]],AREA!E:E,AREA!G:G,"",0)</f>
        <v>Pick-up service of hypothetic package as defined in the Tech. Specs. and delivery to lots
2 and 3 contractors according to Scenario 1</v>
      </c>
      <c r="AE82" s="20" t="s">
        <v>125</v>
      </c>
      <c r="AF82" s="20" t="str">
        <f>_xlfn.XLOOKUP(Table4[[#This Row],[FromSite-UPS]],sites!D:D,sites!AB:AB,"",0)&amp;_xlfn.XLOOKUP(Table4[[#This Row],[ToLab]],labs!D:D,labs!Q:Q,"",0)</f>
        <v>EUEU</v>
      </c>
    </row>
    <row r="83" spans="2:32" ht="15.6" hidden="1" customHeight="1" x14ac:dyDescent="0.25">
      <c r="B83" s="13">
        <v>39</v>
      </c>
      <c r="C83" s="14" t="s">
        <v>53</v>
      </c>
      <c r="D83" s="13">
        <v>1</v>
      </c>
      <c r="E83" s="22">
        <v>45874</v>
      </c>
      <c r="F83" s="22">
        <v>45875</v>
      </c>
      <c r="G83" s="20">
        <f>IFERROR(WEEKNUM(Table4[[#This Row],[Confirmed Pick-up Date]]),"TBD")</f>
        <v>32</v>
      </c>
      <c r="H83" s="20" t="str">
        <f>IFERROR(TEXT(Table4[[#This Row],[Confirmed Pick-up Date]],"yy-mm"),"TBD")</f>
        <v>25-08</v>
      </c>
      <c r="I83" s="64" t="s">
        <v>677</v>
      </c>
      <c r="J83" s="13" t="str">
        <f>IFERROR(VLOOKUP(Table4[[#This Row],[FromSite-UPS]],Table1[[#All],[Company or Name]:[FromSite3]],15,FALSE),"")</f>
        <v>Frankfurt WWTP</v>
      </c>
      <c r="K83" s="20" t="str">
        <f>IFERROR(VLOOKUP(Table4[[#This Row],[FromSite-UPS]],Table1[[#All],[Company or Name]:[FromSite3]],16,FALSE),"")</f>
        <v>Frankfurt Airport</v>
      </c>
      <c r="L83" s="20">
        <f>IFERROR(VLOOKUP(Table4[[#This Row],[FromSite-UPS]],Table1[[#All],[Company or Name]:[FromSite3]],14,FALSE),"")</f>
        <v>0.58333333333333337</v>
      </c>
      <c r="M83" s="13" t="s">
        <v>1011</v>
      </c>
      <c r="N83" s="20" t="s">
        <v>813</v>
      </c>
      <c r="O83" s="20" t="s">
        <v>1059</v>
      </c>
      <c r="P83" s="13" t="s">
        <v>1098</v>
      </c>
      <c r="Q83" s="20" t="s">
        <v>1100</v>
      </c>
      <c r="R83" s="20"/>
      <c r="S83" s="20" t="s">
        <v>125</v>
      </c>
      <c r="T83" s="20" t="s">
        <v>856</v>
      </c>
      <c r="U83" s="20"/>
      <c r="V83" s="20"/>
      <c r="W83" s="20" t="str">
        <f>TEXT(Table4[[#This Row],[Confirmed Sampling Date]], "yyyy") &amp; "_" &amp; TEXT(Table4[[#This Row],[Confirmed Sampling Date]], "mm") &amp; "_" &amp; TEXT(Table4[[#This Row],[Confirmed Sampling Date]], "dd")</f>
        <v>2025_08_05</v>
      </c>
      <c r="X83" s="20" t="str">
        <f t="shared" si="1"/>
        <v>Frankfurt</v>
      </c>
      <c r="Y83" s="20" t="str">
        <f>VLOOKUP(Table4[[#This Row],[FromSite-UPS]],Table1[[Company or Name]:[NOTES]],2,FALSE)</f>
        <v>Germany</v>
      </c>
      <c r="Z83" s="20">
        <f>IFERROR(WEEKNUM(Table4[[#This Row],[Confirmed Sampling Date]] - 10, 21), "TBD")</f>
        <v>30</v>
      </c>
      <c r="AA83" s="20" t="str">
        <f>_xlfn.XLOOKUP(Table4[[#This Row],[FromSite-UPS]],sites!D:D,sites!W:W,"",0)</f>
        <v>Goldsteinstraße 160, Gebäude 71 , Frankfurt am Main , 60528, Germany</v>
      </c>
      <c r="AB83" s="20" t="str">
        <f>_xlfn.XLOOKUP(Table4[[#This Row],[ToLab]],labs!D:D,labs!P:P,"no adres",0)</f>
        <v>Av. Rovisco Pais 1, Laboratorio de Analises de Agua, Lisbon, 1049-001, Portugal</v>
      </c>
      <c r="AC83" s="20">
        <f>_xlfn.XLOOKUP(Table4[[#This Row],[combi]],AREA!E:E,AREA!F:F,"",0)</f>
        <v>89</v>
      </c>
      <c r="AD83" s="20" t="str">
        <f>_xlfn.XLOOKUP(Table4[[#This Row],[combi]],AREA!E:E,AREA!G:G,"",0)</f>
        <v>Pick-up service of hypothetic package as defined in the Tech. Specs. and delivery to lots
2 and 3 contractors according to Scenario 1</v>
      </c>
      <c r="AE83" s="20" t="s">
        <v>125</v>
      </c>
      <c r="AF83" s="20" t="str">
        <f>_xlfn.XLOOKUP(Table4[[#This Row],[FromSite-UPS]],sites!D:D,sites!AB:AB,"",0)&amp;_xlfn.XLOOKUP(Table4[[#This Row],[ToLab]],labs!D:D,labs!Q:Q,"",0)</f>
        <v>EUEU</v>
      </c>
    </row>
    <row r="84" spans="2:32" ht="15.6" hidden="1" customHeight="1" x14ac:dyDescent="0.25">
      <c r="B84" s="13">
        <v>88</v>
      </c>
      <c r="C84" s="14" t="s">
        <v>53</v>
      </c>
      <c r="D84" s="13">
        <v>1</v>
      </c>
      <c r="E84" s="34">
        <v>45874</v>
      </c>
      <c r="F84" s="34">
        <v>45875</v>
      </c>
      <c r="G84" s="20">
        <f>IFERROR(WEEKNUM(Table4[[#This Row],[Confirmed Pick-up Date]]),"TBD")</f>
        <v>32</v>
      </c>
      <c r="H84" s="20" t="str">
        <f>IFERROR(TEXT(Table4[[#This Row],[Confirmed Pick-up Date]],"yy-mm"),"TBD")</f>
        <v>25-08</v>
      </c>
      <c r="I84" s="13" t="s">
        <v>19</v>
      </c>
      <c r="J84" s="20" t="str">
        <f>IFERROR(VLOOKUP(Table4[[#This Row],[FromSite-UPS]],Table1[[#All],[Company or Name]:[FromSite3]],15,FALSE),"")</f>
        <v>Munich WWTP</v>
      </c>
      <c r="K84" s="20" t="str">
        <f>IFERROR(VLOOKUP(Table4[[#This Row],[FromSite-UPS]],Table1[[#All],[Company or Name]:[FromSite3]],16,FALSE),"")</f>
        <v>Munich Airport</v>
      </c>
      <c r="L84" s="20">
        <f>IFERROR(VLOOKUP(Table4[[#This Row],[FromSite-UPS]],Table1[[#All],[Company or Name]:[FromSite3]],14,FALSE),"")</f>
        <v>0.58333333333333337</v>
      </c>
      <c r="M84" s="13" t="s">
        <v>1011</v>
      </c>
      <c r="N84" s="20" t="s">
        <v>813</v>
      </c>
      <c r="O84" s="13" t="s">
        <v>1058</v>
      </c>
      <c r="P84" s="13" t="s">
        <v>1098</v>
      </c>
      <c r="Q84" s="20" t="s">
        <v>1099</v>
      </c>
      <c r="R84" s="20"/>
      <c r="S84" s="20" t="s">
        <v>125</v>
      </c>
      <c r="T84" s="20" t="s">
        <v>856</v>
      </c>
      <c r="U84" s="20"/>
      <c r="V84" s="20"/>
      <c r="W84" s="20" t="str">
        <f>TEXT(Table4[[#This Row],[Confirmed Sampling Date]], "yyyy") &amp; "_" &amp; TEXT(Table4[[#This Row],[Confirmed Sampling Date]], "mm") &amp; "_" &amp; TEXT(Table4[[#This Row],[Confirmed Sampling Date]], "dd")</f>
        <v>2025_08_05</v>
      </c>
      <c r="X84" s="20" t="str">
        <f t="shared" si="1"/>
        <v>Munich</v>
      </c>
      <c r="Y84" s="20" t="str">
        <f>VLOOKUP(Table4[[#This Row],[FromSite-UPS]],Table1[[Company or Name]:[NOTES]],2,FALSE)</f>
        <v>Germany</v>
      </c>
      <c r="Z84" s="20">
        <f>IFERROR(WEEKNUM(Table4[[#This Row],[Confirmed Sampling Date]] - 10, 21), "TBD")</f>
        <v>30</v>
      </c>
      <c r="AA84" s="20" t="str">
        <f>_xlfn.XLOOKUP(Table4[[#This Row],[FromSite-UPS]],sites!D:D,sites!W:W,"",0)</f>
        <v>Leopoldstrasse 5, Institut fuer Infektions- und Tropenmedizin, Munich, 80802, Germany</v>
      </c>
      <c r="AB84" s="20" t="str">
        <f>_xlfn.XLOOKUP(Table4[[#This Row],[ToLab]],labs!D:D,labs!P:P,"no adres",0)</f>
        <v>Av. Rovisco Pais 1, Laboratorio de Analises de Agua, Lisbon, 1049-001, Portugal</v>
      </c>
      <c r="AC84" s="20">
        <f>_xlfn.XLOOKUP(Table4[[#This Row],[combi]],AREA!E:E,AREA!F:F,"",0)</f>
        <v>89</v>
      </c>
      <c r="AD84" s="20" t="str">
        <f>_xlfn.XLOOKUP(Table4[[#This Row],[combi]],AREA!E:E,AREA!G:G,"",0)</f>
        <v>Pick-up service of hypothetic package as defined in the Tech. Specs. and delivery to lots
2 and 3 contractors according to Scenario 1</v>
      </c>
      <c r="AE84" s="20" t="s">
        <v>125</v>
      </c>
      <c r="AF84" s="20" t="str">
        <f>_xlfn.XLOOKUP(Table4[[#This Row],[FromSite-UPS]],sites!D:D,sites!AB:AB,"",0)&amp;_xlfn.XLOOKUP(Table4[[#This Row],[ToLab]],labs!D:D,labs!Q:Q,"",0)</f>
        <v>EUEU</v>
      </c>
    </row>
    <row r="85" spans="2:32" ht="15.6" hidden="1" customHeight="1" x14ac:dyDescent="0.25">
      <c r="B85" s="13">
        <v>137</v>
      </c>
      <c r="C85" s="14" t="s">
        <v>53</v>
      </c>
      <c r="D85" s="13">
        <v>1</v>
      </c>
      <c r="E85" s="34">
        <v>45875</v>
      </c>
      <c r="F85" s="34">
        <v>45875</v>
      </c>
      <c r="G85" s="20">
        <f>IFERROR(WEEKNUM(Table4[[#This Row],[Confirmed Pick-up Date]]),"TBD")</f>
        <v>32</v>
      </c>
      <c r="H85" s="20" t="str">
        <f>IFERROR(TEXT(Table4[[#This Row],[Confirmed Pick-up Date]],"yy-mm"),"TBD")</f>
        <v>25-08</v>
      </c>
      <c r="I85" s="13" t="s">
        <v>680</v>
      </c>
      <c r="J85" s="20" t="str">
        <f>IFERROR(VLOOKUP(Table4[[#This Row],[FromSite-UPS]],Table1[[#All],[Company or Name]:[FromSite3]],15,FALSE),"")</f>
        <v>Rome WWTP</v>
      </c>
      <c r="K85" s="20" t="str">
        <f>IFERROR(VLOOKUP(Table4[[#This Row],[FromSite-UPS]],Table1[[#All],[Company or Name]:[FromSite3]],16,FALSE),"")</f>
        <v>-</v>
      </c>
      <c r="L85" s="20">
        <f>IFERROR(VLOOKUP(Table4[[#This Row],[FromSite-UPS]],Table1[[#All],[Company or Name]:[FromSite3]],14,FALSE),"")</f>
        <v>0.70833333333333337</v>
      </c>
      <c r="M85" s="13" t="s">
        <v>1011</v>
      </c>
      <c r="N85" s="20" t="s">
        <v>813</v>
      </c>
      <c r="O85" s="13" t="s">
        <v>1070</v>
      </c>
      <c r="P85" s="13" t="s">
        <v>1098</v>
      </c>
      <c r="Q85" s="20" t="s">
        <v>1108</v>
      </c>
      <c r="R85" s="20" t="s">
        <v>1083</v>
      </c>
      <c r="S85" s="20" t="s">
        <v>125</v>
      </c>
      <c r="T85" s="20" t="s">
        <v>856</v>
      </c>
      <c r="U85" s="20"/>
      <c r="V85" s="20"/>
      <c r="W85" s="20" t="str">
        <f>TEXT(Table4[[#This Row],[Confirmed Sampling Date]], "yyyy") &amp; "_" &amp; TEXT(Table4[[#This Row],[Confirmed Sampling Date]], "mm") &amp; "_" &amp; TEXT(Table4[[#This Row],[Confirmed Sampling Date]], "dd")</f>
        <v>2025_08_06</v>
      </c>
      <c r="X85" s="20" t="str">
        <f t="shared" si="1"/>
        <v>Rome</v>
      </c>
      <c r="Y85" s="20" t="str">
        <f>VLOOKUP(Table4[[#This Row],[FromSite-UPS]],Table1[[Company or Name]:[NOTES]],2,FALSE)</f>
        <v>Italy</v>
      </c>
      <c r="Z85" s="20">
        <f>IFERROR(WEEKNUM(Table4[[#This Row],[Confirmed Sampling Date]] - 10, 21), "TBD")</f>
        <v>30</v>
      </c>
      <c r="AA85" s="20" t="str">
        <f>_xlfn.XLOOKUP(Table4[[#This Row],[FromSite-UPS]],sites!D:D,sites!W:W,"",0)</f>
        <v>Via dell'Equitazione 10, Rome, 00144, Italy</v>
      </c>
      <c r="AB85" s="20" t="str">
        <f>_xlfn.XLOOKUP(Table4[[#This Row],[ToLab]],labs!D:D,labs!P:P,"no adres",0)</f>
        <v>Av. Rovisco Pais 1, Laboratorio de Analises de Agua, Lisbon, 1049-001, Portugal</v>
      </c>
      <c r="AC85" s="20">
        <f>_xlfn.XLOOKUP(Table4[[#This Row],[combi]],AREA!E:E,AREA!F:F,"",0)</f>
        <v>89</v>
      </c>
      <c r="AD85" s="20" t="str">
        <f>_xlfn.XLOOKUP(Table4[[#This Row],[combi]],AREA!E:E,AREA!G:G,"",0)</f>
        <v>Pick-up service of hypothetic package as defined in the Tech. Specs. and delivery to lots
2 and 3 contractors according to Scenario 1</v>
      </c>
      <c r="AE85" s="20" t="s">
        <v>125</v>
      </c>
      <c r="AF85" s="20" t="str">
        <f>_xlfn.XLOOKUP(Table4[[#This Row],[FromSite-UPS]],sites!D:D,sites!AB:AB,"",0)&amp;_xlfn.XLOOKUP(Table4[[#This Row],[ToLab]],labs!D:D,labs!Q:Q,"",0)</f>
        <v>EUEU</v>
      </c>
    </row>
    <row r="86" spans="2:32" ht="15.6" hidden="1" customHeight="1" x14ac:dyDescent="0.25">
      <c r="B86" s="13">
        <v>151</v>
      </c>
      <c r="C86" s="14" t="s">
        <v>53</v>
      </c>
      <c r="D86" s="13">
        <v>1</v>
      </c>
      <c r="E86" s="34">
        <v>45875</v>
      </c>
      <c r="F86" s="34">
        <v>45875</v>
      </c>
      <c r="G86" s="20">
        <f>IFERROR(WEEKNUM(Table4[[#This Row],[Confirmed Pick-up Date]]),"TBD")</f>
        <v>32</v>
      </c>
      <c r="H86" s="20" t="str">
        <f>IFERROR(TEXT(Table4[[#This Row],[Confirmed Pick-up Date]],"yy-mm"),"TBD")</f>
        <v>25-08</v>
      </c>
      <c r="I86" s="13" t="s">
        <v>771</v>
      </c>
      <c r="J86" s="20" t="str">
        <f>IFERROR(VLOOKUP(Table4[[#This Row],[FromSite-UPS]],Table1[[#All],[Company or Name]:[FromSite3]],15,FALSE),"")</f>
        <v>RomeAirport</v>
      </c>
      <c r="K86" s="20" t="str">
        <f>IFERROR(VLOOKUP(Table4[[#This Row],[FromSite-UPS]],Table1[[#All],[Company or Name]:[FromSite3]],16,FALSE),"")</f>
        <v>-</v>
      </c>
      <c r="L86" s="20">
        <f>IFERROR(VLOOKUP(Table4[[#This Row],[FromSite-UPS]],Table1[[#All],[Company or Name]:[FromSite3]],14,FALSE),"")</f>
        <v>0.70833333333333337</v>
      </c>
      <c r="M86" s="13" t="s">
        <v>1011</v>
      </c>
      <c r="N86" s="20" t="s">
        <v>813</v>
      </c>
      <c r="O86" s="13" t="s">
        <v>1071</v>
      </c>
      <c r="P86" s="13" t="s">
        <v>1098</v>
      </c>
      <c r="Q86" s="20" t="s">
        <v>1109</v>
      </c>
      <c r="R86" s="20" t="s">
        <v>1075</v>
      </c>
      <c r="S86" s="20" t="s">
        <v>125</v>
      </c>
      <c r="T86" s="20" t="s">
        <v>856</v>
      </c>
      <c r="U86" s="20"/>
      <c r="V86" s="20"/>
      <c r="W86" s="20" t="str">
        <f>TEXT(Table4[[#This Row],[Confirmed Sampling Date]], "yyyy") &amp; "_" &amp; TEXT(Table4[[#This Row],[Confirmed Sampling Date]], "mm") &amp; "_" &amp; TEXT(Table4[[#This Row],[Confirmed Sampling Date]], "dd")</f>
        <v>2025_08_06</v>
      </c>
      <c r="X86" s="20" t="str">
        <f t="shared" si="1"/>
        <v>RomeAirport</v>
      </c>
      <c r="Y86" s="20" t="str">
        <f>VLOOKUP(Table4[[#This Row],[FromSite-UPS]],Table1[[Company or Name]:[NOTES]],2,FALSE)</f>
        <v>Italy</v>
      </c>
      <c r="Z86" s="20">
        <f>IFERROR(WEEKNUM(Table4[[#This Row],[Confirmed Sampling Date]] - 10, 21), "TBD")</f>
        <v>30</v>
      </c>
      <c r="AA86" s="20" t="str">
        <f>_xlfn.XLOOKUP(Table4[[#This Row],[FromSite-UPS]],sites!D:D,sites!W:W,"",0)</f>
        <v>VIA FRATELLI WRIGHT (DEPURATORE BIOLOGICO), FIUMICINO, 00054, Italy</v>
      </c>
      <c r="AB86" s="20" t="str">
        <f>_xlfn.XLOOKUP(Table4[[#This Row],[ToLab]],labs!D:D,labs!P:P,"no adres",0)</f>
        <v>Av. Rovisco Pais 1, Laboratorio de Analises de Agua, Lisbon, 1049-001, Portugal</v>
      </c>
      <c r="AC86" s="20">
        <f>_xlfn.XLOOKUP(Table4[[#This Row],[combi]],AREA!E:E,AREA!F:F,"",0)</f>
        <v>89</v>
      </c>
      <c r="AD86" s="20" t="str">
        <f>_xlfn.XLOOKUP(Table4[[#This Row],[combi]],AREA!E:E,AREA!G:G,"",0)</f>
        <v>Pick-up service of hypothetic package as defined in the Tech. Specs. and delivery to lots
2 and 3 contractors according to Scenario 1</v>
      </c>
      <c r="AE86" s="20" t="s">
        <v>125</v>
      </c>
      <c r="AF86" s="20" t="str">
        <f>_xlfn.XLOOKUP(Table4[[#This Row],[FromSite-UPS]],sites!D:D,sites!AB:AB,"",0)&amp;_xlfn.XLOOKUP(Table4[[#This Row],[ToLab]],labs!D:D,labs!Q:Q,"",0)</f>
        <v>EUEU</v>
      </c>
    </row>
    <row r="87" spans="2:32" ht="15.6" hidden="1" customHeight="1" x14ac:dyDescent="0.25">
      <c r="B87" s="13">
        <v>174</v>
      </c>
      <c r="C87" s="14" t="s">
        <v>53</v>
      </c>
      <c r="D87" s="13">
        <v>1</v>
      </c>
      <c r="E87" s="34">
        <v>45874</v>
      </c>
      <c r="F87" s="34">
        <v>45875</v>
      </c>
      <c r="G87" s="20">
        <f>IFERROR(WEEKNUM(Table4[[#This Row],[Confirmed Pick-up Date]]),"TBD")</f>
        <v>32</v>
      </c>
      <c r="H87" s="20" t="str">
        <f>IFERROR(TEXT(Table4[[#This Row],[Confirmed Pick-up Date]],"yy-mm"),"TBD")</f>
        <v>25-08</v>
      </c>
      <c r="I87" s="13" t="s">
        <v>877</v>
      </c>
      <c r="J87" s="20" t="str">
        <f>IFERROR(VLOOKUP(Table4[[#This Row],[FromSite-UPS]],Table1[[#All],[Company or Name]:[FromSite3]],15,FALSE),"")</f>
        <v>Prague National Institute</v>
      </c>
      <c r="K87" s="20" t="str">
        <f>IFERROR(VLOOKUP(Table4[[#This Row],[FromSite-UPS]],Table1[[#All],[Company or Name]:[FromSite3]],16,FALSE),"")</f>
        <v>Prague WWTP FLOW 1</v>
      </c>
      <c r="L87" s="20">
        <f>IFERROR(VLOOKUP(Table4[[#This Row],[FromSite-UPS]],Table1[[#All],[Company or Name]:[FromSite3]],14,FALSE),"")</f>
        <v>0</v>
      </c>
      <c r="M87" s="13" t="s">
        <v>1011</v>
      </c>
      <c r="N87" s="20" t="s">
        <v>813</v>
      </c>
      <c r="O87" s="13" t="s">
        <v>1060</v>
      </c>
      <c r="P87" s="13" t="s">
        <v>1098</v>
      </c>
      <c r="Q87" s="20" t="s">
        <v>1104</v>
      </c>
      <c r="R87" s="20" t="s">
        <v>1078</v>
      </c>
      <c r="S87" s="20" t="s">
        <v>125</v>
      </c>
      <c r="T87" s="20" t="s">
        <v>856</v>
      </c>
      <c r="U87" s="20"/>
      <c r="V87" s="20"/>
      <c r="W87" s="20" t="str">
        <f>TEXT(Table4[[#This Row],[Confirmed Sampling Date]], "yyyy") &amp; "_" &amp; TEXT(Table4[[#This Row],[Confirmed Sampling Date]], "mm") &amp; "_" &amp; TEXT(Table4[[#This Row],[Confirmed Sampling Date]], "dd")</f>
        <v>2025_08_05</v>
      </c>
      <c r="X87" s="20" t="str">
        <f t="shared" si="1"/>
        <v>Prague</v>
      </c>
      <c r="Y87" s="20" t="str">
        <f>VLOOKUP(Table4[[#This Row],[FromSite-UPS]],Table1[[Company or Name]:[NOTES]],2,FALSE)</f>
        <v>Czech Republic</v>
      </c>
      <c r="Z87" s="20">
        <f>IFERROR(WEEKNUM(Table4[[#This Row],[Confirmed Sampling Date]] - 10, 21), "TBD")</f>
        <v>30</v>
      </c>
      <c r="AA87" s="20" t="str">
        <f>_xlfn.XLOOKUP(Table4[[#This Row],[FromSite-UPS]],sites!D:D,sites!W:W,"",0)</f>
        <v>Šrobárova 49/48, Státní zdravotní ústav, Praha, 100 00, Czech Republic</v>
      </c>
      <c r="AB87" s="20" t="str">
        <f>_xlfn.XLOOKUP(Table4[[#This Row],[ToLab]],labs!D:D,labs!P:P,"no adres",0)</f>
        <v>Av. Rovisco Pais 1, Laboratorio de Analises de Agua, Lisbon, 1049-001, Portugal</v>
      </c>
      <c r="AC87" s="20">
        <f>_xlfn.XLOOKUP(Table4[[#This Row],[combi]],AREA!E:E,AREA!F:F,"",0)</f>
        <v>89</v>
      </c>
      <c r="AD87" s="20" t="str">
        <f>_xlfn.XLOOKUP(Table4[[#This Row],[combi]],AREA!E:E,AREA!G:G,"",0)</f>
        <v>Pick-up service of hypothetic package as defined in the Tech. Specs. and delivery to lots
2 and 3 contractors according to Scenario 1</v>
      </c>
      <c r="AE87" s="20" t="s">
        <v>125</v>
      </c>
      <c r="AF87" s="20" t="str">
        <f>_xlfn.XLOOKUP(Table4[[#This Row],[FromSite-UPS]],sites!D:D,sites!AB:AB,"",0)&amp;_xlfn.XLOOKUP(Table4[[#This Row],[ToLab]],labs!D:D,labs!Q:Q,"",0)</f>
        <v>EUEU</v>
      </c>
    </row>
    <row r="88" spans="2:32" ht="15.6" hidden="1" customHeight="1" x14ac:dyDescent="0.25">
      <c r="B88" s="13">
        <v>175</v>
      </c>
      <c r="C88" s="14" t="s">
        <v>53</v>
      </c>
      <c r="D88" s="13">
        <v>1</v>
      </c>
      <c r="E88" s="83">
        <v>45874</v>
      </c>
      <c r="F88" s="83">
        <v>45875</v>
      </c>
      <c r="G88" s="20">
        <f>IFERROR(WEEKNUM(Table4[[#This Row],[Confirmed Pick-up Date]]),"TBD")</f>
        <v>32</v>
      </c>
      <c r="H88" s="20" t="str">
        <f>IFERROR(TEXT(Table4[[#This Row],[Confirmed Pick-up Date]],"yy-mm"),"TBD")</f>
        <v>25-08</v>
      </c>
      <c r="I88" s="13" t="s">
        <v>877</v>
      </c>
      <c r="J88" s="20" t="str">
        <f>IFERROR(VLOOKUP(Table4[[#This Row],[FromSite-UPS]],Table1[[#All],[Company or Name]:[FromSite3]],15,FALSE),"")</f>
        <v>Prague National Institute</v>
      </c>
      <c r="K88" s="20" t="str">
        <f>IFERROR(VLOOKUP(Table4[[#This Row],[FromSite-UPS]],Table1[[#All],[Company or Name]:[FromSite3]],16,FALSE),"")</f>
        <v>Prague WWTP FLOW 1</v>
      </c>
      <c r="L88" s="20">
        <f>IFERROR(VLOOKUP(Table4[[#This Row],[FromSite-UPS]],Table1[[#All],[Company or Name]:[FromSite3]],14,FALSE),"")</f>
        <v>0</v>
      </c>
      <c r="M88" s="13" t="s">
        <v>1011</v>
      </c>
      <c r="N88" s="20" t="s">
        <v>813</v>
      </c>
      <c r="O88" s="13" t="s">
        <v>1061</v>
      </c>
      <c r="P88" s="13" t="s">
        <v>1098</v>
      </c>
      <c r="Q88" s="20" t="s">
        <v>1104</v>
      </c>
      <c r="R88" s="20" t="s">
        <v>1079</v>
      </c>
      <c r="S88" s="20" t="s">
        <v>125</v>
      </c>
      <c r="T88" s="20" t="s">
        <v>856</v>
      </c>
      <c r="U88" s="20"/>
      <c r="V88" s="20"/>
      <c r="W88" s="20" t="str">
        <f>TEXT(Table4[[#This Row],[Confirmed Sampling Date]], "yyyy") &amp; "_" &amp; TEXT(Table4[[#This Row],[Confirmed Sampling Date]], "mm") &amp; "_" &amp; TEXT(Table4[[#This Row],[Confirmed Sampling Date]], "dd")</f>
        <v>2025_08_05</v>
      </c>
      <c r="X88" s="20" t="str">
        <f t="shared" si="1"/>
        <v>Prague</v>
      </c>
      <c r="Y88" s="20" t="str">
        <f>VLOOKUP(Table4[[#This Row],[FromSite-UPS]],Table1[[Company or Name]:[NOTES]],2,FALSE)</f>
        <v>Czech Republic</v>
      </c>
      <c r="Z88" s="20">
        <f>IFERROR(WEEKNUM(Table4[[#This Row],[Confirmed Sampling Date]] - 10, 21), "TBD")</f>
        <v>30</v>
      </c>
      <c r="AA88" s="20" t="str">
        <f>_xlfn.XLOOKUP(Table4[[#This Row],[FromSite-UPS]],sites!D:D,sites!W:W,"",0)</f>
        <v>Šrobárova 49/48, Státní zdravotní ústav, Praha, 100 00, Czech Republic</v>
      </c>
      <c r="AB88" s="20" t="str">
        <f>_xlfn.XLOOKUP(Table4[[#This Row],[ToLab]],labs!D:D,labs!P:P,"no adres",0)</f>
        <v>Av. Rovisco Pais 1, Laboratorio de Analises de Agua, Lisbon, 1049-001, Portugal</v>
      </c>
      <c r="AC88" s="20">
        <f>_xlfn.XLOOKUP(Table4[[#This Row],[combi]],AREA!E:E,AREA!F:F,"",0)</f>
        <v>89</v>
      </c>
      <c r="AD88" s="20" t="str">
        <f>_xlfn.XLOOKUP(Table4[[#This Row],[combi]],AREA!E:E,AREA!G:G,"",0)</f>
        <v>Pick-up service of hypothetic package as defined in the Tech. Specs. and delivery to lots
2 and 3 contractors according to Scenario 1</v>
      </c>
      <c r="AE88" s="20" t="s">
        <v>125</v>
      </c>
      <c r="AF88" s="20" t="str">
        <f>_xlfn.XLOOKUP(Table4[[#This Row],[FromSite-UPS]],sites!D:D,sites!AB:AB,"",0)&amp;_xlfn.XLOOKUP(Table4[[#This Row],[ToLab]],labs!D:D,labs!Q:Q,"",0)</f>
        <v>EUEU</v>
      </c>
    </row>
    <row r="89" spans="2:32" ht="15.6" hidden="1" customHeight="1" x14ac:dyDescent="0.25">
      <c r="B89" s="13">
        <v>176</v>
      </c>
      <c r="C89" s="14" t="s">
        <v>53</v>
      </c>
      <c r="D89" s="13">
        <v>1</v>
      </c>
      <c r="E89" s="83">
        <v>45874</v>
      </c>
      <c r="F89" s="83">
        <v>45875</v>
      </c>
      <c r="G89" s="20">
        <f>IFERROR(WEEKNUM(Table4[[#This Row],[Confirmed Pick-up Date]]),"TBD")</f>
        <v>32</v>
      </c>
      <c r="H89" s="20" t="str">
        <f>IFERROR(TEXT(Table4[[#This Row],[Confirmed Pick-up Date]],"yy-mm"),"TBD")</f>
        <v>25-08</v>
      </c>
      <c r="I89" s="13" t="s">
        <v>877</v>
      </c>
      <c r="J89" s="20" t="str">
        <f>IFERROR(VLOOKUP(Table4[[#This Row],[FromSite-UPS]],Table1[[#All],[Company or Name]:[FromSite3]],15,FALSE),"")</f>
        <v>Prague National Institute</v>
      </c>
      <c r="K89" s="20" t="str">
        <f>IFERROR(VLOOKUP(Table4[[#This Row],[FromSite-UPS]],Table1[[#All],[Company or Name]:[FromSite3]],16,FALSE),"")</f>
        <v>Prague WWTP FLOW 1</v>
      </c>
      <c r="L89" s="20">
        <f>IFERROR(VLOOKUP(Table4[[#This Row],[FromSite-UPS]],Table1[[#All],[Company or Name]:[FromSite3]],14,FALSE),"")</f>
        <v>0</v>
      </c>
      <c r="M89" s="13" t="s">
        <v>1011</v>
      </c>
      <c r="N89" s="20" t="s">
        <v>813</v>
      </c>
      <c r="O89" s="13" t="s">
        <v>1062</v>
      </c>
      <c r="P89" s="13" t="s">
        <v>1098</v>
      </c>
      <c r="Q89" s="20" t="s">
        <v>1104</v>
      </c>
      <c r="R89" s="20" t="s">
        <v>1080</v>
      </c>
      <c r="S89" s="20" t="s">
        <v>125</v>
      </c>
      <c r="T89" s="20" t="s">
        <v>856</v>
      </c>
      <c r="U89" s="20"/>
      <c r="V89" s="20"/>
      <c r="W89" s="20" t="str">
        <f>TEXT(Table4[[#This Row],[Confirmed Sampling Date]], "yyyy") &amp; "_" &amp; TEXT(Table4[[#This Row],[Confirmed Sampling Date]], "mm") &amp; "_" &amp; TEXT(Table4[[#This Row],[Confirmed Sampling Date]], "dd")</f>
        <v>2025_08_05</v>
      </c>
      <c r="X89" s="20" t="str">
        <f t="shared" si="1"/>
        <v>Prague</v>
      </c>
      <c r="Y89" s="20" t="str">
        <f>VLOOKUP(Table4[[#This Row],[FromSite-UPS]],Table1[[Company or Name]:[NOTES]],2,FALSE)</f>
        <v>Czech Republic</v>
      </c>
      <c r="Z89" s="20">
        <f>IFERROR(WEEKNUM(Table4[[#This Row],[Confirmed Sampling Date]] - 10, 21), "TBD")</f>
        <v>30</v>
      </c>
      <c r="AA89" s="20" t="str">
        <f>_xlfn.XLOOKUP(Table4[[#This Row],[FromSite-UPS]],sites!D:D,sites!W:W,"",0)</f>
        <v>Šrobárova 49/48, Státní zdravotní ústav, Praha, 100 00, Czech Republic</v>
      </c>
      <c r="AB89" s="20" t="str">
        <f>_xlfn.XLOOKUP(Table4[[#This Row],[ToLab]],labs!D:D,labs!P:P,"no adres",0)</f>
        <v>Av. Rovisco Pais 1, Laboratorio de Analises de Agua, Lisbon, 1049-001, Portugal</v>
      </c>
      <c r="AC89" s="20">
        <f>_xlfn.XLOOKUP(Table4[[#This Row],[combi]],AREA!E:E,AREA!F:F,"",0)</f>
        <v>89</v>
      </c>
      <c r="AD89" s="20" t="str">
        <f>_xlfn.XLOOKUP(Table4[[#This Row],[combi]],AREA!E:E,AREA!G:G,"",0)</f>
        <v>Pick-up service of hypothetic package as defined in the Tech. Specs. and delivery to lots
2 and 3 contractors according to Scenario 1</v>
      </c>
      <c r="AE89" s="20" t="s">
        <v>125</v>
      </c>
      <c r="AF89" s="20" t="str">
        <f>_xlfn.XLOOKUP(Table4[[#This Row],[FromSite-UPS]],sites!D:D,sites!AB:AB,"",0)&amp;_xlfn.XLOOKUP(Table4[[#This Row],[ToLab]],labs!D:D,labs!Q:Q,"",0)</f>
        <v>EUEU</v>
      </c>
    </row>
    <row r="90" spans="2:32" ht="15.6" hidden="1" customHeight="1" x14ac:dyDescent="0.25">
      <c r="B90" s="13">
        <v>216</v>
      </c>
      <c r="C90" s="14" t="s">
        <v>53</v>
      </c>
      <c r="D90" s="13">
        <v>1</v>
      </c>
      <c r="E90" s="83">
        <v>45874</v>
      </c>
      <c r="F90" s="83">
        <v>45875</v>
      </c>
      <c r="G90" s="20">
        <f>IFERROR(WEEKNUM(Table4[[#This Row],[Confirmed Pick-up Date]]),"TBD")</f>
        <v>32</v>
      </c>
      <c r="H90" s="20" t="str">
        <f>IFERROR(TEXT(Table4[[#This Row],[Confirmed Pick-up Date]],"yy-mm"),"TBD")</f>
        <v>25-08</v>
      </c>
      <c r="I90" s="13" t="s">
        <v>779</v>
      </c>
      <c r="J90" s="20" t="str">
        <f>IFERROR(VLOOKUP(Table4[[#This Row],[FromSite-UPS]],Table1[[#All],[Company or Name]:[FromSite3]],15,FALSE),"")</f>
        <v>Larnaca WWTP</v>
      </c>
      <c r="K90" s="20" t="str">
        <f>IFERROR(VLOOKUP(Table4[[#This Row],[FromSite-UPS]],Table1[[#All],[Company or Name]:[FromSite3]],16,FALSE),"")</f>
        <v>Larnaca Airport</v>
      </c>
      <c r="L90" s="20">
        <f>IFERROR(VLOOKUP(Table4[[#This Row],[FromSite-UPS]],Table1[[#All],[Company or Name]:[FromSite3]],14,FALSE),"")</f>
        <v>0.54166666666666663</v>
      </c>
      <c r="M90" s="13" t="s">
        <v>1011</v>
      </c>
      <c r="N90" s="20" t="s">
        <v>813</v>
      </c>
      <c r="O90" s="13" t="s">
        <v>1063</v>
      </c>
      <c r="P90" s="13" t="s">
        <v>1098</v>
      </c>
      <c r="Q90" s="20" t="s">
        <v>1105</v>
      </c>
      <c r="R90" s="20" t="s">
        <v>1081</v>
      </c>
      <c r="S90" s="20" t="s">
        <v>125</v>
      </c>
      <c r="T90" s="20" t="s">
        <v>856</v>
      </c>
      <c r="U90" s="20"/>
      <c r="V90" s="20"/>
      <c r="W90" s="20" t="str">
        <f>TEXT(Table4[[#This Row],[Confirmed Sampling Date]], "yyyy") &amp; "_" &amp; TEXT(Table4[[#This Row],[Confirmed Sampling Date]], "mm") &amp; "_" &amp; TEXT(Table4[[#This Row],[Confirmed Sampling Date]], "dd")</f>
        <v>2025_08_05</v>
      </c>
      <c r="X90" s="20" t="str">
        <f t="shared" si="1"/>
        <v>Larnaca</v>
      </c>
      <c r="Y90" s="20" t="str">
        <f>VLOOKUP(Table4[[#This Row],[FromSite-UPS]],Table1[[Company or Name]:[NOTES]],2,FALSE)</f>
        <v>Cyprus</v>
      </c>
      <c r="Z90" s="20">
        <f>IFERROR(WEEKNUM(Table4[[#This Row],[Confirmed Sampling Date]] - 10, 21), "TBD")</f>
        <v>30</v>
      </c>
      <c r="AA90" s="20" t="str">
        <f>_xlfn.XLOOKUP(Table4[[#This Row],[FromSite-UPS]],sites!D:D,sites!W:W,"",0)</f>
        <v>Adamantiou Korai street 12, Larnaca District Local Government Organization offices, Larnaca, 6010, Cyprus</v>
      </c>
      <c r="AB90" s="20" t="str">
        <f>_xlfn.XLOOKUP(Table4[[#This Row],[ToLab]],labs!D:D,labs!P:P,"no adres",0)</f>
        <v>Av. Rovisco Pais 1, Laboratorio de Analises de Agua, Lisbon, 1049-001, Portugal</v>
      </c>
      <c r="AC90" s="20">
        <f>_xlfn.XLOOKUP(Table4[[#This Row],[combi]],AREA!E:E,AREA!F:F,"",0)</f>
        <v>89</v>
      </c>
      <c r="AD90" s="20" t="str">
        <f>_xlfn.XLOOKUP(Table4[[#This Row],[combi]],AREA!E:E,AREA!G:G,"",0)</f>
        <v>Pick-up service of hypothetic package as defined in the Tech. Specs. and delivery to lots
2 and 3 contractors according to Scenario 1</v>
      </c>
      <c r="AE90" s="20" t="s">
        <v>125</v>
      </c>
      <c r="AF90" s="20" t="str">
        <f>_xlfn.XLOOKUP(Table4[[#This Row],[FromSite-UPS]],sites!D:D,sites!AB:AB,"",0)&amp;_xlfn.XLOOKUP(Table4[[#This Row],[ToLab]],labs!D:D,labs!Q:Q,"",0)</f>
        <v>EUEU</v>
      </c>
    </row>
    <row r="91" spans="2:32" ht="15.6" hidden="1" customHeight="1" x14ac:dyDescent="0.25">
      <c r="B91" s="13">
        <v>229</v>
      </c>
      <c r="C91" s="14" t="s">
        <v>53</v>
      </c>
      <c r="D91" s="13">
        <v>1</v>
      </c>
      <c r="E91" s="83">
        <v>45874</v>
      </c>
      <c r="F91" s="83">
        <v>45875</v>
      </c>
      <c r="G91" s="20">
        <f>IFERROR(WEEKNUM(Table4[[#This Row],[Confirmed Pick-up Date]]),"TBD")</f>
        <v>32</v>
      </c>
      <c r="H91" s="20" t="str">
        <f>IFERROR(TEXT(Table4[[#This Row],[Confirmed Pick-up Date]],"yy-mm"),"TBD")</f>
        <v>25-08</v>
      </c>
      <c r="I91" s="13" t="s">
        <v>779</v>
      </c>
      <c r="J91" s="20" t="str">
        <f>IFERROR(VLOOKUP(Table4[[#This Row],[FromSite-UPS]],Table1[[#All],[Company or Name]:[FromSite3]],15,FALSE),"")</f>
        <v>Larnaca WWTP</v>
      </c>
      <c r="K91" s="20" t="str">
        <f>IFERROR(VLOOKUP(Table4[[#This Row],[FromSite-UPS]],Table1[[#All],[Company or Name]:[FromSite3]],16,FALSE),"")</f>
        <v>Larnaca Airport</v>
      </c>
      <c r="L91" s="20">
        <f>IFERROR(VLOOKUP(Table4[[#This Row],[FromSite-UPS]],Table1[[#All],[Company or Name]:[FromSite3]],14,FALSE),"")</f>
        <v>0.54166666666666663</v>
      </c>
      <c r="M91" s="13" t="s">
        <v>1011</v>
      </c>
      <c r="N91" s="20" t="s">
        <v>813</v>
      </c>
      <c r="O91" s="20" t="s">
        <v>1064</v>
      </c>
      <c r="P91" s="13" t="s">
        <v>1098</v>
      </c>
      <c r="Q91" s="20" t="s">
        <v>1105</v>
      </c>
      <c r="R91" s="20" t="s">
        <v>1076</v>
      </c>
      <c r="S91" s="20" t="s">
        <v>125</v>
      </c>
      <c r="T91" s="20" t="s">
        <v>856</v>
      </c>
      <c r="U91" s="20"/>
      <c r="V91" s="20"/>
      <c r="W91" s="20" t="str">
        <f>TEXT(Table4[[#This Row],[Confirmed Sampling Date]], "yyyy") &amp; "_" &amp; TEXT(Table4[[#This Row],[Confirmed Sampling Date]], "mm") &amp; "_" &amp; TEXT(Table4[[#This Row],[Confirmed Sampling Date]], "dd")</f>
        <v>2025_08_05</v>
      </c>
      <c r="X91" s="20" t="str">
        <f t="shared" si="1"/>
        <v>Larnaca</v>
      </c>
      <c r="Y91" s="20" t="str">
        <f>VLOOKUP(Table4[[#This Row],[FromSite-UPS]],Table1[[Company or Name]:[NOTES]],2,FALSE)</f>
        <v>Cyprus</v>
      </c>
      <c r="Z91" s="20">
        <f>IFERROR(WEEKNUM(Table4[[#This Row],[Confirmed Sampling Date]] - 10, 21), "TBD")</f>
        <v>30</v>
      </c>
      <c r="AA91" s="20" t="str">
        <f>_xlfn.XLOOKUP(Table4[[#This Row],[FromSite-UPS]],sites!D:D,sites!W:W,"",0)</f>
        <v>Adamantiou Korai street 12, Larnaca District Local Government Organization offices, Larnaca, 6010, Cyprus</v>
      </c>
      <c r="AB91" s="20" t="str">
        <f>_xlfn.XLOOKUP(Table4[[#This Row],[ToLab]],labs!D:D,labs!P:P,"no adres",0)</f>
        <v>Av. Rovisco Pais 1, Laboratorio de Analises de Agua, Lisbon, 1049-001, Portugal</v>
      </c>
      <c r="AC91" s="20">
        <f>_xlfn.XLOOKUP(Table4[[#This Row],[combi]],AREA!E:E,AREA!F:F,"",0)</f>
        <v>89</v>
      </c>
      <c r="AD91" s="20" t="str">
        <f>_xlfn.XLOOKUP(Table4[[#This Row],[combi]],AREA!E:E,AREA!G:G,"",0)</f>
        <v>Pick-up service of hypothetic package as defined in the Tech. Specs. and delivery to lots
2 and 3 contractors according to Scenario 1</v>
      </c>
      <c r="AE91" s="20" t="s">
        <v>125</v>
      </c>
      <c r="AF91" s="20" t="str">
        <f>_xlfn.XLOOKUP(Table4[[#This Row],[FromSite-UPS]],sites!D:D,sites!AB:AB,"",0)&amp;_xlfn.XLOOKUP(Table4[[#This Row],[ToLab]],labs!D:D,labs!Q:Q,"",0)</f>
        <v>EUEU</v>
      </c>
    </row>
    <row r="92" spans="2:32" ht="15.6" hidden="1" customHeight="1" x14ac:dyDescent="0.25">
      <c r="B92" s="13">
        <v>270</v>
      </c>
      <c r="C92" s="14" t="s">
        <v>53</v>
      </c>
      <c r="D92" s="13">
        <v>1</v>
      </c>
      <c r="E92" s="22">
        <v>45874</v>
      </c>
      <c r="F92" s="22">
        <v>45875</v>
      </c>
      <c r="G92" s="20">
        <f>IFERROR(WEEKNUM(Table4[[#This Row],[Confirmed Pick-up Date]]),"TBD")</f>
        <v>32</v>
      </c>
      <c r="H92" s="20" t="str">
        <f>IFERROR(TEXT(Table4[[#This Row],[Confirmed Pick-up Date]],"yy-mm"),"TBD")</f>
        <v>25-08</v>
      </c>
      <c r="I92" s="13" t="s">
        <v>975</v>
      </c>
      <c r="J92" s="20" t="str">
        <f>IFERROR(VLOOKUP(Table4[[#This Row],[FromSite-UPS]],Table1[[#All],[Company or Name]:[FromSite3]],15,FALSE),"")</f>
        <v>Vilnius WWTP</v>
      </c>
      <c r="K92" s="20" t="str">
        <f>IFERROR(VLOOKUP(Table4[[#This Row],[FromSite-UPS]],Table1[[#All],[Company or Name]:[FromSite3]],16,FALSE),"")</f>
        <v>Vilnius Bus Terminal</v>
      </c>
      <c r="L92" s="20">
        <f>IFERROR(VLOOKUP(Table4[[#This Row],[FromSite-UPS]],Table1[[#All],[Company or Name]:[FromSite3]],14,FALSE),"")</f>
        <v>0.58333333333333337</v>
      </c>
      <c r="M92" s="13" t="s">
        <v>1011</v>
      </c>
      <c r="N92" s="20" t="s">
        <v>813</v>
      </c>
      <c r="O92" s="20" t="s">
        <v>1067</v>
      </c>
      <c r="P92" s="100" t="s">
        <v>892</v>
      </c>
      <c r="Q92" s="100" t="s">
        <v>1638</v>
      </c>
      <c r="R92" s="20" t="s">
        <v>1074</v>
      </c>
      <c r="S92" s="20" t="s">
        <v>125</v>
      </c>
      <c r="T92" s="20" t="s">
        <v>856</v>
      </c>
      <c r="U92" s="20"/>
      <c r="V92" s="20"/>
      <c r="W92" s="20" t="str">
        <f>TEXT(Table4[[#This Row],[Confirmed Sampling Date]], "yyyy") &amp; "_" &amp; TEXT(Table4[[#This Row],[Confirmed Sampling Date]], "mm") &amp; "_" &amp; TEXT(Table4[[#This Row],[Confirmed Sampling Date]], "dd")</f>
        <v>2025_08_05</v>
      </c>
      <c r="X92" s="20" t="str">
        <f t="shared" si="1"/>
        <v>Vilnius</v>
      </c>
      <c r="Y92" s="20" t="str">
        <f>VLOOKUP(Table4[[#This Row],[FromSite-UPS]],Table1[[Company or Name]:[NOTES]],2,FALSE)</f>
        <v>Lithuania</v>
      </c>
      <c r="Z92" s="20">
        <f>IFERROR(WEEKNUM(Table4[[#This Row],[Confirmed Sampling Date]] - 10, 21), "TBD")</f>
        <v>30</v>
      </c>
      <c r="AA92" s="20" t="str">
        <f>_xlfn.XLOOKUP(Table4[[#This Row],[FromSite-UPS]],sites!D:D,sites!W:W,"",0)</f>
        <v>Zolyno 36 gatve, Vilnius, 10210, Lithuania</v>
      </c>
      <c r="AB92" s="20" t="str">
        <f>_xlfn.XLOOKUP(Table4[[#This Row],[ToLab]],labs!D:D,labs!P:P,"no adres",0)</f>
        <v>Av. Rovisco Pais 1, Laboratorio de Analises de Agua, Lisbon, 1049-001, Portugal</v>
      </c>
      <c r="AC92" s="20">
        <f>_xlfn.XLOOKUP(Table4[[#This Row],[combi]],AREA!E:E,AREA!F:F,"",0)</f>
        <v>89</v>
      </c>
      <c r="AD92" s="20" t="str">
        <f>_xlfn.XLOOKUP(Table4[[#This Row],[combi]],AREA!E:E,AREA!G:G,"",0)</f>
        <v>Pick-up service of hypothetic package as defined in the Tech. Specs. and delivery to lots
2 and 3 contractors according to Scenario 1</v>
      </c>
      <c r="AE92" s="20" t="s">
        <v>125</v>
      </c>
      <c r="AF92" s="20" t="str">
        <f>_xlfn.XLOOKUP(Table4[[#This Row],[FromSite-UPS]],sites!D:D,sites!AB:AB,"",0)&amp;_xlfn.XLOOKUP(Table4[[#This Row],[ToLab]],labs!D:D,labs!Q:Q,"",0)</f>
        <v>EUEU</v>
      </c>
    </row>
    <row r="93" spans="2:32" ht="15.6" hidden="1" customHeight="1" x14ac:dyDescent="0.25">
      <c r="B93" s="13">
        <v>281</v>
      </c>
      <c r="C93" s="14" t="s">
        <v>53</v>
      </c>
      <c r="D93" s="13">
        <v>1</v>
      </c>
      <c r="E93" s="83">
        <v>45874</v>
      </c>
      <c r="F93" s="83">
        <v>45875</v>
      </c>
      <c r="G93" s="20">
        <f>IFERROR(WEEKNUM(Table4[[#This Row],[Confirmed Pick-up Date]]),"TBD")</f>
        <v>32</v>
      </c>
      <c r="H93" s="20" t="str">
        <f>IFERROR(TEXT(Table4[[#This Row],[Confirmed Pick-up Date]],"yy-mm"),"TBD")</f>
        <v>25-08</v>
      </c>
      <c r="I93" s="13" t="s">
        <v>975</v>
      </c>
      <c r="J93" s="20" t="str">
        <f>IFERROR(VLOOKUP(Table4[[#This Row],[FromSite-UPS]],Table1[[#All],[Company or Name]:[FromSite3]],15,FALSE),"")</f>
        <v>Vilnius WWTP</v>
      </c>
      <c r="K93" s="20" t="str">
        <f>IFERROR(VLOOKUP(Table4[[#This Row],[FromSite-UPS]],Table1[[#All],[Company or Name]:[FromSite3]],16,FALSE),"")</f>
        <v>Vilnius Bus Terminal</v>
      </c>
      <c r="L93" s="20">
        <f>IFERROR(VLOOKUP(Table4[[#This Row],[FromSite-UPS]],Table1[[#All],[Company or Name]:[FromSite3]],14,FALSE),"")</f>
        <v>0.58333333333333337</v>
      </c>
      <c r="M93" s="13" t="s">
        <v>1011</v>
      </c>
      <c r="N93" s="20" t="s">
        <v>813</v>
      </c>
      <c r="O93" s="20" t="s">
        <v>1068</v>
      </c>
      <c r="P93" s="13" t="s">
        <v>1098</v>
      </c>
      <c r="Q93" s="20" t="s">
        <v>1106</v>
      </c>
      <c r="R93" s="20" t="s">
        <v>1073</v>
      </c>
      <c r="S93" s="20" t="s">
        <v>125</v>
      </c>
      <c r="T93" s="20" t="s">
        <v>856</v>
      </c>
      <c r="U93" s="20"/>
      <c r="V93" s="20"/>
      <c r="W93" s="20" t="str">
        <f>TEXT(Table4[[#This Row],[Confirmed Sampling Date]], "yyyy") &amp; "_" &amp; TEXT(Table4[[#This Row],[Confirmed Sampling Date]], "mm") &amp; "_" &amp; TEXT(Table4[[#This Row],[Confirmed Sampling Date]], "dd")</f>
        <v>2025_08_05</v>
      </c>
      <c r="X93" s="20" t="str">
        <f t="shared" si="1"/>
        <v>Vilnius</v>
      </c>
      <c r="Y93" s="20" t="str">
        <f>VLOOKUP(Table4[[#This Row],[FromSite-UPS]],Table1[[Company or Name]:[NOTES]],2,FALSE)</f>
        <v>Lithuania</v>
      </c>
      <c r="Z93" s="20">
        <f>IFERROR(WEEKNUM(Table4[[#This Row],[Confirmed Sampling Date]] - 10, 21), "TBD")</f>
        <v>30</v>
      </c>
      <c r="AA93" s="20" t="str">
        <f>_xlfn.XLOOKUP(Table4[[#This Row],[FromSite-UPS]],sites!D:D,sites!W:W,"",0)</f>
        <v>Zolyno 36 gatve, Vilnius, 10210, Lithuania</v>
      </c>
      <c r="AB93" s="20" t="str">
        <f>_xlfn.XLOOKUP(Table4[[#This Row],[ToLab]],labs!D:D,labs!P:P,"no adres",0)</f>
        <v>Av. Rovisco Pais 1, Laboratorio de Analises de Agua, Lisbon, 1049-001, Portugal</v>
      </c>
      <c r="AC93" s="20">
        <f>_xlfn.XLOOKUP(Table4[[#This Row],[combi]],AREA!E:E,AREA!F:F,"",0)</f>
        <v>89</v>
      </c>
      <c r="AD93" s="20" t="str">
        <f>_xlfn.XLOOKUP(Table4[[#This Row],[combi]],AREA!E:E,AREA!G:G,"",0)</f>
        <v>Pick-up service of hypothetic package as defined in the Tech. Specs. and delivery to lots
2 and 3 contractors according to Scenario 1</v>
      </c>
      <c r="AE93" s="20" t="s">
        <v>125</v>
      </c>
      <c r="AF93" s="20" t="str">
        <f>_xlfn.XLOOKUP(Table4[[#This Row],[FromSite-UPS]],sites!D:D,sites!AB:AB,"",0)&amp;_xlfn.XLOOKUP(Table4[[#This Row],[ToLab]],labs!D:D,labs!Q:Q,"",0)</f>
        <v>EUEU</v>
      </c>
    </row>
    <row r="94" spans="2:32" ht="15.6" hidden="1" customHeight="1" x14ac:dyDescent="0.25">
      <c r="B94" s="13">
        <v>292</v>
      </c>
      <c r="C94" s="14" t="s">
        <v>53</v>
      </c>
      <c r="D94" s="13">
        <v>1</v>
      </c>
      <c r="E94" s="83">
        <v>45875</v>
      </c>
      <c r="F94" s="83">
        <v>45876</v>
      </c>
      <c r="G94" s="20">
        <f>IFERROR(WEEKNUM(Table4[[#This Row],[Confirmed Pick-up Date]]),"TBD")</f>
        <v>32</v>
      </c>
      <c r="H94" s="20" t="str">
        <f>IFERROR(TEXT(Table4[[#This Row],[Confirmed Pick-up Date]],"yy-mm"),"TBD")</f>
        <v>25-08</v>
      </c>
      <c r="I94" s="13" t="s">
        <v>975</v>
      </c>
      <c r="J94" s="20" t="str">
        <f>IFERROR(VLOOKUP(Table4[[#This Row],[FromSite-UPS]],Table1[[#All],[Company or Name]:[FromSite3]],15,FALSE),"")</f>
        <v>Vilnius WWTP</v>
      </c>
      <c r="K94" s="20" t="str">
        <f>IFERROR(VLOOKUP(Table4[[#This Row],[FromSite-UPS]],Table1[[#All],[Company or Name]:[FromSite3]],16,FALSE),"")</f>
        <v>Vilnius Bus Terminal</v>
      </c>
      <c r="L94" s="20">
        <f>IFERROR(VLOOKUP(Table4[[#This Row],[FromSite-UPS]],Table1[[#All],[Company or Name]:[FromSite3]],14,FALSE),"")</f>
        <v>0.58333333333333337</v>
      </c>
      <c r="M94" s="13" t="s">
        <v>1011</v>
      </c>
      <c r="N94" s="20" t="s">
        <v>813</v>
      </c>
      <c r="O94" s="20" t="s">
        <v>1069</v>
      </c>
      <c r="P94" s="13" t="s">
        <v>1098</v>
      </c>
      <c r="Q94" s="20" t="s">
        <v>1107</v>
      </c>
      <c r="R94" s="20" t="s">
        <v>1082</v>
      </c>
      <c r="S94" s="20" t="s">
        <v>125</v>
      </c>
      <c r="T94" s="20" t="s">
        <v>856</v>
      </c>
      <c r="U94" s="20"/>
      <c r="V94" s="20"/>
      <c r="W94" s="20" t="str">
        <f>TEXT(Table4[[#This Row],[Confirmed Sampling Date]], "yyyy") &amp; "_" &amp; TEXT(Table4[[#This Row],[Confirmed Sampling Date]], "mm") &amp; "_" &amp; TEXT(Table4[[#This Row],[Confirmed Sampling Date]], "dd")</f>
        <v>2025_08_06</v>
      </c>
      <c r="X94" s="20" t="str">
        <f t="shared" si="1"/>
        <v>Vilnius</v>
      </c>
      <c r="Y94" s="20" t="str">
        <f>VLOOKUP(Table4[[#This Row],[FromSite-UPS]],Table1[[Company or Name]:[NOTES]],2,FALSE)</f>
        <v>Lithuania</v>
      </c>
      <c r="Z94" s="20">
        <f>IFERROR(WEEKNUM(Table4[[#This Row],[Confirmed Sampling Date]] - 10, 21), "TBD")</f>
        <v>30</v>
      </c>
      <c r="AA94" s="20" t="str">
        <f>_xlfn.XLOOKUP(Table4[[#This Row],[FromSite-UPS]],sites!D:D,sites!W:W,"",0)</f>
        <v>Zolyno 36 gatve, Vilnius, 10210, Lithuania</v>
      </c>
      <c r="AB94" s="20" t="str">
        <f>_xlfn.XLOOKUP(Table4[[#This Row],[ToLab]],labs!D:D,labs!P:P,"no adres",0)</f>
        <v>Av. Rovisco Pais 1, Laboratorio de Analises de Agua, Lisbon, 1049-001, Portugal</v>
      </c>
      <c r="AC94" s="20">
        <f>_xlfn.XLOOKUP(Table4[[#This Row],[combi]],AREA!E:E,AREA!F:F,"",0)</f>
        <v>89</v>
      </c>
      <c r="AD94" s="20" t="str">
        <f>_xlfn.XLOOKUP(Table4[[#This Row],[combi]],AREA!E:E,AREA!G:G,"",0)</f>
        <v>Pick-up service of hypothetic package as defined in the Tech. Specs. and delivery to lots
2 and 3 contractors according to Scenario 1</v>
      </c>
      <c r="AE94" s="20" t="s">
        <v>125</v>
      </c>
      <c r="AF94" s="20" t="str">
        <f>_xlfn.XLOOKUP(Table4[[#This Row],[FromSite-UPS]],sites!D:D,sites!AB:AB,"",0)&amp;_xlfn.XLOOKUP(Table4[[#This Row],[ToLab]],labs!D:D,labs!Q:Q,"",0)</f>
        <v>EUEU</v>
      </c>
    </row>
    <row r="95" spans="2:32" ht="15.6" hidden="1" customHeight="1" x14ac:dyDescent="0.25">
      <c r="B95" s="13">
        <v>129</v>
      </c>
      <c r="C95" s="14" t="s">
        <v>53</v>
      </c>
      <c r="D95" s="13">
        <v>1</v>
      </c>
      <c r="E95" s="83">
        <v>45882</v>
      </c>
      <c r="F95" s="83">
        <v>45883</v>
      </c>
      <c r="G95" s="20">
        <f>IFERROR(WEEKNUM(Table4[[#This Row],[Confirmed Pick-up Date]]),"TBD")</f>
        <v>33</v>
      </c>
      <c r="H95" s="20" t="str">
        <f>IFERROR(TEXT(Table4[[#This Row],[Confirmed Pick-up Date]],"yy-mm"),"TBD")</f>
        <v>25-08</v>
      </c>
      <c r="I95" s="13" t="s">
        <v>637</v>
      </c>
      <c r="J95" s="20" t="str">
        <f>IFERROR(VLOOKUP(Table4[[#This Row],[FromSite-UPS]],Table1[[#All],[Company or Name]:[FromSite3]],15,FALSE),"")</f>
        <v>Luxembourg (Beggen) WWTP</v>
      </c>
      <c r="K95" s="20" t="str">
        <f>IFERROR(VLOOKUP(Table4[[#This Row],[FromSite-UPS]],Table1[[#All],[Company or Name]:[FromSite3]],16,FALSE),"")</f>
        <v>Luxembourg Airport</v>
      </c>
      <c r="L95" s="20">
        <f>IFERROR(VLOOKUP(Table4[[#This Row],[FromSite-UPS]],Table1[[#All],[Company or Name]:[FromSite3]],14,FALSE),"")</f>
        <v>0.66666666666666663</v>
      </c>
      <c r="M95" s="13" t="s">
        <v>1011</v>
      </c>
      <c r="N95" s="20" t="s">
        <v>813</v>
      </c>
      <c r="O95" s="13" t="s">
        <v>1095</v>
      </c>
      <c r="P95" s="13" t="s">
        <v>892</v>
      </c>
      <c r="Q95" s="37" t="s">
        <v>1285</v>
      </c>
      <c r="R95" s="20" t="s">
        <v>1112</v>
      </c>
      <c r="S95" s="20" t="s">
        <v>125</v>
      </c>
      <c r="T95" s="20" t="s">
        <v>856</v>
      </c>
      <c r="U95" s="20"/>
      <c r="V95" s="20"/>
      <c r="W95" s="20" t="str">
        <f>TEXT(Table4[[#This Row],[Confirmed Sampling Date]], "yyyy") &amp; "_" &amp; TEXT(Table4[[#This Row],[Confirmed Sampling Date]], "mm") &amp; "_" &amp; TEXT(Table4[[#This Row],[Confirmed Sampling Date]], "dd")</f>
        <v>2025_08_13</v>
      </c>
      <c r="X95" s="20" t="str">
        <f t="shared" si="1"/>
        <v>Luxembourg</v>
      </c>
      <c r="Y95" s="20" t="str">
        <f>VLOOKUP(Table4[[#This Row],[FromSite-UPS]],Table1[[Company or Name]:[NOTES]],2,FALSE)</f>
        <v>Luxembourg</v>
      </c>
      <c r="Z95" s="20">
        <f>IFERROR(WEEKNUM(Table4[[#This Row],[Confirmed Sampling Date]] - 10, 21), "TBD")</f>
        <v>31</v>
      </c>
      <c r="AA95" s="20" t="str">
        <f>_xlfn.XLOOKUP(Table4[[#This Row],[FromSite-UPS]],sites!D:D,sites!W:W,"",0)</f>
        <v>41 rue du Brill, Luxembourg, L-4422 , Luxembourg</v>
      </c>
      <c r="AB95" s="20" t="str">
        <f>_xlfn.XLOOKUP(Table4[[#This Row],[ToLab]],labs!D:D,labs!P:P,"no adres",0)</f>
        <v>Av. Rovisco Pais 1, Laboratorio de Analises de Agua, Lisbon, 1049-001, Portugal</v>
      </c>
      <c r="AC95" s="20">
        <f>_xlfn.XLOOKUP(Table4[[#This Row],[combi]],AREA!E:E,AREA!F:F,"",0)</f>
        <v>89</v>
      </c>
      <c r="AD95" s="20" t="str">
        <f>_xlfn.XLOOKUP(Table4[[#This Row],[combi]],AREA!E:E,AREA!G:G,"",0)</f>
        <v>Pick-up service of hypothetic package as defined in the Tech. Specs. and delivery to lots
2 and 3 contractors according to Scenario 1</v>
      </c>
      <c r="AE95" s="20" t="s">
        <v>125</v>
      </c>
      <c r="AF95" s="20" t="str">
        <f>_xlfn.XLOOKUP(Table4[[#This Row],[FromSite-UPS]],sites!D:D,sites!AB:AB,"",0)&amp;_xlfn.XLOOKUP(Table4[[#This Row],[ToLab]],labs!D:D,labs!Q:Q,"",0)</f>
        <v>EUEU</v>
      </c>
    </row>
    <row r="96" spans="2:32" ht="15.6" hidden="1" customHeight="1" x14ac:dyDescent="0.25">
      <c r="B96" s="13">
        <v>264</v>
      </c>
      <c r="C96" s="14" t="s">
        <v>53</v>
      </c>
      <c r="D96" s="13">
        <v>1</v>
      </c>
      <c r="E96" s="83">
        <v>45882</v>
      </c>
      <c r="F96" s="83">
        <v>45883</v>
      </c>
      <c r="G96" s="20">
        <f>IFERROR(WEEKNUM(Table4[[#This Row],[Confirmed Pick-up Date]]),"TBD")</f>
        <v>33</v>
      </c>
      <c r="H96" s="20" t="str">
        <f>IFERROR(TEXT(Table4[[#This Row],[Confirmed Pick-up Date]],"yy-mm"),"TBD")</f>
        <v>25-08</v>
      </c>
      <c r="I96" s="13" t="s">
        <v>637</v>
      </c>
      <c r="J96" s="20" t="str">
        <f>IFERROR(VLOOKUP(Table4[[#This Row],[FromSite-UPS]],Table1[[#All],[Company or Name]:[FromSite3]],15,FALSE),"")</f>
        <v>Luxembourg (Beggen) WWTP</v>
      </c>
      <c r="K96" s="20" t="str">
        <f>IFERROR(VLOOKUP(Table4[[#This Row],[FromSite-UPS]],Table1[[#All],[Company or Name]:[FromSite3]],16,FALSE),"")</f>
        <v>Luxembourg Airport</v>
      </c>
      <c r="L96" s="20">
        <f>IFERROR(VLOOKUP(Table4[[#This Row],[FromSite-UPS]],Table1[[#All],[Company or Name]:[FromSite3]],14,FALSE),"")</f>
        <v>0.66666666666666663</v>
      </c>
      <c r="M96" s="13" t="s">
        <v>1011</v>
      </c>
      <c r="N96" s="20" t="s">
        <v>813</v>
      </c>
      <c r="O96" s="20" t="s">
        <v>1096</v>
      </c>
      <c r="P96" s="20" t="s">
        <v>892</v>
      </c>
      <c r="Q96" s="20" t="s">
        <v>1285</v>
      </c>
      <c r="R96" s="20" t="s">
        <v>1583</v>
      </c>
      <c r="S96" s="20" t="s">
        <v>125</v>
      </c>
      <c r="T96" s="20" t="s">
        <v>856</v>
      </c>
      <c r="U96" s="20"/>
      <c r="V96" s="20"/>
      <c r="W96" s="20" t="str">
        <f>TEXT(Table4[[#This Row],[Confirmed Sampling Date]], "yyyy") &amp; "_" &amp; TEXT(Table4[[#This Row],[Confirmed Sampling Date]], "mm") &amp; "_" &amp; TEXT(Table4[[#This Row],[Confirmed Sampling Date]], "dd")</f>
        <v>2025_08_13</v>
      </c>
      <c r="X96" s="20" t="str">
        <f t="shared" si="1"/>
        <v>Luxembourg</v>
      </c>
      <c r="Y96" s="20" t="str">
        <f>VLOOKUP(Table4[[#This Row],[FromSite-UPS]],Table1[[Company or Name]:[NOTES]],2,FALSE)</f>
        <v>Luxembourg</v>
      </c>
      <c r="Z96" s="20">
        <f>IFERROR(WEEKNUM(Table4[[#This Row],[Confirmed Sampling Date]] - 10, 21), "TBD")</f>
        <v>31</v>
      </c>
      <c r="AA96" s="20" t="str">
        <f>_xlfn.XLOOKUP(Table4[[#This Row],[FromSite-UPS]],sites!D:D,sites!W:W,"",0)</f>
        <v>41 rue du Brill, Luxembourg, L-4422 , Luxembourg</v>
      </c>
      <c r="AB96" s="20" t="str">
        <f>_xlfn.XLOOKUP(Table4[[#This Row],[ToLab]],labs!D:D,labs!P:P,"no adres",0)</f>
        <v>Av. Rovisco Pais 1, Laboratorio de Analises de Agua, Lisbon, 1049-001, Portugal</v>
      </c>
      <c r="AC96" s="20">
        <f>_xlfn.XLOOKUP(Table4[[#This Row],[combi]],AREA!E:E,AREA!F:F,"",0)</f>
        <v>89</v>
      </c>
      <c r="AD96" s="20" t="str">
        <f>_xlfn.XLOOKUP(Table4[[#This Row],[combi]],AREA!E:E,AREA!G:G,"",0)</f>
        <v>Pick-up service of hypothetic package as defined in the Tech. Specs. and delivery to lots
2 and 3 contractors according to Scenario 1</v>
      </c>
      <c r="AE96" s="20" t="s">
        <v>125</v>
      </c>
      <c r="AF96" s="20" t="str">
        <f>_xlfn.XLOOKUP(Table4[[#This Row],[FromSite-UPS]],sites!D:D,sites!AB:AB,"",0)&amp;_xlfn.XLOOKUP(Table4[[#This Row],[ToLab]],labs!D:D,labs!Q:Q,"",0)</f>
        <v>EUEU</v>
      </c>
    </row>
    <row r="97" spans="2:32" ht="15.6" hidden="1" customHeight="1" x14ac:dyDescent="0.25">
      <c r="B97" s="13">
        <v>302</v>
      </c>
      <c r="C97" s="14" t="s">
        <v>53</v>
      </c>
      <c r="D97" s="13">
        <v>1</v>
      </c>
      <c r="E97" s="34">
        <v>45882</v>
      </c>
      <c r="F97" s="80">
        <v>45883</v>
      </c>
      <c r="G97" s="20">
        <f>IFERROR(WEEKNUM(Table4[[#This Row],[Confirmed Pick-up Date]]),"TBD")</f>
        <v>33</v>
      </c>
      <c r="H97" s="20" t="str">
        <f>IFERROR(TEXT(Table4[[#This Row],[Confirmed Pick-up Date]],"yy-mm"),"TBD")</f>
        <v>25-08</v>
      </c>
      <c r="I97" s="78" t="s">
        <v>1628</v>
      </c>
      <c r="J97" s="20" t="str">
        <f>IFERROR(VLOOKUP(Table4[[#This Row],[FromSite-UPS]],Table1[[#All],[Company or Name]:[FromSite3]],15,FALSE),"")</f>
        <v>Funchal WWTP</v>
      </c>
      <c r="K97" s="20" t="str">
        <f>IFERROR(VLOOKUP(Table4[[#This Row],[FromSite-UPS]],Table1[[#All],[Company or Name]:[FromSite3]],16,FALSE),"")</f>
        <v>Madeira, 10 locations</v>
      </c>
      <c r="L97" s="20">
        <f>IFERROR(VLOOKUP(Table4[[#This Row],[FromSite-UPS]],Table1[[#All],[Company or Name]:[FromSite3]],14,FALSE),"")</f>
        <v>0.70833333333333337</v>
      </c>
      <c r="M97" s="13" t="s">
        <v>1011</v>
      </c>
      <c r="N97" s="20" t="s">
        <v>134</v>
      </c>
      <c r="O97" s="20">
        <v>6623801074</v>
      </c>
      <c r="P97" s="20" t="s">
        <v>134</v>
      </c>
      <c r="Q97" s="20"/>
      <c r="R97" s="20" t="s">
        <v>1237</v>
      </c>
      <c r="S97" s="20" t="s">
        <v>125</v>
      </c>
      <c r="T97" s="20" t="s">
        <v>856</v>
      </c>
      <c r="U97" s="20"/>
      <c r="V97" s="20" t="s">
        <v>1197</v>
      </c>
      <c r="W97" s="20" t="str">
        <f>TEXT(Table4[[#This Row],[Confirmed Sampling Date]], "yyyy") &amp; "_" &amp; TEXT(Table4[[#This Row],[Confirmed Sampling Date]], "mm") &amp; "_" &amp; TEXT(Table4[[#This Row],[Confirmed Sampling Date]], "dd")</f>
        <v>2025_08_13</v>
      </c>
      <c r="X97" s="20" t="str">
        <f t="shared" si="1"/>
        <v>Funchal</v>
      </c>
      <c r="Y97" s="20" t="str">
        <f>VLOOKUP(Table4[[#This Row],[FromSite-UPS]],Table1[[Company or Name]:[NOTES]],2,FALSE)</f>
        <v>Portugal</v>
      </c>
      <c r="Z97" s="20">
        <f>IFERROR(WEEKNUM(Table4[[#This Row],[Confirmed Sampling Date]] - 10, 21), "TBD")</f>
        <v>31</v>
      </c>
      <c r="AA97" s="20" t="str">
        <f>_xlfn.XLOOKUP(Table4[[#This Row],[FromSite-UPS]],sites!D:D,sites!W:W,"",0)</f>
        <v>R. do Matadouro 4, Funchal, 9050-100, Portugal</v>
      </c>
      <c r="AB97" s="20" t="str">
        <f>_xlfn.XLOOKUP(Table4[[#This Row],[ToLab]],labs!D:D,labs!P:P,"no adres",0)</f>
        <v>Av. Rovisco Pais 1, Laboratorio de Analises de Agua, Lisbon, 1049-001, Portugal</v>
      </c>
      <c r="AC97" s="20">
        <f>_xlfn.XLOOKUP(Table4[[#This Row],[combi]],AREA!E:E,AREA!F:F,"",0)</f>
        <v>89</v>
      </c>
      <c r="AD97" s="20" t="str">
        <f>_xlfn.XLOOKUP(Table4[[#This Row],[combi]],AREA!E:E,AREA!G:G,"",0)</f>
        <v>Pick-up service of hypothetic package as defined in the Tech. Specs. and delivery to lots
2 and 3 contractors according to Scenario 1</v>
      </c>
      <c r="AE97" s="20" t="s">
        <v>125</v>
      </c>
      <c r="AF97" s="20" t="str">
        <f>_xlfn.XLOOKUP(Table4[[#This Row],[FromSite-UPS]],sites!D:D,sites!AB:AB,"",0)&amp;_xlfn.XLOOKUP(Table4[[#This Row],[ToLab]],labs!D:D,labs!Q:Q,"",0)</f>
        <v>EUEU</v>
      </c>
    </row>
    <row r="98" spans="2:32" ht="15.6" hidden="1" customHeight="1" x14ac:dyDescent="0.25">
      <c r="B98" s="13">
        <v>312</v>
      </c>
      <c r="C98" s="14" t="s">
        <v>53</v>
      </c>
      <c r="D98" s="13">
        <v>1</v>
      </c>
      <c r="E98" s="79">
        <v>45882</v>
      </c>
      <c r="F98" s="80">
        <v>45883</v>
      </c>
      <c r="G98" s="20">
        <f>IFERROR(WEEKNUM(Table4[[#This Row],[Confirmed Pick-up Date]]),"TBD")</f>
        <v>33</v>
      </c>
      <c r="H98" s="20" t="str">
        <f>IFERROR(TEXT(Table4[[#This Row],[Confirmed Pick-up Date]],"yy-mm"),"TBD")</f>
        <v>25-08</v>
      </c>
      <c r="I98" s="78" t="s">
        <v>1628</v>
      </c>
      <c r="J98" s="20" t="str">
        <f>IFERROR(VLOOKUP(Table4[[#This Row],[FromSite-UPS]],Table1[[#All],[Company or Name]:[FromSite3]],15,FALSE),"")</f>
        <v>Funchal WWTP</v>
      </c>
      <c r="K98" s="20" t="str">
        <f>IFERROR(VLOOKUP(Table4[[#This Row],[FromSite-UPS]],Table1[[#All],[Company or Name]:[FromSite3]],16,FALSE),"")</f>
        <v>Madeira, 10 locations</v>
      </c>
      <c r="L98" s="20">
        <f>IFERROR(VLOOKUP(Table4[[#This Row],[FromSite-UPS]],Table1[[#All],[Company or Name]:[FromSite3]],14,FALSE),"")</f>
        <v>0.70833333333333337</v>
      </c>
      <c r="M98" s="13" t="s">
        <v>1011</v>
      </c>
      <c r="N98" s="20" t="s">
        <v>134</v>
      </c>
      <c r="O98" s="20">
        <v>6623801074</v>
      </c>
      <c r="P98" s="20" t="s">
        <v>134</v>
      </c>
      <c r="Q98" s="20" t="s">
        <v>1857</v>
      </c>
      <c r="R98" s="20" t="s">
        <v>1235</v>
      </c>
      <c r="S98" s="20" t="s">
        <v>125</v>
      </c>
      <c r="T98" s="20" t="s">
        <v>856</v>
      </c>
      <c r="U98" s="20"/>
      <c r="V98" s="20" t="s">
        <v>1198</v>
      </c>
      <c r="W98" s="20" t="str">
        <f>TEXT(Table4[[#This Row],[Confirmed Sampling Date]], "yyyy") &amp; "_" &amp; TEXT(Table4[[#This Row],[Confirmed Sampling Date]], "mm") &amp; "_" &amp; TEXT(Table4[[#This Row],[Confirmed Sampling Date]], "dd")</f>
        <v>2025_08_13</v>
      </c>
      <c r="X98" s="20" t="str">
        <f t="shared" si="1"/>
        <v>Funchal</v>
      </c>
      <c r="Y98" s="20" t="str">
        <f>VLOOKUP(Table4[[#This Row],[FromSite-UPS]],Table1[[Company or Name]:[NOTES]],2,FALSE)</f>
        <v>Portugal</v>
      </c>
      <c r="Z98" s="20">
        <f>IFERROR(WEEKNUM(Table4[[#This Row],[Confirmed Sampling Date]] - 10, 21), "TBD")</f>
        <v>31</v>
      </c>
      <c r="AA98" s="20" t="str">
        <f>_xlfn.XLOOKUP(Table4[[#This Row],[FromSite-UPS]],sites!D:D,sites!W:W,"",0)</f>
        <v>R. do Matadouro 4, Funchal, 9050-100, Portugal</v>
      </c>
      <c r="AB98" s="20" t="str">
        <f>_xlfn.XLOOKUP(Table4[[#This Row],[ToLab]],labs!D:D,labs!P:P,"no adres",0)</f>
        <v>Av. Rovisco Pais 1, Laboratorio de Analises de Agua, Lisbon, 1049-001, Portugal</v>
      </c>
      <c r="AC98" s="20">
        <f>_xlfn.XLOOKUP(Table4[[#This Row],[combi]],AREA!E:E,AREA!F:F,"",0)</f>
        <v>89</v>
      </c>
      <c r="AD98" s="20" t="str">
        <f>_xlfn.XLOOKUP(Table4[[#This Row],[combi]],AREA!E:E,AREA!G:G,"",0)</f>
        <v>Pick-up service of hypothetic package as defined in the Tech. Specs. and delivery to lots
2 and 3 contractors according to Scenario 1</v>
      </c>
      <c r="AE98" s="20" t="s">
        <v>125</v>
      </c>
      <c r="AF98" s="20" t="str">
        <f>_xlfn.XLOOKUP(Table4[[#This Row],[FromSite-UPS]],sites!D:D,sites!AB:AB,"",0)&amp;_xlfn.XLOOKUP(Table4[[#This Row],[ToLab]],labs!D:D,labs!Q:Q,"",0)</f>
        <v>EUEU</v>
      </c>
    </row>
    <row r="99" spans="2:32" ht="15.6" hidden="1" customHeight="1" x14ac:dyDescent="0.25">
      <c r="B99" s="13">
        <v>322</v>
      </c>
      <c r="C99" s="14" t="s">
        <v>53</v>
      </c>
      <c r="D99" s="13">
        <v>1</v>
      </c>
      <c r="E99" s="79">
        <v>45882</v>
      </c>
      <c r="F99" s="80">
        <v>45883</v>
      </c>
      <c r="G99" s="20">
        <f>IFERROR(WEEKNUM(Table4[[#This Row],[Confirmed Pick-up Date]]),"TBD")</f>
        <v>33</v>
      </c>
      <c r="H99" s="20" t="str">
        <f>IFERROR(TEXT(Table4[[#This Row],[Confirmed Pick-up Date]],"yy-mm"),"TBD")</f>
        <v>25-08</v>
      </c>
      <c r="I99" s="78" t="s">
        <v>1628</v>
      </c>
      <c r="J99" s="20" t="str">
        <f>IFERROR(VLOOKUP(Table4[[#This Row],[FromSite-UPS]],Table1[[#All],[Company or Name]:[FromSite3]],15,FALSE),"")</f>
        <v>Funchal WWTP</v>
      </c>
      <c r="K99" s="20" t="str">
        <f>IFERROR(VLOOKUP(Table4[[#This Row],[FromSite-UPS]],Table1[[#All],[Company or Name]:[FromSite3]],16,FALSE),"")</f>
        <v>Madeira, 10 locations</v>
      </c>
      <c r="L99" s="20">
        <f>IFERROR(VLOOKUP(Table4[[#This Row],[FromSite-UPS]],Table1[[#All],[Company or Name]:[FromSite3]],14,FALSE),"")</f>
        <v>0.70833333333333337</v>
      </c>
      <c r="M99" s="13" t="s">
        <v>1011</v>
      </c>
      <c r="N99" s="20" t="s">
        <v>134</v>
      </c>
      <c r="O99" s="20">
        <v>6623801074</v>
      </c>
      <c r="P99" s="65" t="s">
        <v>134</v>
      </c>
      <c r="Q99" s="65"/>
      <c r="R99" s="20" t="s">
        <v>1234</v>
      </c>
      <c r="S99" s="20" t="s">
        <v>125</v>
      </c>
      <c r="T99" s="20" t="s">
        <v>856</v>
      </c>
      <c r="U99" s="20"/>
      <c r="V99" s="20" t="s">
        <v>1199</v>
      </c>
      <c r="W99" s="20" t="str">
        <f>TEXT(Table4[[#This Row],[Confirmed Sampling Date]], "yyyy") &amp; "_" &amp; TEXT(Table4[[#This Row],[Confirmed Sampling Date]], "mm") &amp; "_" &amp; TEXT(Table4[[#This Row],[Confirmed Sampling Date]], "dd")</f>
        <v>2025_08_13</v>
      </c>
      <c r="X99" s="20" t="str">
        <f t="shared" si="1"/>
        <v>Funchal</v>
      </c>
      <c r="Y99" s="20" t="str">
        <f>VLOOKUP(Table4[[#This Row],[FromSite-UPS]],Table1[[Company or Name]:[NOTES]],2,FALSE)</f>
        <v>Portugal</v>
      </c>
      <c r="Z99" s="20">
        <f>IFERROR(WEEKNUM(Table4[[#This Row],[Confirmed Sampling Date]] - 10, 21), "TBD")</f>
        <v>31</v>
      </c>
      <c r="AA99" s="20" t="str">
        <f>_xlfn.XLOOKUP(Table4[[#This Row],[FromSite-UPS]],sites!D:D,sites!W:W,"",0)</f>
        <v>R. do Matadouro 4, Funchal, 9050-100, Portugal</v>
      </c>
      <c r="AB99" s="20" t="str">
        <f>_xlfn.XLOOKUP(Table4[[#This Row],[ToLab]],labs!D:D,labs!P:P,"no adres",0)</f>
        <v>Av. Rovisco Pais 1, Laboratorio de Analises de Agua, Lisbon, 1049-001, Portugal</v>
      </c>
      <c r="AC99" s="20">
        <f>_xlfn.XLOOKUP(Table4[[#This Row],[combi]],AREA!E:E,AREA!F:F,"",0)</f>
        <v>89</v>
      </c>
      <c r="AD99" s="20" t="str">
        <f>_xlfn.XLOOKUP(Table4[[#This Row],[combi]],AREA!E:E,AREA!G:G,"",0)</f>
        <v>Pick-up service of hypothetic package as defined in the Tech. Specs. and delivery to lots
2 and 3 contractors according to Scenario 1</v>
      </c>
      <c r="AE99" s="20" t="s">
        <v>125</v>
      </c>
      <c r="AF99" s="20" t="str">
        <f>_xlfn.XLOOKUP(Table4[[#This Row],[FromSite-UPS]],sites!D:D,sites!AB:AB,"",0)&amp;_xlfn.XLOOKUP(Table4[[#This Row],[ToLab]],labs!D:D,labs!Q:Q,"",0)</f>
        <v>EUEU</v>
      </c>
    </row>
    <row r="100" spans="2:32" ht="15.6" hidden="1" customHeight="1" x14ac:dyDescent="0.25">
      <c r="B100" s="13">
        <v>332</v>
      </c>
      <c r="C100" s="14" t="s">
        <v>53</v>
      </c>
      <c r="D100" s="13">
        <v>1</v>
      </c>
      <c r="E100" s="79">
        <v>45882</v>
      </c>
      <c r="F100" s="80">
        <v>45883</v>
      </c>
      <c r="G100" s="20">
        <f>IFERROR(WEEKNUM(Table4[[#This Row],[Confirmed Pick-up Date]]),"TBD")</f>
        <v>33</v>
      </c>
      <c r="H100" s="20" t="str">
        <f>IFERROR(TEXT(Table4[[#This Row],[Confirmed Pick-up Date]],"yy-mm"),"TBD")</f>
        <v>25-08</v>
      </c>
      <c r="I100" s="78" t="s">
        <v>1628</v>
      </c>
      <c r="J100" s="20" t="str">
        <f>IFERROR(VLOOKUP(Table4[[#This Row],[FromSite-UPS]],Table1[[#All],[Company or Name]:[FromSite3]],15,FALSE),"")</f>
        <v>Funchal WWTP</v>
      </c>
      <c r="K100" s="20" t="str">
        <f>IFERROR(VLOOKUP(Table4[[#This Row],[FromSite-UPS]],Table1[[#All],[Company or Name]:[FromSite3]],16,FALSE),"")</f>
        <v>Madeira, 10 locations</v>
      </c>
      <c r="L100" s="20">
        <f>IFERROR(VLOOKUP(Table4[[#This Row],[FromSite-UPS]],Table1[[#All],[Company or Name]:[FromSite3]],14,FALSE),"")</f>
        <v>0.70833333333333337</v>
      </c>
      <c r="M100" s="13" t="s">
        <v>1011</v>
      </c>
      <c r="N100" s="20" t="s">
        <v>134</v>
      </c>
      <c r="O100" s="20">
        <v>6623801074</v>
      </c>
      <c r="P100" s="65" t="s">
        <v>134</v>
      </c>
      <c r="Q100" s="65"/>
      <c r="R100" s="20" t="s">
        <v>1233</v>
      </c>
      <c r="S100" s="20" t="s">
        <v>125</v>
      </c>
      <c r="T100" s="20" t="s">
        <v>856</v>
      </c>
      <c r="U100" s="20"/>
      <c r="V100" s="20" t="s">
        <v>1200</v>
      </c>
      <c r="W100" s="20" t="str">
        <f>TEXT(Table4[[#This Row],[Confirmed Sampling Date]], "yyyy") &amp; "_" &amp; TEXT(Table4[[#This Row],[Confirmed Sampling Date]], "mm") &amp; "_" &amp; TEXT(Table4[[#This Row],[Confirmed Sampling Date]], "dd")</f>
        <v>2025_08_13</v>
      </c>
      <c r="X100" s="20" t="str">
        <f t="shared" si="1"/>
        <v>Funchal</v>
      </c>
      <c r="Y100" s="20" t="str">
        <f>VLOOKUP(Table4[[#This Row],[FromSite-UPS]],Table1[[Company or Name]:[NOTES]],2,FALSE)</f>
        <v>Portugal</v>
      </c>
      <c r="Z100" s="20">
        <f>IFERROR(WEEKNUM(Table4[[#This Row],[Confirmed Sampling Date]] - 10, 21), "TBD")</f>
        <v>31</v>
      </c>
      <c r="AA100" s="20" t="str">
        <f>_xlfn.XLOOKUP(Table4[[#This Row],[FromSite-UPS]],sites!D:D,sites!W:W,"",0)</f>
        <v>R. do Matadouro 4, Funchal, 9050-100, Portugal</v>
      </c>
      <c r="AB100" s="20" t="str">
        <f>_xlfn.XLOOKUP(Table4[[#This Row],[ToLab]],labs!D:D,labs!P:P,"no adres",0)</f>
        <v>Av. Rovisco Pais 1, Laboratorio de Analises de Agua, Lisbon, 1049-001, Portugal</v>
      </c>
      <c r="AC100" s="20">
        <f>_xlfn.XLOOKUP(Table4[[#This Row],[combi]],AREA!E:E,AREA!F:F,"",0)</f>
        <v>89</v>
      </c>
      <c r="AD100" s="20" t="str">
        <f>_xlfn.XLOOKUP(Table4[[#This Row],[combi]],AREA!E:E,AREA!G:G,"",0)</f>
        <v>Pick-up service of hypothetic package as defined in the Tech. Specs. and delivery to lots
2 and 3 contractors according to Scenario 1</v>
      </c>
      <c r="AE100" s="20" t="s">
        <v>125</v>
      </c>
      <c r="AF100" s="20" t="str">
        <f>_xlfn.XLOOKUP(Table4[[#This Row],[FromSite-UPS]],sites!D:D,sites!AB:AB,"",0)&amp;_xlfn.XLOOKUP(Table4[[#This Row],[ToLab]],labs!D:D,labs!Q:Q,"",0)</f>
        <v>EUEU</v>
      </c>
    </row>
    <row r="101" spans="2:32" ht="15.6" hidden="1" customHeight="1" x14ac:dyDescent="0.25">
      <c r="B101" s="13">
        <v>342</v>
      </c>
      <c r="C101" s="14" t="s">
        <v>53</v>
      </c>
      <c r="D101" s="13">
        <v>1</v>
      </c>
      <c r="E101" s="79">
        <v>45882</v>
      </c>
      <c r="F101" s="81">
        <v>45883</v>
      </c>
      <c r="G101" s="20">
        <f>IFERROR(WEEKNUM(Table4[[#This Row],[Confirmed Pick-up Date]]),"TBD")</f>
        <v>33</v>
      </c>
      <c r="H101" s="20" t="str">
        <f>IFERROR(TEXT(Table4[[#This Row],[Confirmed Pick-up Date]],"yy-mm"),"TBD")</f>
        <v>25-08</v>
      </c>
      <c r="I101" s="78" t="s">
        <v>1628</v>
      </c>
      <c r="J101" s="20" t="str">
        <f>IFERROR(VLOOKUP(Table4[[#This Row],[FromSite-UPS]],Table1[[#All],[Company or Name]:[FromSite3]],15,FALSE),"")</f>
        <v>Funchal WWTP</v>
      </c>
      <c r="K101" s="20" t="str">
        <f>IFERROR(VLOOKUP(Table4[[#This Row],[FromSite-UPS]],Table1[[#All],[Company or Name]:[FromSite3]],16,FALSE),"")</f>
        <v>Madeira, 10 locations</v>
      </c>
      <c r="L101" s="20">
        <f>IFERROR(VLOOKUP(Table4[[#This Row],[FromSite-UPS]],Table1[[#All],[Company or Name]:[FromSite3]],14,FALSE),"")</f>
        <v>0.70833333333333337</v>
      </c>
      <c r="M101" s="13" t="s">
        <v>1011</v>
      </c>
      <c r="N101" s="20" t="s">
        <v>134</v>
      </c>
      <c r="O101" s="20">
        <v>6623801074</v>
      </c>
      <c r="P101" s="65" t="s">
        <v>134</v>
      </c>
      <c r="Q101" s="65"/>
      <c r="R101" s="20" t="s">
        <v>1236</v>
      </c>
      <c r="S101" s="20" t="s">
        <v>125</v>
      </c>
      <c r="T101" s="20" t="s">
        <v>856</v>
      </c>
      <c r="U101" s="20"/>
      <c r="V101" s="20" t="s">
        <v>1201</v>
      </c>
      <c r="W101" s="20" t="str">
        <f>TEXT(Table4[[#This Row],[Confirmed Sampling Date]], "yyyy") &amp; "_" &amp; TEXT(Table4[[#This Row],[Confirmed Sampling Date]], "mm") &amp; "_" &amp; TEXT(Table4[[#This Row],[Confirmed Sampling Date]], "dd")</f>
        <v>2025_08_13</v>
      </c>
      <c r="X101" s="20" t="str">
        <f t="shared" si="1"/>
        <v>Funchal</v>
      </c>
      <c r="Y101" s="20" t="str">
        <f>VLOOKUP(Table4[[#This Row],[FromSite-UPS]],Table1[[Company or Name]:[NOTES]],2,FALSE)</f>
        <v>Portugal</v>
      </c>
      <c r="Z101" s="20">
        <f>IFERROR(WEEKNUM(Table4[[#This Row],[Confirmed Sampling Date]] - 10, 21), "TBD")</f>
        <v>31</v>
      </c>
      <c r="AA101" s="20" t="str">
        <f>_xlfn.XLOOKUP(Table4[[#This Row],[FromSite-UPS]],sites!D:D,sites!W:W,"",0)</f>
        <v>R. do Matadouro 4, Funchal, 9050-100, Portugal</v>
      </c>
      <c r="AB101" s="20" t="str">
        <f>_xlfn.XLOOKUP(Table4[[#This Row],[ToLab]],labs!D:D,labs!P:P,"no adres",0)</f>
        <v>Av. Rovisco Pais 1, Laboratorio de Analises de Agua, Lisbon, 1049-001, Portugal</v>
      </c>
      <c r="AC101" s="20">
        <f>_xlfn.XLOOKUP(Table4[[#This Row],[combi]],AREA!E:E,AREA!F:F,"",0)</f>
        <v>89</v>
      </c>
      <c r="AD101" s="20" t="str">
        <f>_xlfn.XLOOKUP(Table4[[#This Row],[combi]],AREA!E:E,AREA!G:G,"",0)</f>
        <v>Pick-up service of hypothetic package as defined in the Tech. Specs. and delivery to lots
2 and 3 contractors according to Scenario 1</v>
      </c>
      <c r="AE101" s="20" t="s">
        <v>125</v>
      </c>
      <c r="AF101" s="20" t="str">
        <f>_xlfn.XLOOKUP(Table4[[#This Row],[FromSite-UPS]],sites!D:D,sites!AB:AB,"",0)&amp;_xlfn.XLOOKUP(Table4[[#This Row],[ToLab]],labs!D:D,labs!Q:Q,"",0)</f>
        <v>EUEU</v>
      </c>
    </row>
    <row r="102" spans="2:32" ht="15.6" hidden="1" customHeight="1" x14ac:dyDescent="0.25">
      <c r="B102" s="13">
        <v>352</v>
      </c>
      <c r="C102" s="14" t="s">
        <v>53</v>
      </c>
      <c r="D102" s="13">
        <v>1</v>
      </c>
      <c r="E102" s="79">
        <v>45882</v>
      </c>
      <c r="F102" s="81">
        <v>45883</v>
      </c>
      <c r="G102" s="20">
        <f>IFERROR(WEEKNUM(Table4[[#This Row],[Confirmed Pick-up Date]]),"TBD")</f>
        <v>33</v>
      </c>
      <c r="H102" s="20" t="str">
        <f>IFERROR(TEXT(Table4[[#This Row],[Confirmed Pick-up Date]],"yy-mm"),"TBD")</f>
        <v>25-08</v>
      </c>
      <c r="I102" s="78" t="s">
        <v>1628</v>
      </c>
      <c r="J102" s="20" t="str">
        <f>IFERROR(VLOOKUP(Table4[[#This Row],[FromSite-UPS]],Table1[[#All],[Company or Name]:[FromSite3]],15,FALSE),"")</f>
        <v>Funchal WWTP</v>
      </c>
      <c r="K102" s="20" t="str">
        <f>IFERROR(VLOOKUP(Table4[[#This Row],[FromSite-UPS]],Table1[[#All],[Company or Name]:[FromSite3]],16,FALSE),"")</f>
        <v>Madeira, 10 locations</v>
      </c>
      <c r="L102" s="20">
        <f>IFERROR(VLOOKUP(Table4[[#This Row],[FromSite-UPS]],Table1[[#All],[Company or Name]:[FromSite3]],14,FALSE),"")</f>
        <v>0.70833333333333337</v>
      </c>
      <c r="M102" s="13" t="s">
        <v>1011</v>
      </c>
      <c r="N102" s="20" t="s">
        <v>134</v>
      </c>
      <c r="O102" s="20">
        <v>6623801074</v>
      </c>
      <c r="P102" s="65" t="s">
        <v>134</v>
      </c>
      <c r="Q102" s="65"/>
      <c r="R102" s="20" t="s">
        <v>1232</v>
      </c>
      <c r="S102" s="20" t="s">
        <v>125</v>
      </c>
      <c r="T102" s="20" t="s">
        <v>856</v>
      </c>
      <c r="U102" s="20"/>
      <c r="V102" s="20" t="s">
        <v>1202</v>
      </c>
      <c r="W102" s="20" t="str">
        <f>TEXT(Table4[[#This Row],[Confirmed Sampling Date]], "yyyy") &amp; "_" &amp; TEXT(Table4[[#This Row],[Confirmed Sampling Date]], "mm") &amp; "_" &amp; TEXT(Table4[[#This Row],[Confirmed Sampling Date]], "dd")</f>
        <v>2025_08_13</v>
      </c>
      <c r="X102" s="20" t="str">
        <f t="shared" si="1"/>
        <v>Funchal</v>
      </c>
      <c r="Y102" s="20" t="str">
        <f>VLOOKUP(Table4[[#This Row],[FromSite-UPS]],Table1[[Company or Name]:[NOTES]],2,FALSE)</f>
        <v>Portugal</v>
      </c>
      <c r="Z102" s="20">
        <f>IFERROR(WEEKNUM(Table4[[#This Row],[Confirmed Sampling Date]] - 10, 21), "TBD")</f>
        <v>31</v>
      </c>
      <c r="AA102" s="20" t="str">
        <f>_xlfn.XLOOKUP(Table4[[#This Row],[FromSite-UPS]],sites!D:D,sites!W:W,"",0)</f>
        <v>R. do Matadouro 4, Funchal, 9050-100, Portugal</v>
      </c>
      <c r="AB102" s="20" t="str">
        <f>_xlfn.XLOOKUP(Table4[[#This Row],[ToLab]],labs!D:D,labs!P:P,"no adres",0)</f>
        <v>Av. Rovisco Pais 1, Laboratorio de Analises de Agua, Lisbon, 1049-001, Portugal</v>
      </c>
      <c r="AC102" s="20">
        <f>_xlfn.XLOOKUP(Table4[[#This Row],[combi]],AREA!E:E,AREA!F:F,"",0)</f>
        <v>89</v>
      </c>
      <c r="AD102" s="20" t="str">
        <f>_xlfn.XLOOKUP(Table4[[#This Row],[combi]],AREA!E:E,AREA!G:G,"",0)</f>
        <v>Pick-up service of hypothetic package as defined in the Tech. Specs. and delivery to lots
2 and 3 contractors according to Scenario 1</v>
      </c>
      <c r="AE102" s="20" t="s">
        <v>125</v>
      </c>
      <c r="AF102" s="20" t="str">
        <f>_xlfn.XLOOKUP(Table4[[#This Row],[FromSite-UPS]],sites!D:D,sites!AB:AB,"",0)&amp;_xlfn.XLOOKUP(Table4[[#This Row],[ToLab]],labs!D:D,labs!Q:Q,"",0)</f>
        <v>EUEU</v>
      </c>
    </row>
    <row r="103" spans="2:32" ht="15.6" hidden="1" customHeight="1" x14ac:dyDescent="0.25">
      <c r="B103" s="13">
        <v>362</v>
      </c>
      <c r="C103" s="14" t="s">
        <v>53</v>
      </c>
      <c r="D103" s="13">
        <v>1</v>
      </c>
      <c r="E103" s="79">
        <v>45882</v>
      </c>
      <c r="F103" s="80">
        <v>45883</v>
      </c>
      <c r="G103" s="20">
        <f>IFERROR(WEEKNUM(Table4[[#This Row],[Confirmed Pick-up Date]]),"TBD")</f>
        <v>33</v>
      </c>
      <c r="H103" s="20" t="str">
        <f>IFERROR(TEXT(Table4[[#This Row],[Confirmed Pick-up Date]],"yy-mm"),"TBD")</f>
        <v>25-08</v>
      </c>
      <c r="I103" s="78" t="s">
        <v>1628</v>
      </c>
      <c r="J103" s="20" t="str">
        <f>IFERROR(VLOOKUP(Table4[[#This Row],[FromSite-UPS]],Table1[[#All],[Company or Name]:[FromSite3]],15,FALSE),"")</f>
        <v>Funchal WWTP</v>
      </c>
      <c r="K103" s="20" t="str">
        <f>IFERROR(VLOOKUP(Table4[[#This Row],[FromSite-UPS]],Table1[[#All],[Company or Name]:[FromSite3]],16,FALSE),"")</f>
        <v>Madeira, 10 locations</v>
      </c>
      <c r="L103" s="20">
        <f>IFERROR(VLOOKUP(Table4[[#This Row],[FromSite-UPS]],Table1[[#All],[Company or Name]:[FromSite3]],14,FALSE),"")</f>
        <v>0.70833333333333337</v>
      </c>
      <c r="M103" s="13" t="s">
        <v>1011</v>
      </c>
      <c r="N103" s="20" t="s">
        <v>134</v>
      </c>
      <c r="O103" s="20">
        <v>6623801074</v>
      </c>
      <c r="P103" s="20" t="s">
        <v>134</v>
      </c>
      <c r="Q103" s="20"/>
      <c r="R103" s="20" t="s">
        <v>1231</v>
      </c>
      <c r="S103" s="20" t="s">
        <v>125</v>
      </c>
      <c r="T103" s="20" t="s">
        <v>856</v>
      </c>
      <c r="U103" s="20"/>
      <c r="V103" s="20" t="s">
        <v>1203</v>
      </c>
      <c r="W103" s="20" t="str">
        <f>TEXT(Table4[[#This Row],[Confirmed Sampling Date]], "yyyy") &amp; "_" &amp; TEXT(Table4[[#This Row],[Confirmed Sampling Date]], "mm") &amp; "_" &amp; TEXT(Table4[[#This Row],[Confirmed Sampling Date]], "dd")</f>
        <v>2025_08_13</v>
      </c>
      <c r="X103" s="20" t="str">
        <f t="shared" si="1"/>
        <v>Funchal</v>
      </c>
      <c r="Y103" s="20" t="str">
        <f>VLOOKUP(Table4[[#This Row],[FromSite-UPS]],Table1[[Company or Name]:[NOTES]],2,FALSE)</f>
        <v>Portugal</v>
      </c>
      <c r="Z103" s="20">
        <f>IFERROR(WEEKNUM(Table4[[#This Row],[Confirmed Sampling Date]] - 10, 21), "TBD")</f>
        <v>31</v>
      </c>
      <c r="AA103" s="20" t="str">
        <f>_xlfn.XLOOKUP(Table4[[#This Row],[FromSite-UPS]],sites!D:D,sites!W:W,"",0)</f>
        <v>R. do Matadouro 4, Funchal, 9050-100, Portugal</v>
      </c>
      <c r="AB103" s="20" t="str">
        <f>_xlfn.XLOOKUP(Table4[[#This Row],[ToLab]],labs!D:D,labs!P:P,"no adres",0)</f>
        <v>Av. Rovisco Pais 1, Laboratorio de Analises de Agua, Lisbon, 1049-001, Portugal</v>
      </c>
      <c r="AC103" s="20">
        <f>_xlfn.XLOOKUP(Table4[[#This Row],[combi]],AREA!E:E,AREA!F:F,"",0)</f>
        <v>89</v>
      </c>
      <c r="AD103" s="20" t="str">
        <f>_xlfn.XLOOKUP(Table4[[#This Row],[combi]],AREA!E:E,AREA!G:G,"",0)</f>
        <v>Pick-up service of hypothetic package as defined in the Tech. Specs. and delivery to lots
2 and 3 contractors according to Scenario 1</v>
      </c>
      <c r="AE103" s="20" t="s">
        <v>125</v>
      </c>
      <c r="AF103" s="20" t="str">
        <f>_xlfn.XLOOKUP(Table4[[#This Row],[FromSite-UPS]],sites!D:D,sites!AB:AB,"",0)&amp;_xlfn.XLOOKUP(Table4[[#This Row],[ToLab]],labs!D:D,labs!Q:Q,"",0)</f>
        <v>EUEU</v>
      </c>
    </row>
    <row r="104" spans="2:32" ht="15.6" hidden="1" customHeight="1" x14ac:dyDescent="0.25">
      <c r="B104" s="13">
        <v>372</v>
      </c>
      <c r="C104" s="14" t="s">
        <v>53</v>
      </c>
      <c r="D104" s="13">
        <v>1</v>
      </c>
      <c r="E104" s="79">
        <v>45882</v>
      </c>
      <c r="F104" s="81">
        <v>45883</v>
      </c>
      <c r="G104" s="20">
        <f>IFERROR(WEEKNUM(Table4[[#This Row],[Confirmed Pick-up Date]]),"TBD")</f>
        <v>33</v>
      </c>
      <c r="H104" s="20" t="str">
        <f>IFERROR(TEXT(Table4[[#This Row],[Confirmed Pick-up Date]],"yy-mm"),"TBD")</f>
        <v>25-08</v>
      </c>
      <c r="I104" s="67" t="s">
        <v>1628</v>
      </c>
      <c r="J104" s="20" t="str">
        <f>IFERROR(VLOOKUP(Table4[[#This Row],[FromSite-UPS]],Table1[[#All],[Company or Name]:[FromSite3]],15,FALSE),"")</f>
        <v>Funchal WWTP</v>
      </c>
      <c r="K104" s="20" t="str">
        <f>IFERROR(VLOOKUP(Table4[[#This Row],[FromSite-UPS]],Table1[[#All],[Company or Name]:[FromSite3]],16,FALSE),"")</f>
        <v>Madeira, 10 locations</v>
      </c>
      <c r="L104" s="20">
        <f>IFERROR(VLOOKUP(Table4[[#This Row],[FromSite-UPS]],Table1[[#All],[Company or Name]:[FromSite3]],14,FALSE),"")</f>
        <v>0.70833333333333337</v>
      </c>
      <c r="M104" s="13" t="s">
        <v>1011</v>
      </c>
      <c r="N104" s="20" t="s">
        <v>134</v>
      </c>
      <c r="O104" s="20">
        <v>6623801074</v>
      </c>
      <c r="P104" s="20" t="s">
        <v>134</v>
      </c>
      <c r="Q104" s="101"/>
      <c r="R104" s="20" t="s">
        <v>1230</v>
      </c>
      <c r="S104" s="20" t="s">
        <v>125</v>
      </c>
      <c r="T104" s="20" t="s">
        <v>856</v>
      </c>
      <c r="U104" s="20"/>
      <c r="V104" s="20" t="s">
        <v>1204</v>
      </c>
      <c r="W104" s="20" t="str">
        <f>TEXT(Table4[[#This Row],[Confirmed Sampling Date]], "yyyy") &amp; "_" &amp; TEXT(Table4[[#This Row],[Confirmed Sampling Date]], "mm") &amp; "_" &amp; TEXT(Table4[[#This Row],[Confirmed Sampling Date]], "dd")</f>
        <v>2025_08_13</v>
      </c>
      <c r="X104" s="20" t="str">
        <f t="shared" si="1"/>
        <v>Funchal</v>
      </c>
      <c r="Y104" s="20" t="str">
        <f>VLOOKUP(Table4[[#This Row],[FromSite-UPS]],Table1[[Company or Name]:[NOTES]],2,FALSE)</f>
        <v>Portugal</v>
      </c>
      <c r="Z104" s="20">
        <f>IFERROR(WEEKNUM(Table4[[#This Row],[Confirmed Sampling Date]] - 10, 21), "TBD")</f>
        <v>31</v>
      </c>
      <c r="AA104" s="20" t="str">
        <f>_xlfn.XLOOKUP(Table4[[#This Row],[FromSite-UPS]],sites!D:D,sites!W:W,"",0)</f>
        <v>R. do Matadouro 4, Funchal, 9050-100, Portugal</v>
      </c>
      <c r="AB104" s="20" t="str">
        <f>_xlfn.XLOOKUP(Table4[[#This Row],[ToLab]],labs!D:D,labs!P:P,"no adres",0)</f>
        <v>Av. Rovisco Pais 1, Laboratorio de Analises de Agua, Lisbon, 1049-001, Portugal</v>
      </c>
      <c r="AC104" s="20">
        <f>_xlfn.XLOOKUP(Table4[[#This Row],[combi]],AREA!E:E,AREA!F:F,"",0)</f>
        <v>89</v>
      </c>
      <c r="AD104" s="20" t="str">
        <f>_xlfn.XLOOKUP(Table4[[#This Row],[combi]],AREA!E:E,AREA!G:G,"",0)</f>
        <v>Pick-up service of hypothetic package as defined in the Tech. Specs. and delivery to lots
2 and 3 contractors according to Scenario 1</v>
      </c>
      <c r="AE104" s="20" t="s">
        <v>125</v>
      </c>
      <c r="AF104" s="20" t="str">
        <f>_xlfn.XLOOKUP(Table4[[#This Row],[FromSite-UPS]],sites!D:D,sites!AB:AB,"",0)&amp;_xlfn.XLOOKUP(Table4[[#This Row],[ToLab]],labs!D:D,labs!Q:Q,"",0)</f>
        <v>EUEU</v>
      </c>
    </row>
    <row r="105" spans="2:32" ht="15.6" hidden="1" customHeight="1" x14ac:dyDescent="0.25">
      <c r="B105" s="13">
        <v>382</v>
      </c>
      <c r="C105" s="14" t="s">
        <v>53</v>
      </c>
      <c r="D105" s="13">
        <v>1</v>
      </c>
      <c r="E105" s="79">
        <v>45882</v>
      </c>
      <c r="F105" s="80">
        <v>45883</v>
      </c>
      <c r="G105" s="20">
        <f>IFERROR(WEEKNUM(Table4[[#This Row],[Confirmed Pick-up Date]]),"TBD")</f>
        <v>33</v>
      </c>
      <c r="H105" s="20" t="str">
        <f>IFERROR(TEXT(Table4[[#This Row],[Confirmed Pick-up Date]],"yy-mm"),"TBD")</f>
        <v>25-08</v>
      </c>
      <c r="I105" s="78" t="s">
        <v>1628</v>
      </c>
      <c r="J105" s="20" t="str">
        <f>IFERROR(VLOOKUP(Table4[[#This Row],[FromSite-UPS]],Table1[[#All],[Company or Name]:[FromSite3]],15,FALSE),"")</f>
        <v>Funchal WWTP</v>
      </c>
      <c r="K105" s="20" t="str">
        <f>IFERROR(VLOOKUP(Table4[[#This Row],[FromSite-UPS]],Table1[[#All],[Company or Name]:[FromSite3]],16,FALSE),"")</f>
        <v>Madeira, 10 locations</v>
      </c>
      <c r="L105" s="20">
        <f>IFERROR(VLOOKUP(Table4[[#This Row],[FromSite-UPS]],Table1[[#All],[Company or Name]:[FromSite3]],14,FALSE),"")</f>
        <v>0.70833333333333337</v>
      </c>
      <c r="M105" s="13" t="s">
        <v>1011</v>
      </c>
      <c r="N105" s="20" t="s">
        <v>134</v>
      </c>
      <c r="O105" s="20">
        <v>6623801074</v>
      </c>
      <c r="P105" s="65" t="s">
        <v>134</v>
      </c>
      <c r="Q105" s="65"/>
      <c r="R105" s="20" t="s">
        <v>1229</v>
      </c>
      <c r="S105" s="20" t="s">
        <v>125</v>
      </c>
      <c r="T105" s="20" t="s">
        <v>856</v>
      </c>
      <c r="U105" s="20"/>
      <c r="V105" s="20" t="s">
        <v>1205</v>
      </c>
      <c r="W105" s="20" t="str">
        <f>TEXT(Table4[[#This Row],[Confirmed Sampling Date]], "yyyy") &amp; "_" &amp; TEXT(Table4[[#This Row],[Confirmed Sampling Date]], "mm") &amp; "_" &amp; TEXT(Table4[[#This Row],[Confirmed Sampling Date]], "dd")</f>
        <v>2025_08_13</v>
      </c>
      <c r="X105" s="20" t="str">
        <f t="shared" si="1"/>
        <v>Funchal</v>
      </c>
      <c r="Y105" s="20" t="str">
        <f>VLOOKUP(Table4[[#This Row],[FromSite-UPS]],Table1[[Company or Name]:[NOTES]],2,FALSE)</f>
        <v>Portugal</v>
      </c>
      <c r="Z105" s="20">
        <f>IFERROR(WEEKNUM(Table4[[#This Row],[Confirmed Sampling Date]] - 10, 21), "TBD")</f>
        <v>31</v>
      </c>
      <c r="AA105" s="20" t="str">
        <f>_xlfn.XLOOKUP(Table4[[#This Row],[FromSite-UPS]],sites!D:D,sites!W:W,"",0)</f>
        <v>R. do Matadouro 4, Funchal, 9050-100, Portugal</v>
      </c>
      <c r="AB105" s="20" t="str">
        <f>_xlfn.XLOOKUP(Table4[[#This Row],[ToLab]],labs!D:D,labs!P:P,"no adres",0)</f>
        <v>Av. Rovisco Pais 1, Laboratorio de Analises de Agua, Lisbon, 1049-001, Portugal</v>
      </c>
      <c r="AC105" s="20">
        <f>_xlfn.XLOOKUP(Table4[[#This Row],[combi]],AREA!E:E,AREA!F:F,"",0)</f>
        <v>89</v>
      </c>
      <c r="AD105" s="20" t="str">
        <f>_xlfn.XLOOKUP(Table4[[#This Row],[combi]],AREA!E:E,AREA!G:G,"",0)</f>
        <v>Pick-up service of hypothetic package as defined in the Tech. Specs. and delivery to lots
2 and 3 contractors according to Scenario 1</v>
      </c>
      <c r="AE105" s="20" t="s">
        <v>125</v>
      </c>
      <c r="AF105" s="20" t="str">
        <f>_xlfn.XLOOKUP(Table4[[#This Row],[FromSite-UPS]],sites!D:D,sites!AB:AB,"",0)&amp;_xlfn.XLOOKUP(Table4[[#This Row],[ToLab]],labs!D:D,labs!Q:Q,"",0)</f>
        <v>EUEU</v>
      </c>
    </row>
    <row r="106" spans="2:32" ht="15.6" hidden="1" customHeight="1" x14ac:dyDescent="0.25">
      <c r="B106" s="13">
        <v>392</v>
      </c>
      <c r="C106" s="14" t="s">
        <v>53</v>
      </c>
      <c r="D106" s="13">
        <v>1</v>
      </c>
      <c r="E106" s="79">
        <v>45882</v>
      </c>
      <c r="F106" s="80">
        <v>45883</v>
      </c>
      <c r="G106" s="20">
        <f>IFERROR(WEEKNUM(Table4[[#This Row],[Confirmed Pick-up Date]]),"TBD")</f>
        <v>33</v>
      </c>
      <c r="H106" s="20" t="str">
        <f>IFERROR(TEXT(Table4[[#This Row],[Confirmed Pick-up Date]],"yy-mm"),"TBD")</f>
        <v>25-08</v>
      </c>
      <c r="I106" s="78" t="s">
        <v>1628</v>
      </c>
      <c r="J106" s="20" t="str">
        <f>IFERROR(VLOOKUP(Table4[[#This Row],[FromSite-UPS]],Table1[[#All],[Company or Name]:[FromSite3]],15,FALSE),"")</f>
        <v>Funchal WWTP</v>
      </c>
      <c r="K106" s="20" t="str">
        <f>IFERROR(VLOOKUP(Table4[[#This Row],[FromSite-UPS]],Table1[[#All],[Company or Name]:[FromSite3]],16,FALSE),"")</f>
        <v>Madeira, 10 locations</v>
      </c>
      <c r="L106" s="20">
        <f>IFERROR(VLOOKUP(Table4[[#This Row],[FromSite-UPS]],Table1[[#All],[Company or Name]:[FromSite3]],14,FALSE),"")</f>
        <v>0.70833333333333337</v>
      </c>
      <c r="M106" s="13" t="s">
        <v>1011</v>
      </c>
      <c r="N106" s="20" t="s">
        <v>134</v>
      </c>
      <c r="O106" s="20">
        <v>6623801074</v>
      </c>
      <c r="P106" s="65" t="s">
        <v>134</v>
      </c>
      <c r="Q106" s="65"/>
      <c r="R106" s="20" t="s">
        <v>1228</v>
      </c>
      <c r="S106" s="20" t="s">
        <v>125</v>
      </c>
      <c r="T106" s="20" t="s">
        <v>856</v>
      </c>
      <c r="U106" s="20"/>
      <c r="V106" s="20" t="s">
        <v>1206</v>
      </c>
      <c r="W106" s="20" t="str">
        <f>TEXT(Table4[[#This Row],[Confirmed Sampling Date]], "yyyy") &amp; "_" &amp; TEXT(Table4[[#This Row],[Confirmed Sampling Date]], "mm") &amp; "_" &amp; TEXT(Table4[[#This Row],[Confirmed Sampling Date]], "dd")</f>
        <v>2025_08_13</v>
      </c>
      <c r="X106" s="20" t="str">
        <f t="shared" si="1"/>
        <v>Funchal</v>
      </c>
      <c r="Y106" s="20" t="str">
        <f>VLOOKUP(Table4[[#This Row],[FromSite-UPS]],Table1[[Company or Name]:[NOTES]],2,FALSE)</f>
        <v>Portugal</v>
      </c>
      <c r="Z106" s="20">
        <f>IFERROR(WEEKNUM(Table4[[#This Row],[Confirmed Sampling Date]] - 10, 21), "TBD")</f>
        <v>31</v>
      </c>
      <c r="AA106" s="20" t="str">
        <f>_xlfn.XLOOKUP(Table4[[#This Row],[FromSite-UPS]],sites!D:D,sites!W:W,"",0)</f>
        <v>R. do Matadouro 4, Funchal, 9050-100, Portugal</v>
      </c>
      <c r="AB106" s="20" t="str">
        <f>_xlfn.XLOOKUP(Table4[[#This Row],[ToLab]],labs!D:D,labs!P:P,"no adres",0)</f>
        <v>Av. Rovisco Pais 1, Laboratorio de Analises de Agua, Lisbon, 1049-001, Portugal</v>
      </c>
      <c r="AC106" s="20">
        <f>_xlfn.XLOOKUP(Table4[[#This Row],[combi]],AREA!E:E,AREA!F:F,"",0)</f>
        <v>89</v>
      </c>
      <c r="AD106" s="20" t="str">
        <f>_xlfn.XLOOKUP(Table4[[#This Row],[combi]],AREA!E:E,AREA!G:G,"",0)</f>
        <v>Pick-up service of hypothetic package as defined in the Tech. Specs. and delivery to lots
2 and 3 contractors according to Scenario 1</v>
      </c>
      <c r="AE106" s="20" t="s">
        <v>125</v>
      </c>
      <c r="AF106" s="20" t="str">
        <f>_xlfn.XLOOKUP(Table4[[#This Row],[FromSite-UPS]],sites!D:D,sites!AB:AB,"",0)&amp;_xlfn.XLOOKUP(Table4[[#This Row],[ToLab]],labs!D:D,labs!Q:Q,"",0)</f>
        <v>EUEU</v>
      </c>
    </row>
    <row r="107" spans="2:32" ht="15.6" hidden="1" customHeight="1" x14ac:dyDescent="0.25">
      <c r="B107" s="13">
        <v>402</v>
      </c>
      <c r="C107" s="14" t="s">
        <v>53</v>
      </c>
      <c r="D107" s="13">
        <v>1</v>
      </c>
      <c r="E107" s="79">
        <v>45882</v>
      </c>
      <c r="F107" s="81">
        <v>45883</v>
      </c>
      <c r="G107" s="65">
        <f>IFERROR(WEEKNUM(Table4[[#This Row],[Confirmed Pick-up Date]]),"TBD")</f>
        <v>33</v>
      </c>
      <c r="H107" s="65" t="str">
        <f>IFERROR(TEXT(Table4[[#This Row],[Confirmed Pick-up Date]],"yy-mm"),"TBD")</f>
        <v>25-08</v>
      </c>
      <c r="I107" s="67" t="s">
        <v>1628</v>
      </c>
      <c r="J107" s="20" t="str">
        <f>IFERROR(VLOOKUP(Table4[[#This Row],[FromSite-UPS]],Table1[[#All],[Company or Name]:[FromSite3]],15,FALSE),"")</f>
        <v>Funchal WWTP</v>
      </c>
      <c r="K107" s="20" t="str">
        <f>IFERROR(VLOOKUP(Table4[[#This Row],[FromSite-UPS]],Table1[[#All],[Company or Name]:[FromSite3]],16,FALSE),"")</f>
        <v>Madeira, 10 locations</v>
      </c>
      <c r="L107" s="65">
        <f>IFERROR(VLOOKUP(Table4[[#This Row],[FromSite-UPS]],Table1[[#All],[Company or Name]:[FromSite3]],14,FALSE),"")</f>
        <v>0.70833333333333337</v>
      </c>
      <c r="M107" s="13" t="s">
        <v>1011</v>
      </c>
      <c r="N107" s="20" t="s">
        <v>134</v>
      </c>
      <c r="O107" s="20">
        <v>6623801074</v>
      </c>
      <c r="P107" s="65" t="s">
        <v>134</v>
      </c>
      <c r="Q107" s="65"/>
      <c r="R107" s="20" t="s">
        <v>1227</v>
      </c>
      <c r="S107" s="20" t="s">
        <v>125</v>
      </c>
      <c r="T107" s="65" t="s">
        <v>856</v>
      </c>
      <c r="U107" s="65"/>
      <c r="V107" s="65" t="s">
        <v>1207</v>
      </c>
      <c r="W107" s="65" t="str">
        <f>TEXT(Table4[[#This Row],[Confirmed Sampling Date]], "yyyy") &amp; "_" &amp; TEXT(Table4[[#This Row],[Confirmed Sampling Date]], "mm") &amp; "_" &amp; TEXT(Table4[[#This Row],[Confirmed Sampling Date]], "dd")</f>
        <v>2025_08_13</v>
      </c>
      <c r="X107" s="65" t="str">
        <f t="shared" si="1"/>
        <v>Funchal</v>
      </c>
      <c r="Y107" s="65" t="str">
        <f>VLOOKUP(Table4[[#This Row],[FromSite-UPS]],Table1[[Company or Name]:[NOTES]],2,FALSE)</f>
        <v>Portugal</v>
      </c>
      <c r="Z107" s="65">
        <f>IFERROR(WEEKNUM(Table4[[#This Row],[Confirmed Sampling Date]] - 10, 21), "TBD")</f>
        <v>31</v>
      </c>
      <c r="AA107" s="65" t="str">
        <f>_xlfn.XLOOKUP(Table4[[#This Row],[FromSite-UPS]],sites!D:D,sites!W:W,"",0)</f>
        <v>R. do Matadouro 4, Funchal, 9050-100, Portugal</v>
      </c>
      <c r="AB107" s="65" t="str">
        <f>_xlfn.XLOOKUP(Table4[[#This Row],[ToLab]],labs!D:D,labs!P:P,"no adres",0)</f>
        <v>Av. Rovisco Pais 1, Laboratorio de Analises de Agua, Lisbon, 1049-001, Portugal</v>
      </c>
      <c r="AC107" s="65">
        <f>_xlfn.XLOOKUP(Table4[[#This Row],[combi]],AREA!E:E,AREA!F:F,"",0)</f>
        <v>89</v>
      </c>
      <c r="AD107" s="65" t="str">
        <f>_xlfn.XLOOKUP(Table4[[#This Row],[combi]],AREA!E:E,AREA!G:G,"",0)</f>
        <v>Pick-up service of hypothetic package as defined in the Tech. Specs. and delivery to lots
2 and 3 contractors according to Scenario 1</v>
      </c>
      <c r="AE107" s="20" t="s">
        <v>125</v>
      </c>
      <c r="AF107" s="65" t="str">
        <f>_xlfn.XLOOKUP(Table4[[#This Row],[FromSite-UPS]],sites!D:D,sites!AB:AB,"",0)&amp;_xlfn.XLOOKUP(Table4[[#This Row],[ToLab]],labs!D:D,labs!Q:Q,"",0)</f>
        <v>EUEU</v>
      </c>
    </row>
    <row r="108" spans="2:32" ht="15.6" hidden="1" customHeight="1" x14ac:dyDescent="0.25">
      <c r="B108" s="13">
        <v>412</v>
      </c>
      <c r="C108" s="14" t="s">
        <v>53</v>
      </c>
      <c r="D108" s="13">
        <v>1</v>
      </c>
      <c r="E108" s="79">
        <v>45882</v>
      </c>
      <c r="F108" s="81">
        <v>45883</v>
      </c>
      <c r="G108" s="20">
        <f>IFERROR(WEEKNUM(Table4[[#This Row],[Confirmed Pick-up Date]]),"TBD")</f>
        <v>33</v>
      </c>
      <c r="H108" s="20" t="str">
        <f>IFERROR(TEXT(Table4[[#This Row],[Confirmed Pick-up Date]],"yy-mm"),"TBD")</f>
        <v>25-08</v>
      </c>
      <c r="I108" s="78" t="s">
        <v>1628</v>
      </c>
      <c r="J108" s="20" t="str">
        <f>IFERROR(VLOOKUP(Table4[[#This Row],[FromSite-UPS]],Table1[[#All],[Company or Name]:[FromSite3]],15,FALSE),"")</f>
        <v>Funchal WWTP</v>
      </c>
      <c r="K108" s="20" t="str">
        <f>IFERROR(VLOOKUP(Table4[[#This Row],[FromSite-UPS]],Table1[[#All],[Company or Name]:[FromSite3]],16,FALSE),"")</f>
        <v>Madeira, 10 locations</v>
      </c>
      <c r="L108" s="20">
        <f>IFERROR(VLOOKUP(Table4[[#This Row],[FromSite-UPS]],Table1[[#All],[Company or Name]:[FromSite3]],14,FALSE),"")</f>
        <v>0.70833333333333337</v>
      </c>
      <c r="M108" s="13" t="s">
        <v>1011</v>
      </c>
      <c r="N108" s="20" t="s">
        <v>134</v>
      </c>
      <c r="O108" s="20">
        <v>6623801074</v>
      </c>
      <c r="P108" s="65" t="s">
        <v>134</v>
      </c>
      <c r="Q108" s="65"/>
      <c r="R108" s="20" t="s">
        <v>1226</v>
      </c>
      <c r="S108" s="20" t="s">
        <v>125</v>
      </c>
      <c r="T108" s="20" t="s">
        <v>856</v>
      </c>
      <c r="U108" s="20"/>
      <c r="V108" s="20" t="s">
        <v>1208</v>
      </c>
      <c r="W108" s="20" t="str">
        <f>TEXT(Table4[[#This Row],[Confirmed Sampling Date]], "yyyy") &amp; "_" &amp; TEXT(Table4[[#This Row],[Confirmed Sampling Date]], "mm") &amp; "_" &amp; TEXT(Table4[[#This Row],[Confirmed Sampling Date]], "dd")</f>
        <v>2025_08_13</v>
      </c>
      <c r="X108" s="20" t="str">
        <f t="shared" si="1"/>
        <v>Funchal</v>
      </c>
      <c r="Y108" s="20" t="str">
        <f>VLOOKUP(Table4[[#This Row],[FromSite-UPS]],Table1[[Company or Name]:[NOTES]],2,FALSE)</f>
        <v>Portugal</v>
      </c>
      <c r="Z108" s="20">
        <f>IFERROR(WEEKNUM(Table4[[#This Row],[Confirmed Sampling Date]] - 10, 21), "TBD")</f>
        <v>31</v>
      </c>
      <c r="AA108" s="20" t="str">
        <f>_xlfn.XLOOKUP(Table4[[#This Row],[FromSite-UPS]],sites!D:D,sites!W:W,"",0)</f>
        <v>R. do Matadouro 4, Funchal, 9050-100, Portugal</v>
      </c>
      <c r="AB108" s="20" t="str">
        <f>_xlfn.XLOOKUP(Table4[[#This Row],[ToLab]],labs!D:D,labs!P:P,"no adres",0)</f>
        <v>Av. Rovisco Pais 1, Laboratorio de Analises de Agua, Lisbon, 1049-001, Portugal</v>
      </c>
      <c r="AC108" s="20">
        <f>_xlfn.XLOOKUP(Table4[[#This Row],[combi]],AREA!E:E,AREA!F:F,"",0)</f>
        <v>89</v>
      </c>
      <c r="AD108" s="20" t="str">
        <f>_xlfn.XLOOKUP(Table4[[#This Row],[combi]],AREA!E:E,AREA!G:G,"",0)</f>
        <v>Pick-up service of hypothetic package as defined in the Tech. Specs. and delivery to lots
2 and 3 contractors according to Scenario 1</v>
      </c>
      <c r="AE108" s="20" t="s">
        <v>125</v>
      </c>
      <c r="AF108" s="20" t="str">
        <f>_xlfn.XLOOKUP(Table4[[#This Row],[FromSite-UPS]],sites!D:D,sites!AB:AB,"",0)&amp;_xlfn.XLOOKUP(Table4[[#This Row],[ToLab]],labs!D:D,labs!Q:Q,"",0)</f>
        <v>EUEU</v>
      </c>
    </row>
    <row r="109" spans="2:32" ht="15.6" hidden="1" customHeight="1" x14ac:dyDescent="0.25">
      <c r="B109" s="13">
        <v>422</v>
      </c>
      <c r="C109" s="14" t="s">
        <v>53</v>
      </c>
      <c r="D109" s="13">
        <v>1</v>
      </c>
      <c r="E109" s="79">
        <v>45882</v>
      </c>
      <c r="F109" s="81">
        <v>45883</v>
      </c>
      <c r="G109" s="20">
        <f>IFERROR(WEEKNUM(Table4[[#This Row],[Confirmed Pick-up Date]]),"TBD")</f>
        <v>33</v>
      </c>
      <c r="H109" s="20" t="str">
        <f>IFERROR(TEXT(Table4[[#This Row],[Confirmed Pick-up Date]],"yy-mm"),"TBD")</f>
        <v>25-08</v>
      </c>
      <c r="I109" s="78" t="s">
        <v>1628</v>
      </c>
      <c r="J109" s="20" t="str">
        <f>IFERROR(VLOOKUP(Table4[[#This Row],[FromSite-UPS]],Table1[[#All],[Company or Name]:[FromSite3]],15,FALSE),"")</f>
        <v>Funchal WWTP</v>
      </c>
      <c r="K109" s="20" t="str">
        <f>IFERROR(VLOOKUP(Table4[[#This Row],[FromSite-UPS]],Table1[[#All],[Company or Name]:[FromSite3]],16,FALSE),"")</f>
        <v>Madeira, 10 locations</v>
      </c>
      <c r="L109" s="20">
        <f>IFERROR(VLOOKUP(Table4[[#This Row],[FromSite-UPS]],Table1[[#All],[Company or Name]:[FromSite3]],14,FALSE),"")</f>
        <v>0.70833333333333337</v>
      </c>
      <c r="M109" s="13" t="s">
        <v>1011</v>
      </c>
      <c r="N109" s="20" t="s">
        <v>134</v>
      </c>
      <c r="O109" s="20">
        <v>6623801074</v>
      </c>
      <c r="P109" s="20" t="s">
        <v>134</v>
      </c>
      <c r="Q109" s="20"/>
      <c r="R109" s="20" t="s">
        <v>1225</v>
      </c>
      <c r="S109" s="20" t="s">
        <v>125</v>
      </c>
      <c r="T109" s="20" t="s">
        <v>856</v>
      </c>
      <c r="U109" s="20"/>
      <c r="V109" s="20" t="s">
        <v>1209</v>
      </c>
      <c r="W109" s="20" t="str">
        <f>TEXT(Table4[[#This Row],[Confirmed Sampling Date]], "yyyy") &amp; "_" &amp; TEXT(Table4[[#This Row],[Confirmed Sampling Date]], "mm") &amp; "_" &amp; TEXT(Table4[[#This Row],[Confirmed Sampling Date]], "dd")</f>
        <v>2025_08_13</v>
      </c>
      <c r="X109" s="20" t="str">
        <f t="shared" si="1"/>
        <v>Funchal</v>
      </c>
      <c r="Y109" s="20" t="str">
        <f>VLOOKUP(Table4[[#This Row],[FromSite-UPS]],Table1[[Company or Name]:[NOTES]],2,FALSE)</f>
        <v>Portugal</v>
      </c>
      <c r="Z109" s="20">
        <f>IFERROR(WEEKNUM(Table4[[#This Row],[Confirmed Sampling Date]] - 10, 21), "TBD")</f>
        <v>31</v>
      </c>
      <c r="AA109" s="20" t="str">
        <f>_xlfn.XLOOKUP(Table4[[#This Row],[FromSite-UPS]],sites!D:D,sites!W:W,"",0)</f>
        <v>R. do Matadouro 4, Funchal, 9050-100, Portugal</v>
      </c>
      <c r="AB109" s="20" t="str">
        <f>_xlfn.XLOOKUP(Table4[[#This Row],[ToLab]],labs!D:D,labs!P:P,"no adres",0)</f>
        <v>Av. Rovisco Pais 1, Laboratorio de Analises de Agua, Lisbon, 1049-001, Portugal</v>
      </c>
      <c r="AC109" s="20">
        <f>_xlfn.XLOOKUP(Table4[[#This Row],[combi]],AREA!E:E,AREA!F:F,"",0)</f>
        <v>89</v>
      </c>
      <c r="AD109" s="20" t="str">
        <f>_xlfn.XLOOKUP(Table4[[#This Row],[combi]],AREA!E:E,AREA!G:G,"",0)</f>
        <v>Pick-up service of hypothetic package as defined in the Tech. Specs. and delivery to lots
2 and 3 contractors according to Scenario 1</v>
      </c>
      <c r="AE109" s="20" t="s">
        <v>125</v>
      </c>
      <c r="AF109" s="20" t="str">
        <f>_xlfn.XLOOKUP(Table4[[#This Row],[FromSite-UPS]],sites!D:D,sites!AB:AB,"",0)&amp;_xlfn.XLOOKUP(Table4[[#This Row],[ToLab]],labs!D:D,labs!Q:Q,"",0)</f>
        <v>EUEU</v>
      </c>
    </row>
    <row r="110" spans="2:32" ht="15.6" hidden="1" customHeight="1" x14ac:dyDescent="0.25">
      <c r="B110" s="13">
        <v>432</v>
      </c>
      <c r="C110" s="14" t="s">
        <v>53</v>
      </c>
      <c r="D110" s="13">
        <v>1</v>
      </c>
      <c r="E110" s="79">
        <v>45882</v>
      </c>
      <c r="F110" s="80">
        <v>45883</v>
      </c>
      <c r="G110" s="20">
        <f>IFERROR(WEEKNUM(Table4[[#This Row],[Confirmed Pick-up Date]]),"TBD")</f>
        <v>33</v>
      </c>
      <c r="H110" s="20" t="str">
        <f>IFERROR(TEXT(Table4[[#This Row],[Confirmed Pick-up Date]],"yy-mm"),"TBD")</f>
        <v>25-08</v>
      </c>
      <c r="I110" s="78" t="s">
        <v>1628</v>
      </c>
      <c r="J110" s="20" t="str">
        <f>IFERROR(VLOOKUP(Table4[[#This Row],[FromSite-UPS]],Table1[[#All],[Company or Name]:[FromSite3]],15,FALSE),"")</f>
        <v>Funchal WWTP</v>
      </c>
      <c r="K110" s="20" t="str">
        <f>IFERROR(VLOOKUP(Table4[[#This Row],[FromSite-UPS]],Table1[[#All],[Company or Name]:[FromSite3]],16,FALSE),"")</f>
        <v>Madeira, 10 locations</v>
      </c>
      <c r="L110" s="20">
        <f>IFERROR(VLOOKUP(Table4[[#This Row],[FromSite-UPS]],Table1[[#All],[Company or Name]:[FromSite3]],14,FALSE),"")</f>
        <v>0.70833333333333337</v>
      </c>
      <c r="M110" s="13" t="s">
        <v>1011</v>
      </c>
      <c r="N110" s="20" t="s">
        <v>134</v>
      </c>
      <c r="O110" s="20">
        <v>6623801074</v>
      </c>
      <c r="P110" s="20" t="s">
        <v>134</v>
      </c>
      <c r="Q110" s="20"/>
      <c r="R110" s="20" t="s">
        <v>1224</v>
      </c>
      <c r="S110" s="20" t="s">
        <v>125</v>
      </c>
      <c r="T110" s="20" t="s">
        <v>856</v>
      </c>
      <c r="U110" s="20"/>
      <c r="V110" s="20" t="s">
        <v>1210</v>
      </c>
      <c r="W110" s="20" t="str">
        <f>TEXT(Table4[[#This Row],[Confirmed Sampling Date]], "yyyy") &amp; "_" &amp; TEXT(Table4[[#This Row],[Confirmed Sampling Date]], "mm") &amp; "_" &amp; TEXT(Table4[[#This Row],[Confirmed Sampling Date]], "dd")</f>
        <v>2025_08_13</v>
      </c>
      <c r="X110" s="20" t="str">
        <f t="shared" si="1"/>
        <v>Funchal</v>
      </c>
      <c r="Y110" s="20" t="str">
        <f>VLOOKUP(Table4[[#This Row],[FromSite-UPS]],Table1[[Company or Name]:[NOTES]],2,FALSE)</f>
        <v>Portugal</v>
      </c>
      <c r="Z110" s="20">
        <f>IFERROR(WEEKNUM(Table4[[#This Row],[Confirmed Sampling Date]] - 10, 21), "TBD")</f>
        <v>31</v>
      </c>
      <c r="AA110" s="20" t="str">
        <f>_xlfn.XLOOKUP(Table4[[#This Row],[FromSite-UPS]],sites!D:D,sites!W:W,"",0)</f>
        <v>R. do Matadouro 4, Funchal, 9050-100, Portugal</v>
      </c>
      <c r="AB110" s="20" t="str">
        <f>_xlfn.XLOOKUP(Table4[[#This Row],[ToLab]],labs!D:D,labs!P:P,"no adres",0)</f>
        <v>Av. Rovisco Pais 1, Laboratorio de Analises de Agua, Lisbon, 1049-001, Portugal</v>
      </c>
      <c r="AC110" s="20">
        <f>_xlfn.XLOOKUP(Table4[[#This Row],[combi]],AREA!E:E,AREA!F:F,"",0)</f>
        <v>89</v>
      </c>
      <c r="AD110" s="20" t="str">
        <f>_xlfn.XLOOKUP(Table4[[#This Row],[combi]],AREA!E:E,AREA!G:G,"",0)</f>
        <v>Pick-up service of hypothetic package as defined in the Tech. Specs. and delivery to lots
2 and 3 contractors according to Scenario 1</v>
      </c>
      <c r="AE110" s="20" t="s">
        <v>125</v>
      </c>
      <c r="AF110" s="20" t="str">
        <f>_xlfn.XLOOKUP(Table4[[#This Row],[FromSite-UPS]],sites!D:D,sites!AB:AB,"",0)&amp;_xlfn.XLOOKUP(Table4[[#This Row],[ToLab]],labs!D:D,labs!Q:Q,"",0)</f>
        <v>EUEU</v>
      </c>
    </row>
    <row r="111" spans="2:32" ht="15.6" hidden="1" customHeight="1" x14ac:dyDescent="0.25">
      <c r="B111" s="13">
        <v>442</v>
      </c>
      <c r="C111" s="14" t="s">
        <v>53</v>
      </c>
      <c r="D111" s="13">
        <v>1</v>
      </c>
      <c r="E111" s="79">
        <v>45882</v>
      </c>
      <c r="F111" s="81">
        <v>45883</v>
      </c>
      <c r="G111" s="20">
        <f>IFERROR(WEEKNUM(Table4[[#This Row],[Confirmed Pick-up Date]]),"TBD")</f>
        <v>33</v>
      </c>
      <c r="H111" s="20" t="str">
        <f>IFERROR(TEXT(Table4[[#This Row],[Confirmed Pick-up Date]],"yy-mm"),"TBD")</f>
        <v>25-08</v>
      </c>
      <c r="I111" s="78" t="s">
        <v>1628</v>
      </c>
      <c r="J111" s="20" t="str">
        <f>IFERROR(VLOOKUP(Table4[[#This Row],[FromSite-UPS]],Table1[[#All],[Company or Name]:[FromSite3]],15,FALSE),"")</f>
        <v>Funchal WWTP</v>
      </c>
      <c r="K111" s="20" t="str">
        <f>IFERROR(VLOOKUP(Table4[[#This Row],[FromSite-UPS]],Table1[[#All],[Company or Name]:[FromSite3]],16,FALSE),"")</f>
        <v>Madeira, 10 locations</v>
      </c>
      <c r="L111" s="20">
        <f>IFERROR(VLOOKUP(Table4[[#This Row],[FromSite-UPS]],Table1[[#All],[Company or Name]:[FromSite3]],14,FALSE),"")</f>
        <v>0.70833333333333337</v>
      </c>
      <c r="M111" s="13" t="s">
        <v>1011</v>
      </c>
      <c r="N111" s="20" t="s">
        <v>134</v>
      </c>
      <c r="O111" s="20">
        <v>6623801074</v>
      </c>
      <c r="P111" s="20" t="s">
        <v>134</v>
      </c>
      <c r="Q111" s="20"/>
      <c r="R111" s="20" t="s">
        <v>1222</v>
      </c>
      <c r="S111" s="20" t="s">
        <v>125</v>
      </c>
      <c r="T111" s="20" t="s">
        <v>856</v>
      </c>
      <c r="U111" s="20"/>
      <c r="V111" s="20" t="s">
        <v>1211</v>
      </c>
      <c r="W111" s="20" t="str">
        <f>TEXT(Table4[[#This Row],[Confirmed Sampling Date]], "yyyy") &amp; "_" &amp; TEXT(Table4[[#This Row],[Confirmed Sampling Date]], "mm") &amp; "_" &amp; TEXT(Table4[[#This Row],[Confirmed Sampling Date]], "dd")</f>
        <v>2025_08_13</v>
      </c>
      <c r="X111" s="20" t="str">
        <f t="shared" si="1"/>
        <v>Funchal</v>
      </c>
      <c r="Y111" s="20" t="str">
        <f>VLOOKUP(Table4[[#This Row],[FromSite-UPS]],Table1[[Company or Name]:[NOTES]],2,FALSE)</f>
        <v>Portugal</v>
      </c>
      <c r="Z111" s="20">
        <f>IFERROR(WEEKNUM(Table4[[#This Row],[Confirmed Sampling Date]] - 10, 21), "TBD")</f>
        <v>31</v>
      </c>
      <c r="AA111" s="20" t="str">
        <f>_xlfn.XLOOKUP(Table4[[#This Row],[FromSite-UPS]],sites!D:D,sites!W:W,"",0)</f>
        <v>R. do Matadouro 4, Funchal, 9050-100, Portugal</v>
      </c>
      <c r="AB111" s="20" t="str">
        <f>_xlfn.XLOOKUP(Table4[[#This Row],[ToLab]],labs!D:D,labs!P:P,"no adres",0)</f>
        <v>Av. Rovisco Pais 1, Laboratorio de Analises de Agua, Lisbon, 1049-001, Portugal</v>
      </c>
      <c r="AC111" s="20">
        <f>_xlfn.XLOOKUP(Table4[[#This Row],[combi]],AREA!E:E,AREA!F:F,"",0)</f>
        <v>89</v>
      </c>
      <c r="AD111" s="20" t="str">
        <f>_xlfn.XLOOKUP(Table4[[#This Row],[combi]],AREA!E:E,AREA!G:G,"",0)</f>
        <v>Pick-up service of hypothetic package as defined in the Tech. Specs. and delivery to lots
2 and 3 contractors according to Scenario 1</v>
      </c>
      <c r="AE111" s="20" t="s">
        <v>125</v>
      </c>
      <c r="AF111" s="20" t="str">
        <f>_xlfn.XLOOKUP(Table4[[#This Row],[FromSite-UPS]],sites!D:D,sites!AB:AB,"",0)&amp;_xlfn.XLOOKUP(Table4[[#This Row],[ToLab]],labs!D:D,labs!Q:Q,"",0)</f>
        <v>EUEU</v>
      </c>
    </row>
    <row r="112" spans="2:32" ht="15.6" hidden="1" customHeight="1" x14ac:dyDescent="0.25">
      <c r="B112" s="13">
        <v>452</v>
      </c>
      <c r="C112" s="14" t="s">
        <v>53</v>
      </c>
      <c r="D112" s="13">
        <v>1</v>
      </c>
      <c r="E112" s="79">
        <v>45882</v>
      </c>
      <c r="F112" s="80">
        <v>45883</v>
      </c>
      <c r="G112" s="20">
        <f>IFERROR(WEEKNUM(Table4[[#This Row],[Confirmed Pick-up Date]]),"TBD")</f>
        <v>33</v>
      </c>
      <c r="H112" s="20" t="str">
        <f>IFERROR(TEXT(Table4[[#This Row],[Confirmed Pick-up Date]],"yy-mm"),"TBD")</f>
        <v>25-08</v>
      </c>
      <c r="I112" s="78" t="s">
        <v>1628</v>
      </c>
      <c r="J112" s="20" t="str">
        <f>IFERROR(VLOOKUP(Table4[[#This Row],[FromSite-UPS]],Table1[[#All],[Company or Name]:[FromSite3]],15,FALSE),"")</f>
        <v>Funchal WWTP</v>
      </c>
      <c r="K112" s="20" t="str">
        <f>IFERROR(VLOOKUP(Table4[[#This Row],[FromSite-UPS]],Table1[[#All],[Company or Name]:[FromSite3]],16,FALSE),"")</f>
        <v>Madeira, 10 locations</v>
      </c>
      <c r="L112" s="20">
        <f>IFERROR(VLOOKUP(Table4[[#This Row],[FromSite-UPS]],Table1[[#All],[Company or Name]:[FromSite3]],14,FALSE),"")</f>
        <v>0.70833333333333337</v>
      </c>
      <c r="M112" s="13" t="s">
        <v>1011</v>
      </c>
      <c r="N112" s="20" t="s">
        <v>134</v>
      </c>
      <c r="O112" s="20">
        <v>6623801074</v>
      </c>
      <c r="P112" s="20" t="s">
        <v>134</v>
      </c>
      <c r="Q112" s="20"/>
      <c r="R112" s="20" t="s">
        <v>1221</v>
      </c>
      <c r="S112" s="20" t="s">
        <v>125</v>
      </c>
      <c r="T112" s="20" t="s">
        <v>856</v>
      </c>
      <c r="U112" s="20"/>
      <c r="V112" s="20" t="s">
        <v>1212</v>
      </c>
      <c r="W112" s="20" t="str">
        <f>TEXT(Table4[[#This Row],[Confirmed Sampling Date]], "yyyy") &amp; "_" &amp; TEXT(Table4[[#This Row],[Confirmed Sampling Date]], "mm") &amp; "_" &amp; TEXT(Table4[[#This Row],[Confirmed Sampling Date]], "dd")</f>
        <v>2025_08_13</v>
      </c>
      <c r="X112" s="20" t="str">
        <f t="shared" si="1"/>
        <v>Funchal</v>
      </c>
      <c r="Y112" s="20" t="str">
        <f>VLOOKUP(Table4[[#This Row],[FromSite-UPS]],Table1[[Company or Name]:[NOTES]],2,FALSE)</f>
        <v>Portugal</v>
      </c>
      <c r="Z112" s="20">
        <f>IFERROR(WEEKNUM(Table4[[#This Row],[Confirmed Sampling Date]] - 10, 21), "TBD")</f>
        <v>31</v>
      </c>
      <c r="AA112" s="20" t="str">
        <f>_xlfn.XLOOKUP(Table4[[#This Row],[FromSite-UPS]],sites!D:D,sites!W:W,"",0)</f>
        <v>R. do Matadouro 4, Funchal, 9050-100, Portugal</v>
      </c>
      <c r="AB112" s="20" t="str">
        <f>_xlfn.XLOOKUP(Table4[[#This Row],[ToLab]],labs!D:D,labs!P:P,"no adres",0)</f>
        <v>Av. Rovisco Pais 1, Laboratorio de Analises de Agua, Lisbon, 1049-001, Portugal</v>
      </c>
      <c r="AC112" s="20">
        <f>_xlfn.XLOOKUP(Table4[[#This Row],[combi]],AREA!E:E,AREA!F:F,"",0)</f>
        <v>89</v>
      </c>
      <c r="AD112" s="20" t="str">
        <f>_xlfn.XLOOKUP(Table4[[#This Row],[combi]],AREA!E:E,AREA!G:G,"",0)</f>
        <v>Pick-up service of hypothetic package as defined in the Tech. Specs. and delivery to lots
2 and 3 contractors according to Scenario 1</v>
      </c>
      <c r="AE112" s="20" t="s">
        <v>125</v>
      </c>
      <c r="AF112" s="20" t="str">
        <f>_xlfn.XLOOKUP(Table4[[#This Row],[FromSite-UPS]],sites!D:D,sites!AB:AB,"",0)&amp;_xlfn.XLOOKUP(Table4[[#This Row],[ToLab]],labs!D:D,labs!Q:Q,"",0)</f>
        <v>EUEU</v>
      </c>
    </row>
    <row r="113" spans="2:32" ht="15.6" hidden="1" customHeight="1" x14ac:dyDescent="0.25">
      <c r="B113" s="13">
        <v>462</v>
      </c>
      <c r="C113" s="14" t="s">
        <v>53</v>
      </c>
      <c r="D113" s="13">
        <v>1</v>
      </c>
      <c r="E113" s="79">
        <v>45882</v>
      </c>
      <c r="F113" s="80">
        <v>45883</v>
      </c>
      <c r="G113" s="20">
        <f>IFERROR(WEEKNUM(Table4[[#This Row],[Confirmed Pick-up Date]]),"TBD")</f>
        <v>33</v>
      </c>
      <c r="H113" s="20" t="str">
        <f>IFERROR(TEXT(Table4[[#This Row],[Confirmed Pick-up Date]],"yy-mm"),"TBD")</f>
        <v>25-08</v>
      </c>
      <c r="I113" s="78" t="s">
        <v>1628</v>
      </c>
      <c r="J113" s="20" t="str">
        <f>IFERROR(VLOOKUP(Table4[[#This Row],[FromSite-UPS]],Table1[[#All],[Company or Name]:[FromSite3]],15,FALSE),"")</f>
        <v>Funchal WWTP</v>
      </c>
      <c r="K113" s="20" t="str">
        <f>IFERROR(VLOOKUP(Table4[[#This Row],[FromSite-UPS]],Table1[[#All],[Company or Name]:[FromSite3]],16,FALSE),"")</f>
        <v>Madeira, 10 locations</v>
      </c>
      <c r="L113" s="20">
        <f>IFERROR(VLOOKUP(Table4[[#This Row],[FromSite-UPS]],Table1[[#All],[Company or Name]:[FromSite3]],14,FALSE),"")</f>
        <v>0.70833333333333337</v>
      </c>
      <c r="M113" s="13" t="s">
        <v>1011</v>
      </c>
      <c r="N113" s="20" t="s">
        <v>134</v>
      </c>
      <c r="O113" s="20">
        <v>6623801074</v>
      </c>
      <c r="P113" s="20" t="s">
        <v>134</v>
      </c>
      <c r="Q113" s="20"/>
      <c r="R113" s="20" t="s">
        <v>1220</v>
      </c>
      <c r="S113" s="20" t="s">
        <v>125</v>
      </c>
      <c r="T113" s="20" t="s">
        <v>856</v>
      </c>
      <c r="U113" s="20"/>
      <c r="V113" s="20" t="s">
        <v>1213</v>
      </c>
      <c r="W113" s="20" t="str">
        <f>TEXT(Table4[[#This Row],[Confirmed Sampling Date]], "yyyy") &amp; "_" &amp; TEXT(Table4[[#This Row],[Confirmed Sampling Date]], "mm") &amp; "_" &amp; TEXT(Table4[[#This Row],[Confirmed Sampling Date]], "dd")</f>
        <v>2025_08_13</v>
      </c>
      <c r="X113" s="20" t="str">
        <f t="shared" si="1"/>
        <v>Funchal</v>
      </c>
      <c r="Y113" s="20" t="str">
        <f>VLOOKUP(Table4[[#This Row],[FromSite-UPS]],Table1[[Company or Name]:[NOTES]],2,FALSE)</f>
        <v>Portugal</v>
      </c>
      <c r="Z113" s="20">
        <f>IFERROR(WEEKNUM(Table4[[#This Row],[Confirmed Sampling Date]] - 10, 21), "TBD")</f>
        <v>31</v>
      </c>
      <c r="AA113" s="20" t="str">
        <f>_xlfn.XLOOKUP(Table4[[#This Row],[FromSite-UPS]],sites!D:D,sites!W:W,"",0)</f>
        <v>R. do Matadouro 4, Funchal, 9050-100, Portugal</v>
      </c>
      <c r="AB113" s="20" t="str">
        <f>_xlfn.XLOOKUP(Table4[[#This Row],[ToLab]],labs!D:D,labs!P:P,"no adres",0)</f>
        <v>Av. Rovisco Pais 1, Laboratorio de Analises de Agua, Lisbon, 1049-001, Portugal</v>
      </c>
      <c r="AC113" s="20">
        <f>_xlfn.XLOOKUP(Table4[[#This Row],[combi]],AREA!E:E,AREA!F:F,"",0)</f>
        <v>89</v>
      </c>
      <c r="AD113" s="20" t="str">
        <f>_xlfn.XLOOKUP(Table4[[#This Row],[combi]],AREA!E:E,AREA!G:G,"",0)</f>
        <v>Pick-up service of hypothetic package as defined in the Tech. Specs. and delivery to lots
2 and 3 contractors according to Scenario 1</v>
      </c>
      <c r="AE113" s="20" t="s">
        <v>125</v>
      </c>
      <c r="AF113" s="20" t="str">
        <f>_xlfn.XLOOKUP(Table4[[#This Row],[FromSite-UPS]],sites!D:D,sites!AB:AB,"",0)&amp;_xlfn.XLOOKUP(Table4[[#This Row],[ToLab]],labs!D:D,labs!Q:Q,"",0)</f>
        <v>EUEU</v>
      </c>
    </row>
    <row r="114" spans="2:32" ht="15.6" hidden="1" customHeight="1" x14ac:dyDescent="0.25">
      <c r="B114" s="13">
        <v>472</v>
      </c>
      <c r="C114" s="14" t="s">
        <v>53</v>
      </c>
      <c r="D114" s="13">
        <v>1</v>
      </c>
      <c r="E114" s="79">
        <v>45882</v>
      </c>
      <c r="F114" s="80">
        <v>45883</v>
      </c>
      <c r="G114" s="20">
        <f>IFERROR(WEEKNUM(Table4[[#This Row],[Confirmed Pick-up Date]]),"TBD")</f>
        <v>33</v>
      </c>
      <c r="H114" s="20" t="str">
        <f>IFERROR(TEXT(Table4[[#This Row],[Confirmed Pick-up Date]],"yy-mm"),"TBD")</f>
        <v>25-08</v>
      </c>
      <c r="I114" s="78" t="s">
        <v>1628</v>
      </c>
      <c r="J114" s="20" t="str">
        <f>IFERROR(VLOOKUP(Table4[[#This Row],[FromSite-UPS]],Table1[[#All],[Company or Name]:[FromSite3]],15,FALSE),"")</f>
        <v>Funchal WWTP</v>
      </c>
      <c r="K114" s="20" t="str">
        <f>IFERROR(VLOOKUP(Table4[[#This Row],[FromSite-UPS]],Table1[[#All],[Company or Name]:[FromSite3]],16,FALSE),"")</f>
        <v>Madeira, 10 locations</v>
      </c>
      <c r="L114" s="20">
        <f>IFERROR(VLOOKUP(Table4[[#This Row],[FromSite-UPS]],Table1[[#All],[Company or Name]:[FromSite3]],14,FALSE),"")</f>
        <v>0.70833333333333337</v>
      </c>
      <c r="M114" s="13" t="s">
        <v>1011</v>
      </c>
      <c r="N114" s="20" t="s">
        <v>134</v>
      </c>
      <c r="O114" s="20">
        <v>6623801074</v>
      </c>
      <c r="P114" s="20" t="s">
        <v>134</v>
      </c>
      <c r="Q114" s="20"/>
      <c r="R114" s="20" t="s">
        <v>1219</v>
      </c>
      <c r="S114" s="20" t="s">
        <v>125</v>
      </c>
      <c r="T114" s="20" t="s">
        <v>856</v>
      </c>
      <c r="U114" s="20"/>
      <c r="V114" s="20" t="s">
        <v>1214</v>
      </c>
      <c r="W114" s="20" t="str">
        <f>TEXT(Table4[[#This Row],[Confirmed Sampling Date]], "yyyy") &amp; "_" &amp; TEXT(Table4[[#This Row],[Confirmed Sampling Date]], "mm") &amp; "_" &amp; TEXT(Table4[[#This Row],[Confirmed Sampling Date]], "dd")</f>
        <v>2025_08_13</v>
      </c>
      <c r="X114" s="20" t="str">
        <f t="shared" si="1"/>
        <v>Funchal</v>
      </c>
      <c r="Y114" s="20" t="str">
        <f>VLOOKUP(Table4[[#This Row],[FromSite-UPS]],Table1[[Company or Name]:[NOTES]],2,FALSE)</f>
        <v>Portugal</v>
      </c>
      <c r="Z114" s="20">
        <f>IFERROR(WEEKNUM(Table4[[#This Row],[Confirmed Sampling Date]] - 10, 21), "TBD")</f>
        <v>31</v>
      </c>
      <c r="AA114" s="20" t="str">
        <f>_xlfn.XLOOKUP(Table4[[#This Row],[FromSite-UPS]],sites!D:D,sites!W:W,"",0)</f>
        <v>R. do Matadouro 4, Funchal, 9050-100, Portugal</v>
      </c>
      <c r="AB114" s="20" t="str">
        <f>_xlfn.XLOOKUP(Table4[[#This Row],[ToLab]],labs!D:D,labs!P:P,"no adres",0)</f>
        <v>Av. Rovisco Pais 1, Laboratorio de Analises de Agua, Lisbon, 1049-001, Portugal</v>
      </c>
      <c r="AC114" s="20">
        <f>_xlfn.XLOOKUP(Table4[[#This Row],[combi]],AREA!E:E,AREA!F:F,"",0)</f>
        <v>89</v>
      </c>
      <c r="AD114" s="20" t="str">
        <f>_xlfn.XLOOKUP(Table4[[#This Row],[combi]],AREA!E:E,AREA!G:G,"",0)</f>
        <v>Pick-up service of hypothetic package as defined in the Tech. Specs. and delivery to lots
2 and 3 contractors according to Scenario 1</v>
      </c>
      <c r="AE114" s="20" t="s">
        <v>125</v>
      </c>
      <c r="AF114" s="20" t="str">
        <f>_xlfn.XLOOKUP(Table4[[#This Row],[FromSite-UPS]],sites!D:D,sites!AB:AB,"",0)&amp;_xlfn.XLOOKUP(Table4[[#This Row],[ToLab]],labs!D:D,labs!Q:Q,"",0)</f>
        <v>EUEU</v>
      </c>
    </row>
    <row r="115" spans="2:32" ht="15.6" hidden="1" customHeight="1" x14ac:dyDescent="0.25">
      <c r="B115" s="13">
        <v>482</v>
      </c>
      <c r="C115" s="14" t="s">
        <v>53</v>
      </c>
      <c r="D115" s="13">
        <v>1</v>
      </c>
      <c r="E115" s="79">
        <v>45882</v>
      </c>
      <c r="F115" s="80">
        <v>45883</v>
      </c>
      <c r="G115" s="20">
        <f>IFERROR(WEEKNUM(Table4[[#This Row],[Confirmed Pick-up Date]]),"TBD")</f>
        <v>33</v>
      </c>
      <c r="H115" s="20" t="str">
        <f>IFERROR(TEXT(Table4[[#This Row],[Confirmed Pick-up Date]],"yy-mm"),"TBD")</f>
        <v>25-08</v>
      </c>
      <c r="I115" s="78" t="s">
        <v>1628</v>
      </c>
      <c r="J115" s="20" t="str">
        <f>IFERROR(VLOOKUP(Table4[[#This Row],[FromSite-UPS]],Table1[[#All],[Company or Name]:[FromSite3]],15,FALSE),"")</f>
        <v>Funchal WWTP</v>
      </c>
      <c r="K115" s="20" t="str">
        <f>IFERROR(VLOOKUP(Table4[[#This Row],[FromSite-UPS]],Table1[[#All],[Company or Name]:[FromSite3]],16,FALSE),"")</f>
        <v>Madeira, 10 locations</v>
      </c>
      <c r="L115" s="20">
        <f>IFERROR(VLOOKUP(Table4[[#This Row],[FromSite-UPS]],Table1[[#All],[Company or Name]:[FromSite3]],14,FALSE),"")</f>
        <v>0.70833333333333337</v>
      </c>
      <c r="M115" s="13" t="s">
        <v>1011</v>
      </c>
      <c r="N115" s="20" t="s">
        <v>134</v>
      </c>
      <c r="O115" s="20">
        <v>6623801074</v>
      </c>
      <c r="P115" s="20" t="s">
        <v>134</v>
      </c>
      <c r="Q115" s="20"/>
      <c r="R115" s="20" t="s">
        <v>1218</v>
      </c>
      <c r="S115" s="20" t="s">
        <v>125</v>
      </c>
      <c r="T115" s="20" t="s">
        <v>856</v>
      </c>
      <c r="U115" s="20"/>
      <c r="V115" s="20" t="s">
        <v>1215</v>
      </c>
      <c r="W115" s="20" t="str">
        <f>TEXT(Table4[[#This Row],[Confirmed Sampling Date]], "yyyy") &amp; "_" &amp; TEXT(Table4[[#This Row],[Confirmed Sampling Date]], "mm") &amp; "_" &amp; TEXT(Table4[[#This Row],[Confirmed Sampling Date]], "dd")</f>
        <v>2025_08_13</v>
      </c>
      <c r="X115" s="20" t="str">
        <f t="shared" si="1"/>
        <v>Funchal</v>
      </c>
      <c r="Y115" s="20" t="str">
        <f>VLOOKUP(Table4[[#This Row],[FromSite-UPS]],Table1[[Company or Name]:[NOTES]],2,FALSE)</f>
        <v>Portugal</v>
      </c>
      <c r="Z115" s="20">
        <f>IFERROR(WEEKNUM(Table4[[#This Row],[Confirmed Sampling Date]] - 10, 21), "TBD")</f>
        <v>31</v>
      </c>
      <c r="AA115" s="20" t="str">
        <f>_xlfn.XLOOKUP(Table4[[#This Row],[FromSite-UPS]],sites!D:D,sites!W:W,"",0)</f>
        <v>R. do Matadouro 4, Funchal, 9050-100, Portugal</v>
      </c>
      <c r="AB115" s="20" t="str">
        <f>_xlfn.XLOOKUP(Table4[[#This Row],[ToLab]],labs!D:D,labs!P:P,"no adres",0)</f>
        <v>Av. Rovisco Pais 1, Laboratorio de Analises de Agua, Lisbon, 1049-001, Portugal</v>
      </c>
      <c r="AC115" s="20">
        <f>_xlfn.XLOOKUP(Table4[[#This Row],[combi]],AREA!E:E,AREA!F:F,"",0)</f>
        <v>89</v>
      </c>
      <c r="AD115" s="20" t="str">
        <f>_xlfn.XLOOKUP(Table4[[#This Row],[combi]],AREA!E:E,AREA!G:G,"",0)</f>
        <v>Pick-up service of hypothetic package as defined in the Tech. Specs. and delivery to lots
2 and 3 contractors according to Scenario 1</v>
      </c>
      <c r="AE115" s="20" t="s">
        <v>125</v>
      </c>
      <c r="AF115" s="20" t="str">
        <f>_xlfn.XLOOKUP(Table4[[#This Row],[FromSite-UPS]],sites!D:D,sites!AB:AB,"",0)&amp;_xlfn.XLOOKUP(Table4[[#This Row],[ToLab]],labs!D:D,labs!Q:Q,"",0)</f>
        <v>EUEU</v>
      </c>
    </row>
    <row r="116" spans="2:32" ht="15.6" hidden="1" customHeight="1" x14ac:dyDescent="0.25">
      <c r="B116" s="13">
        <v>492</v>
      </c>
      <c r="C116" s="14" t="s">
        <v>53</v>
      </c>
      <c r="D116" s="13">
        <v>1</v>
      </c>
      <c r="E116" s="79">
        <v>45882</v>
      </c>
      <c r="F116" s="80">
        <v>45883</v>
      </c>
      <c r="G116" s="20">
        <f>IFERROR(WEEKNUM(Table4[[#This Row],[Confirmed Pick-up Date]]),"TBD")</f>
        <v>33</v>
      </c>
      <c r="H116" s="20" t="str">
        <f>IFERROR(TEXT(Table4[[#This Row],[Confirmed Pick-up Date]],"yy-mm"),"TBD")</f>
        <v>25-08</v>
      </c>
      <c r="I116" s="78" t="s">
        <v>1628</v>
      </c>
      <c r="J116" s="20" t="str">
        <f>IFERROR(VLOOKUP(Table4[[#This Row],[FromSite-UPS]],Table1[[#All],[Company or Name]:[FromSite3]],15,FALSE),"")</f>
        <v>Funchal WWTP</v>
      </c>
      <c r="K116" s="20" t="str">
        <f>IFERROR(VLOOKUP(Table4[[#This Row],[FromSite-UPS]],Table1[[#All],[Company or Name]:[FromSite3]],16,FALSE),"")</f>
        <v>Madeira, 10 locations</v>
      </c>
      <c r="L116" s="20">
        <f>IFERROR(VLOOKUP(Table4[[#This Row],[FromSite-UPS]],Table1[[#All],[Company or Name]:[FromSite3]],14,FALSE),"")</f>
        <v>0.70833333333333337</v>
      </c>
      <c r="M116" s="13" t="s">
        <v>1011</v>
      </c>
      <c r="N116" s="20" t="s">
        <v>134</v>
      </c>
      <c r="O116" s="20">
        <v>6623801074</v>
      </c>
      <c r="P116" s="20" t="s">
        <v>134</v>
      </c>
      <c r="Q116" s="20"/>
      <c r="R116" s="20" t="s">
        <v>1217</v>
      </c>
      <c r="S116" s="20" t="s">
        <v>125</v>
      </c>
      <c r="T116" s="20" t="s">
        <v>856</v>
      </c>
      <c r="U116" s="20"/>
      <c r="V116" s="20" t="s">
        <v>1216</v>
      </c>
      <c r="W116" s="20" t="str">
        <f>TEXT(Table4[[#This Row],[Confirmed Sampling Date]], "yyyy") &amp; "_" &amp; TEXT(Table4[[#This Row],[Confirmed Sampling Date]], "mm") &amp; "_" &amp; TEXT(Table4[[#This Row],[Confirmed Sampling Date]], "dd")</f>
        <v>2025_08_13</v>
      </c>
      <c r="X116" s="20" t="str">
        <f t="shared" si="1"/>
        <v>Funchal</v>
      </c>
      <c r="Y116" s="20" t="str">
        <f>VLOOKUP(Table4[[#This Row],[FromSite-UPS]],Table1[[Company or Name]:[NOTES]],2,FALSE)</f>
        <v>Portugal</v>
      </c>
      <c r="Z116" s="20">
        <f>IFERROR(WEEKNUM(Table4[[#This Row],[Confirmed Sampling Date]] - 10, 21), "TBD")</f>
        <v>31</v>
      </c>
      <c r="AA116" s="20" t="str">
        <f>_xlfn.XLOOKUP(Table4[[#This Row],[FromSite-UPS]],sites!D:D,sites!W:W,"",0)</f>
        <v>R. do Matadouro 4, Funchal, 9050-100, Portugal</v>
      </c>
      <c r="AB116" s="20" t="str">
        <f>_xlfn.XLOOKUP(Table4[[#This Row],[ToLab]],labs!D:D,labs!P:P,"no adres",0)</f>
        <v>Av. Rovisco Pais 1, Laboratorio de Analises de Agua, Lisbon, 1049-001, Portugal</v>
      </c>
      <c r="AC116" s="20">
        <f>_xlfn.XLOOKUP(Table4[[#This Row],[combi]],AREA!E:E,AREA!F:F,"",0)</f>
        <v>89</v>
      </c>
      <c r="AD116" s="20" t="str">
        <f>_xlfn.XLOOKUP(Table4[[#This Row],[combi]],AREA!E:E,AREA!G:G,"",0)</f>
        <v>Pick-up service of hypothetic package as defined in the Tech. Specs. and delivery to lots
2 and 3 contractors according to Scenario 1</v>
      </c>
      <c r="AE116" s="20" t="s">
        <v>125</v>
      </c>
      <c r="AF116" s="20" t="str">
        <f>_xlfn.XLOOKUP(Table4[[#This Row],[FromSite-UPS]],sites!D:D,sites!AB:AB,"",0)&amp;_xlfn.XLOOKUP(Table4[[#This Row],[ToLab]],labs!D:D,labs!Q:Q,"",0)</f>
        <v>EUEU</v>
      </c>
    </row>
    <row r="117" spans="2:32" ht="15.6" hidden="1" customHeight="1" x14ac:dyDescent="0.25">
      <c r="B117" s="13">
        <v>12</v>
      </c>
      <c r="C117" s="14" t="s">
        <v>53</v>
      </c>
      <c r="D117" s="13">
        <v>1</v>
      </c>
      <c r="E117" s="83">
        <v>45886</v>
      </c>
      <c r="F117" s="83">
        <v>45887</v>
      </c>
      <c r="G117" s="13">
        <f>IFERROR(WEEKNUM(Table4[[#This Row],[Confirmed Pick-up Date]]),"TBD")</f>
        <v>34</v>
      </c>
      <c r="H117" s="13" t="str">
        <f>IFERROR(TEXT(Table4[[#This Row],[Confirmed Pick-up Date]],"yy-mm"),"TBD")</f>
        <v>25-08</v>
      </c>
      <c r="I117" s="13" t="s">
        <v>13</v>
      </c>
      <c r="J117" s="13" t="str">
        <f>IFERROR(VLOOKUP(Table4[[#This Row],[FromSite-UPS]],Table1[[#All],[Company or Name]:[FromSite3]],15,FALSE),"")</f>
        <v>Berlin (Schoenefeld) WWTP</v>
      </c>
      <c r="K117" s="13" t="str">
        <f>IFERROR(VLOOKUP(Table4[[#This Row],[FromSite-UPS]],Table1[[#All],[Company or Name]:[FromSite3]],16,FALSE),"")</f>
        <v>Berlin Airport</v>
      </c>
      <c r="L117" s="13">
        <f>IFERROR(VLOOKUP(Table4[[#This Row],[FromSite-UPS]],Table1[[#All],[Company or Name]:[FromSite3]],14,FALSE),"")</f>
        <v>0.58333333333333337</v>
      </c>
      <c r="M117" s="13" t="s">
        <v>1011</v>
      </c>
      <c r="N117" s="20" t="s">
        <v>134</v>
      </c>
      <c r="O117" s="13" t="s">
        <v>1154</v>
      </c>
      <c r="P117" s="13" t="s">
        <v>892</v>
      </c>
      <c r="Q117" s="20" t="s">
        <v>1303</v>
      </c>
      <c r="R117" s="20" t="s">
        <v>1262</v>
      </c>
      <c r="S117" s="20" t="s">
        <v>125</v>
      </c>
      <c r="T117" s="20" t="s">
        <v>856</v>
      </c>
      <c r="U117" s="20"/>
      <c r="V117" s="20"/>
      <c r="W117" s="20" t="str">
        <f>TEXT(Table4[[#This Row],[Confirmed Sampling Date]], "yyyy") &amp; "_" &amp; TEXT(Table4[[#This Row],[Confirmed Sampling Date]], "mm") &amp; "_" &amp; TEXT(Table4[[#This Row],[Confirmed Sampling Date]], "dd")</f>
        <v>2025_08_17</v>
      </c>
      <c r="X117" s="20" t="str">
        <f t="shared" si="1"/>
        <v>Berlin</v>
      </c>
      <c r="Y117" s="20" t="str">
        <f>VLOOKUP(Table4[[#This Row],[FromSite-UPS]],Table1[[Company or Name]:[NOTES]],2,FALSE)</f>
        <v>Germany</v>
      </c>
      <c r="Z117" s="20">
        <f>IFERROR(WEEKNUM(Table4[[#This Row],[Confirmed Sampling Date]] - 10, 21), "TBD")</f>
        <v>32</v>
      </c>
      <c r="AA117" s="20" t="str">
        <f>_xlfn.XLOOKUP(Table4[[#This Row],[FromSite-UPS]],sites!D:D,sites!W:W,"",0)</f>
        <v>Strasse am Klarwerk 4, Klarwerk Wassmannsdorf, Schoenefeld, 12529, Germany</v>
      </c>
      <c r="AB117" s="20" t="str">
        <f>_xlfn.XLOOKUP(Table4[[#This Row],[ToLab]],labs!D:D,labs!P:P,"no adres",0)</f>
        <v>Av. Rovisco Pais 1, Laboratorio de Analises de Agua, Lisbon, 1049-001, Portugal</v>
      </c>
      <c r="AC117" s="20">
        <f>_xlfn.XLOOKUP(Table4[[#This Row],[combi]],AREA!E:E,AREA!F:F,"",0)</f>
        <v>89</v>
      </c>
      <c r="AD117" s="20" t="str">
        <f>_xlfn.XLOOKUP(Table4[[#This Row],[combi]],AREA!E:E,AREA!G:G,"",0)</f>
        <v>Pick-up service of hypothetic package as defined in the Tech. Specs. and delivery to lots
2 and 3 contractors according to Scenario 1</v>
      </c>
      <c r="AE117" s="20" t="s">
        <v>125</v>
      </c>
      <c r="AF117" s="20" t="str">
        <f>_xlfn.XLOOKUP(Table4[[#This Row],[FromSite-UPS]],sites!D:D,sites!AB:AB,"",0)&amp;_xlfn.XLOOKUP(Table4[[#This Row],[ToLab]],labs!D:D,labs!Q:Q,"",0)</f>
        <v>EUEU</v>
      </c>
    </row>
    <row r="118" spans="2:32" ht="15.6" hidden="1" customHeight="1" x14ac:dyDescent="0.25">
      <c r="B118" s="13">
        <v>75</v>
      </c>
      <c r="C118" s="14" t="s">
        <v>53</v>
      </c>
      <c r="D118" s="13">
        <v>1</v>
      </c>
      <c r="E118" s="34">
        <v>45886</v>
      </c>
      <c r="F118" s="34">
        <v>45887</v>
      </c>
      <c r="G118" s="20">
        <f>IFERROR(WEEKNUM(Table4[[#This Row],[Confirmed Pick-up Date]]),"TBD")</f>
        <v>34</v>
      </c>
      <c r="H118" s="20" t="str">
        <f>IFERROR(TEXT(Table4[[#This Row],[Confirmed Pick-up Date]],"yy-mm"),"TBD")</f>
        <v>25-08</v>
      </c>
      <c r="I118" s="13" t="s">
        <v>13</v>
      </c>
      <c r="J118" s="20" t="str">
        <f>IFERROR(VLOOKUP(Table4[[#This Row],[FromSite-UPS]],Table1[[#All],[Company or Name]:[FromSite3]],15,FALSE),"")</f>
        <v>Berlin (Schoenefeld) WWTP</v>
      </c>
      <c r="K118" s="20" t="str">
        <f>IFERROR(VLOOKUP(Table4[[#This Row],[FromSite-UPS]],Table1[[#All],[Company or Name]:[FromSite3]],16,FALSE),"")</f>
        <v>Berlin Airport</v>
      </c>
      <c r="L118" s="20">
        <f>IFERROR(VLOOKUP(Table4[[#This Row],[FromSite-UPS]],Table1[[#All],[Company or Name]:[FromSite3]],14,FALSE),"")</f>
        <v>0.58333333333333337</v>
      </c>
      <c r="M118" s="13" t="s">
        <v>1011</v>
      </c>
      <c r="N118" s="20" t="s">
        <v>134</v>
      </c>
      <c r="O118" s="13" t="s">
        <v>1155</v>
      </c>
      <c r="P118" s="13" t="s">
        <v>892</v>
      </c>
      <c r="Q118" s="20" t="s">
        <v>1303</v>
      </c>
      <c r="R118" s="20" t="s">
        <v>1263</v>
      </c>
      <c r="S118" s="20" t="s">
        <v>125</v>
      </c>
      <c r="T118" s="20" t="s">
        <v>856</v>
      </c>
      <c r="U118" s="20"/>
      <c r="V118" s="20"/>
      <c r="W118" s="20" t="str">
        <f>TEXT(Table4[[#This Row],[Confirmed Sampling Date]], "yyyy") &amp; "_" &amp; TEXT(Table4[[#This Row],[Confirmed Sampling Date]], "mm") &amp; "_" &amp; TEXT(Table4[[#This Row],[Confirmed Sampling Date]], "dd")</f>
        <v>2025_08_17</v>
      </c>
      <c r="X118" s="20" t="str">
        <f t="shared" si="1"/>
        <v>Berlin</v>
      </c>
      <c r="Y118" s="20" t="str">
        <f>VLOOKUP(Table4[[#This Row],[FromSite-UPS]],Table1[[Company or Name]:[NOTES]],2,FALSE)</f>
        <v>Germany</v>
      </c>
      <c r="Z118" s="20">
        <f>IFERROR(WEEKNUM(Table4[[#This Row],[Confirmed Sampling Date]] - 10, 21), "TBD")</f>
        <v>32</v>
      </c>
      <c r="AA118" s="20" t="str">
        <f>_xlfn.XLOOKUP(Table4[[#This Row],[FromSite-UPS]],sites!D:D,sites!W:W,"",0)</f>
        <v>Strasse am Klarwerk 4, Klarwerk Wassmannsdorf, Schoenefeld, 12529, Germany</v>
      </c>
      <c r="AB118" s="20" t="str">
        <f>_xlfn.XLOOKUP(Table4[[#This Row],[ToLab]],labs!D:D,labs!P:P,"no adres",0)</f>
        <v>Av. Rovisco Pais 1, Laboratorio de Analises de Agua, Lisbon, 1049-001, Portugal</v>
      </c>
      <c r="AC118" s="20">
        <f>_xlfn.XLOOKUP(Table4[[#This Row],[combi]],AREA!E:E,AREA!F:F,"",0)</f>
        <v>89</v>
      </c>
      <c r="AD118" s="20" t="str">
        <f>_xlfn.XLOOKUP(Table4[[#This Row],[combi]],AREA!E:E,AREA!G:G,"",0)</f>
        <v>Pick-up service of hypothetic package as defined in the Tech. Specs. and delivery to lots
2 and 3 contractors according to Scenario 1</v>
      </c>
      <c r="AE118" s="20" t="s">
        <v>125</v>
      </c>
      <c r="AF118" s="20" t="str">
        <f>_xlfn.XLOOKUP(Table4[[#This Row],[FromSite-UPS]],sites!D:D,sites!AB:AB,"",0)&amp;_xlfn.XLOOKUP(Table4[[#This Row],[ToLab]],labs!D:D,labs!Q:Q,"",0)</f>
        <v>EUEU</v>
      </c>
    </row>
    <row r="119" spans="2:32" ht="15.6" hidden="1" customHeight="1" x14ac:dyDescent="0.25">
      <c r="B119" s="13">
        <v>53</v>
      </c>
      <c r="C119" s="14" t="s">
        <v>53</v>
      </c>
      <c r="D119" s="13">
        <v>1</v>
      </c>
      <c r="E119" s="34">
        <v>45887</v>
      </c>
      <c r="F119" s="34">
        <v>45888</v>
      </c>
      <c r="G119" s="20">
        <f>IFERROR(WEEKNUM(Table4[[#This Row],[Confirmed Pick-up Date]]),"TBD")</f>
        <v>34</v>
      </c>
      <c r="H119" s="20" t="str">
        <f>IFERROR(TEXT(Table4[[#This Row],[Confirmed Pick-up Date]],"yy-mm"),"TBD")</f>
        <v>25-08</v>
      </c>
      <c r="I119" s="13" t="s">
        <v>364</v>
      </c>
      <c r="J119" s="20" t="str">
        <f>IFERROR(VLOOKUP(Table4[[#This Row],[FromSite-UPS]],Table1[[#All],[Company or Name]:[FromSite3]],15,FALSE),"")</f>
        <v>Brussels WWTP</v>
      </c>
      <c r="K119" s="20" t="str">
        <f>IFERROR(VLOOKUP(Table4[[#This Row],[FromSite-UPS]],Table1[[#All],[Company or Name]:[FromSite3]],16,FALSE),"")</f>
        <v>Brussels Airport</v>
      </c>
      <c r="L119" s="20">
        <f>IFERROR(VLOOKUP(Table4[[#This Row],[FromSite-UPS]],Table1[[#All],[Company or Name]:[FromSite3]],14,FALSE),"")</f>
        <v>0.70833333333333337</v>
      </c>
      <c r="M119" s="13" t="s">
        <v>1011</v>
      </c>
      <c r="N119" s="20" t="s">
        <v>134</v>
      </c>
      <c r="O119" s="13" t="s">
        <v>1156</v>
      </c>
      <c r="P119" s="13" t="s">
        <v>892</v>
      </c>
      <c r="Q119" s="37" t="s">
        <v>1304</v>
      </c>
      <c r="R119" s="20" t="s">
        <v>1256</v>
      </c>
      <c r="S119" s="20" t="s">
        <v>125</v>
      </c>
      <c r="T119" s="20" t="s">
        <v>856</v>
      </c>
      <c r="U119" s="20"/>
      <c r="V119" s="20"/>
      <c r="W119" s="20" t="str">
        <f>TEXT(Table4[[#This Row],[Confirmed Sampling Date]], "yyyy") &amp; "_" &amp; TEXT(Table4[[#This Row],[Confirmed Sampling Date]], "mm") &amp; "_" &amp; TEXT(Table4[[#This Row],[Confirmed Sampling Date]], "dd")</f>
        <v>2025_08_18</v>
      </c>
      <c r="X119" s="20" t="str">
        <f t="shared" si="1"/>
        <v>Brussels</v>
      </c>
      <c r="Y119" s="20" t="str">
        <f>VLOOKUP(Table4[[#This Row],[FromSite-UPS]],Table1[[Company or Name]:[NOTES]],2,FALSE)</f>
        <v>Belgium</v>
      </c>
      <c r="Z119" s="20">
        <f>IFERROR(WEEKNUM(Table4[[#This Row],[Confirmed Sampling Date]] - 10, 21), "TBD")</f>
        <v>32</v>
      </c>
      <c r="AA119" s="20" t="str">
        <f>_xlfn.XLOOKUP(Table4[[#This Row],[FromSite-UPS]],sites!D:D,sites!W:W,"",0)</f>
        <v>Rue Juliette Wytsmanstraat 14, Brussels, 1050, Belgium</v>
      </c>
      <c r="AB119" s="20" t="str">
        <f>_xlfn.XLOOKUP(Table4[[#This Row],[ToLab]],labs!D:D,labs!P:P,"no adres",0)</f>
        <v>Av. Rovisco Pais 1, Laboratorio de Analises de Agua, Lisbon, 1049-001, Portugal</v>
      </c>
      <c r="AC119" s="20">
        <f>_xlfn.XLOOKUP(Table4[[#This Row],[combi]],AREA!E:E,AREA!F:F,"",0)</f>
        <v>89</v>
      </c>
      <c r="AD119" s="20" t="str">
        <f>_xlfn.XLOOKUP(Table4[[#This Row],[combi]],AREA!E:E,AREA!G:G,"",0)</f>
        <v>Pick-up service of hypothetic package as defined in the Tech. Specs. and delivery to lots
2 and 3 contractors according to Scenario 1</v>
      </c>
      <c r="AE119" s="20" t="s">
        <v>125</v>
      </c>
      <c r="AF119" s="20" t="str">
        <f>_xlfn.XLOOKUP(Table4[[#This Row],[FromSite-UPS]],sites!D:D,sites!AB:AB,"",0)&amp;_xlfn.XLOOKUP(Table4[[#This Row],[ToLab]],labs!D:D,labs!Q:Q,"",0)</f>
        <v>EUEU</v>
      </c>
    </row>
    <row r="120" spans="2:32" ht="15.6" hidden="1" customHeight="1" x14ac:dyDescent="0.25">
      <c r="B120" s="13">
        <v>116</v>
      </c>
      <c r="C120" s="14" t="s">
        <v>53</v>
      </c>
      <c r="D120" s="13">
        <v>1</v>
      </c>
      <c r="E120" s="34">
        <v>45887</v>
      </c>
      <c r="F120" s="34">
        <v>45888</v>
      </c>
      <c r="G120" s="20">
        <f>IFERROR(WEEKNUM(Table4[[#This Row],[Confirmed Pick-up Date]]),"TBD")</f>
        <v>34</v>
      </c>
      <c r="H120" s="20" t="str">
        <f>IFERROR(TEXT(Table4[[#This Row],[Confirmed Pick-up Date]],"yy-mm"),"TBD")</f>
        <v>25-08</v>
      </c>
      <c r="I120" s="13" t="s">
        <v>364</v>
      </c>
      <c r="J120" s="20" t="str">
        <f>IFERROR(VLOOKUP(Table4[[#This Row],[FromSite-UPS]],Table1[[#All],[Company or Name]:[FromSite3]],15,FALSE),"")</f>
        <v>Brussels WWTP</v>
      </c>
      <c r="K120" s="20" t="str">
        <f>IFERROR(VLOOKUP(Table4[[#This Row],[FromSite-UPS]],Table1[[#All],[Company or Name]:[FromSite3]],16,FALSE),"")</f>
        <v>Brussels Airport</v>
      </c>
      <c r="L120" s="20">
        <f>IFERROR(VLOOKUP(Table4[[#This Row],[FromSite-UPS]],Table1[[#All],[Company or Name]:[FromSite3]],14,FALSE),"")</f>
        <v>0.70833333333333337</v>
      </c>
      <c r="M120" s="13" t="s">
        <v>1011</v>
      </c>
      <c r="N120" s="20" t="s">
        <v>134</v>
      </c>
      <c r="O120" s="13" t="s">
        <v>1157</v>
      </c>
      <c r="P120" s="13" t="s">
        <v>892</v>
      </c>
      <c r="Q120" s="37" t="s">
        <v>1304</v>
      </c>
      <c r="R120" s="20" t="s">
        <v>1255</v>
      </c>
      <c r="S120" s="20" t="s">
        <v>125</v>
      </c>
      <c r="T120" s="20" t="s">
        <v>856</v>
      </c>
      <c r="U120" s="20"/>
      <c r="V120" s="20"/>
      <c r="W120" s="20" t="str">
        <f>TEXT(Table4[[#This Row],[Confirmed Sampling Date]], "yyyy") &amp; "_" &amp; TEXT(Table4[[#This Row],[Confirmed Sampling Date]], "mm") &amp; "_" &amp; TEXT(Table4[[#This Row],[Confirmed Sampling Date]], "dd")</f>
        <v>2025_08_18</v>
      </c>
      <c r="X120" s="20" t="str">
        <f t="shared" si="1"/>
        <v>Brussels</v>
      </c>
      <c r="Y120" s="20" t="str">
        <f>VLOOKUP(Table4[[#This Row],[FromSite-UPS]],Table1[[Company or Name]:[NOTES]],2,FALSE)</f>
        <v>Belgium</v>
      </c>
      <c r="Z120" s="20">
        <f>IFERROR(WEEKNUM(Table4[[#This Row],[Confirmed Sampling Date]] - 10, 21), "TBD")</f>
        <v>32</v>
      </c>
      <c r="AA120" s="20" t="str">
        <f>_xlfn.XLOOKUP(Table4[[#This Row],[FromSite-UPS]],sites!D:D,sites!W:W,"",0)</f>
        <v>Rue Juliette Wytsmanstraat 14, Brussels, 1050, Belgium</v>
      </c>
      <c r="AB120" s="20" t="str">
        <f>_xlfn.XLOOKUP(Table4[[#This Row],[ToLab]],labs!D:D,labs!P:P,"no adres",0)</f>
        <v>Av. Rovisco Pais 1, Laboratorio de Analises de Agua, Lisbon, 1049-001, Portugal</v>
      </c>
      <c r="AC120" s="20">
        <f>_xlfn.XLOOKUP(Table4[[#This Row],[combi]],AREA!E:E,AREA!F:F,"",0)</f>
        <v>89</v>
      </c>
      <c r="AD120" s="20" t="str">
        <f>_xlfn.XLOOKUP(Table4[[#This Row],[combi]],AREA!E:E,AREA!G:G,"",0)</f>
        <v>Pick-up service of hypothetic package as defined in the Tech. Specs. and delivery to lots
2 and 3 contractors according to Scenario 1</v>
      </c>
      <c r="AE120" s="20" t="s">
        <v>125</v>
      </c>
      <c r="AF120" s="20" t="str">
        <f>_xlfn.XLOOKUP(Table4[[#This Row],[FromSite-UPS]],sites!D:D,sites!AB:AB,"",0)&amp;_xlfn.XLOOKUP(Table4[[#This Row],[ToLab]],labs!D:D,labs!Q:Q,"",0)</f>
        <v>EUEU</v>
      </c>
    </row>
    <row r="121" spans="2:32" ht="15.6" hidden="1" customHeight="1" x14ac:dyDescent="0.25">
      <c r="B121" s="13">
        <v>242</v>
      </c>
      <c r="C121" s="14" t="s">
        <v>53</v>
      </c>
      <c r="D121" s="13">
        <v>1</v>
      </c>
      <c r="E121" s="34">
        <v>45888</v>
      </c>
      <c r="F121" s="34">
        <v>45888</v>
      </c>
      <c r="G121" s="20">
        <f>IFERROR(WEEKNUM(Table4[[#This Row],[Confirmed Pick-up Date]]),"TBD")</f>
        <v>34</v>
      </c>
      <c r="H121" s="20" t="str">
        <f>IFERROR(TEXT(Table4[[#This Row],[Confirmed Pick-up Date]],"yy-mm"),"TBD")</f>
        <v>25-08</v>
      </c>
      <c r="I121" s="13" t="s">
        <v>863</v>
      </c>
      <c r="J121" s="20" t="str">
        <f>IFERROR(VLOOKUP(Table4[[#This Row],[FromSite-UPS]],Table1[[#All],[Company or Name]:[FromSite3]],15,FALSE),"")</f>
        <v>Dusseldorf WWTP 2101</v>
      </c>
      <c r="K121" s="20" t="str">
        <f>IFERROR(VLOOKUP(Table4[[#This Row],[FromSite-UPS]],Table1[[#All],[Company or Name]:[FromSite3]],16,FALSE),"")</f>
        <v>Dusseldorf WWTP 601</v>
      </c>
      <c r="L121" s="20">
        <f>IFERROR(VLOOKUP(Table4[[#This Row],[FromSite-UPS]],Table1[[#All],[Company or Name]:[FromSite3]],14,FALSE),"")</f>
        <v>0.625</v>
      </c>
      <c r="M121" s="13" t="s">
        <v>1011</v>
      </c>
      <c r="N121" s="20" t="s">
        <v>134</v>
      </c>
      <c r="O121" s="20" t="s">
        <v>1158</v>
      </c>
      <c r="P121" s="20" t="s">
        <v>134</v>
      </c>
      <c r="Q121" s="20" t="s">
        <v>1306</v>
      </c>
      <c r="R121" s="20" t="s">
        <v>1241</v>
      </c>
      <c r="S121" s="20" t="s">
        <v>125</v>
      </c>
      <c r="T121" s="20" t="s">
        <v>856</v>
      </c>
      <c r="U121" s="20"/>
      <c r="V121" s="20"/>
      <c r="W121" s="20" t="str">
        <f>TEXT(Table4[[#This Row],[Confirmed Sampling Date]], "yyyy") &amp; "_" &amp; TEXT(Table4[[#This Row],[Confirmed Sampling Date]], "mm") &amp; "_" &amp; TEXT(Table4[[#This Row],[Confirmed Sampling Date]], "dd")</f>
        <v>2025_08_19</v>
      </c>
      <c r="X121" s="20" t="str">
        <f t="shared" si="1"/>
        <v>Dusseldorf</v>
      </c>
      <c r="Y121" s="20" t="str">
        <f>VLOOKUP(Table4[[#This Row],[FromSite-UPS]],Table1[[Company or Name]:[NOTES]],2,FALSE)</f>
        <v>Germany</v>
      </c>
      <c r="Z121" s="20">
        <f>IFERROR(WEEKNUM(Table4[[#This Row],[Confirmed Sampling Date]] - 10, 21), "TBD")</f>
        <v>32</v>
      </c>
      <c r="AA121" s="20" t="str">
        <f>_xlfn.XLOOKUP(Table4[[#This Row],[FromSite-UPS]],sites!D:D,sites!W:W,"",0)</f>
        <v>Auf dem Draap 15, Chemisch-Biologische Laboratorien, Dusseldorf, 40221, Germany</v>
      </c>
      <c r="AB121" s="20" t="str">
        <f>_xlfn.XLOOKUP(Table4[[#This Row],[ToLab]],labs!D:D,labs!P:P,"no adres",0)</f>
        <v>Av. Rovisco Pais 1, Laboratorio de Analises de Agua, Lisbon, 1049-001, Portugal</v>
      </c>
      <c r="AC121" s="20">
        <f>_xlfn.XLOOKUP(Table4[[#This Row],[combi]],AREA!E:E,AREA!F:F,"",0)</f>
        <v>89</v>
      </c>
      <c r="AD121" s="20" t="str">
        <f>_xlfn.XLOOKUP(Table4[[#This Row],[combi]],AREA!E:E,AREA!G:G,"",0)</f>
        <v>Pick-up service of hypothetic package as defined in the Tech. Specs. and delivery to lots
2 and 3 contractors according to Scenario 1</v>
      </c>
      <c r="AE121" s="20" t="s">
        <v>125</v>
      </c>
      <c r="AF121" s="20" t="str">
        <f>_xlfn.XLOOKUP(Table4[[#This Row],[FromSite-UPS]],sites!D:D,sites!AB:AB,"",0)&amp;_xlfn.XLOOKUP(Table4[[#This Row],[ToLab]],labs!D:D,labs!Q:Q,"",0)</f>
        <v>EUEU</v>
      </c>
    </row>
    <row r="122" spans="2:32" ht="15.6" hidden="1" customHeight="1" x14ac:dyDescent="0.25">
      <c r="B122" s="13">
        <v>254</v>
      </c>
      <c r="C122" s="14" t="s">
        <v>53</v>
      </c>
      <c r="D122" s="13">
        <v>1</v>
      </c>
      <c r="E122" s="131">
        <v>45888</v>
      </c>
      <c r="F122" s="131">
        <v>45888</v>
      </c>
      <c r="G122" s="20">
        <f>IFERROR(WEEKNUM(Table4[[#This Row],[Confirmed Pick-up Date]]),"TBD")</f>
        <v>34</v>
      </c>
      <c r="H122" s="20" t="str">
        <f>IFERROR(TEXT(Table4[[#This Row],[Confirmed Pick-up Date]],"yy-mm"),"TBD")</f>
        <v>25-08</v>
      </c>
      <c r="I122" s="67" t="s">
        <v>863</v>
      </c>
      <c r="J122" s="20" t="str">
        <f>IFERROR(VLOOKUP(Table4[[#This Row],[FromSite-UPS]],Table1[[#All],[Company or Name]:[FromSite3]],15,FALSE),"")</f>
        <v>Dusseldorf WWTP 2101</v>
      </c>
      <c r="K122" s="20" t="str">
        <f>IFERROR(VLOOKUP(Table4[[#This Row],[FromSite-UPS]],Table1[[#All],[Company or Name]:[FromSite3]],16,FALSE),"")</f>
        <v>Dusseldorf WWTP 601</v>
      </c>
      <c r="L122" s="20">
        <f>IFERROR(VLOOKUP(Table4[[#This Row],[FromSite-UPS]],Table1[[#All],[Company or Name]:[FromSite3]],14,FALSE),"")</f>
        <v>0.625</v>
      </c>
      <c r="M122" s="13" t="s">
        <v>1011</v>
      </c>
      <c r="N122" s="20" t="s">
        <v>134</v>
      </c>
      <c r="O122" s="20" t="s">
        <v>1159</v>
      </c>
      <c r="P122" s="20" t="s">
        <v>134</v>
      </c>
      <c r="Q122" s="20" t="s">
        <v>1306</v>
      </c>
      <c r="R122" s="20" t="s">
        <v>1242</v>
      </c>
      <c r="S122" s="20" t="s">
        <v>125</v>
      </c>
      <c r="T122" s="20" t="s">
        <v>856</v>
      </c>
      <c r="U122" s="20"/>
      <c r="V122" s="20"/>
      <c r="W122" s="20" t="str">
        <f>TEXT(Table4[[#This Row],[Confirmed Sampling Date]], "yyyy") &amp; "_" &amp; TEXT(Table4[[#This Row],[Confirmed Sampling Date]], "mm") &amp; "_" &amp; TEXT(Table4[[#This Row],[Confirmed Sampling Date]], "dd")</f>
        <v>2025_08_19</v>
      </c>
      <c r="X122" s="20" t="str">
        <f t="shared" si="1"/>
        <v>Dusseldorf</v>
      </c>
      <c r="Y122" s="20" t="str">
        <f>VLOOKUP(Table4[[#This Row],[FromSite-UPS]],Table1[[Company or Name]:[NOTES]],2,FALSE)</f>
        <v>Germany</v>
      </c>
      <c r="Z122" s="20">
        <f>IFERROR(WEEKNUM(Table4[[#This Row],[Confirmed Sampling Date]] - 10, 21), "TBD")</f>
        <v>32</v>
      </c>
      <c r="AA122" s="20" t="str">
        <f>_xlfn.XLOOKUP(Table4[[#This Row],[FromSite-UPS]],sites!D:D,sites!W:W,"",0)</f>
        <v>Auf dem Draap 15, Chemisch-Biologische Laboratorien, Dusseldorf, 40221, Germany</v>
      </c>
      <c r="AB122" s="20" t="str">
        <f>_xlfn.XLOOKUP(Table4[[#This Row],[ToLab]],labs!D:D,labs!P:P,"no adres",0)</f>
        <v>Av. Rovisco Pais 1, Laboratorio de Analises de Agua, Lisbon, 1049-001, Portugal</v>
      </c>
      <c r="AC122" s="20">
        <f>_xlfn.XLOOKUP(Table4[[#This Row],[combi]],AREA!E:E,AREA!F:F,"",0)</f>
        <v>89</v>
      </c>
      <c r="AD122" s="20" t="str">
        <f>_xlfn.XLOOKUP(Table4[[#This Row],[combi]],AREA!E:E,AREA!G:G,"",0)</f>
        <v>Pick-up service of hypothetic package as defined in the Tech. Specs. and delivery to lots
2 and 3 contractors according to Scenario 1</v>
      </c>
      <c r="AE122" s="20" t="s">
        <v>125</v>
      </c>
      <c r="AF122" s="20" t="str">
        <f>_xlfn.XLOOKUP(Table4[[#This Row],[FromSite-UPS]],sites!D:D,sites!AB:AB,"",0)&amp;_xlfn.XLOOKUP(Table4[[#This Row],[ToLab]],labs!D:D,labs!Q:Q,"",0)</f>
        <v>EUEU</v>
      </c>
    </row>
    <row r="123" spans="2:32" ht="15.6" hidden="1" customHeight="1" x14ac:dyDescent="0.25">
      <c r="B123" s="13">
        <v>511</v>
      </c>
      <c r="C123" s="14" t="s">
        <v>53</v>
      </c>
      <c r="D123" s="13">
        <v>1</v>
      </c>
      <c r="E123" s="34">
        <v>45888</v>
      </c>
      <c r="F123" s="34">
        <v>45888</v>
      </c>
      <c r="G123" s="20">
        <f>IFERROR(WEEKNUM(Table4[[#This Row],[Confirmed Pick-up Date]]),"TBD")</f>
        <v>34</v>
      </c>
      <c r="H123" s="20" t="str">
        <f>IFERROR(TEXT(Table4[[#This Row],[Confirmed Pick-up Date]],"yy-mm"),"TBD")</f>
        <v>25-08</v>
      </c>
      <c r="I123" s="78" t="s">
        <v>1125</v>
      </c>
      <c r="J123" s="20" t="str">
        <f>IFERROR(VLOOKUP(Table4[[#This Row],[FromSite-UPS]],Table1[[#All],[Company or Name]:[FromSite3]],15,FALSE),"")</f>
        <v>Cluj-SCBI</v>
      </c>
      <c r="K123" s="20" t="str">
        <f>IFERROR(VLOOKUP(Table4[[#This Row],[FromSite-UPS]],Table1[[#All],[Company or Name]:[FromSite3]],16,FALSE),"")</f>
        <v>-</v>
      </c>
      <c r="L123" s="20">
        <f>IFERROR(VLOOKUP(Table4[[#This Row],[FromSite-UPS]],Table1[[#All],[Company or Name]:[FromSite3]],14,FALSE),"")</f>
        <v>0.66666666666666663</v>
      </c>
      <c r="M123" s="13" t="s">
        <v>1011</v>
      </c>
      <c r="N123" s="20" t="s">
        <v>134</v>
      </c>
      <c r="O123" s="20" t="s">
        <v>1172</v>
      </c>
      <c r="P123" s="20" t="s">
        <v>134</v>
      </c>
      <c r="Q123" s="20" t="s">
        <v>1307</v>
      </c>
      <c r="R123" s="20" t="s">
        <v>1248</v>
      </c>
      <c r="S123" s="20" t="s">
        <v>125</v>
      </c>
      <c r="T123" s="20" t="s">
        <v>856</v>
      </c>
      <c r="U123" s="20"/>
      <c r="V123" s="20"/>
      <c r="W123" s="20" t="str">
        <f>TEXT(Table4[[#This Row],[Confirmed Sampling Date]], "yyyy") &amp; "_" &amp; TEXT(Table4[[#This Row],[Confirmed Sampling Date]], "mm") &amp; "_" &amp; TEXT(Table4[[#This Row],[Confirmed Sampling Date]], "dd")</f>
        <v>2025_08_19</v>
      </c>
      <c r="X123" s="20" t="str">
        <f t="shared" si="1"/>
        <v>Cluj-SCBI</v>
      </c>
      <c r="Y123" s="20" t="str">
        <f>VLOOKUP(Table4[[#This Row],[FromSite-UPS]],Table1[[Company or Name]:[NOTES]],2,FALSE)</f>
        <v>Romania</v>
      </c>
      <c r="Z123" s="20">
        <f>IFERROR(WEEKNUM(Table4[[#This Row],[Confirmed Sampling Date]] - 10, 21), "TBD")</f>
        <v>32</v>
      </c>
      <c r="AA123" s="20" t="str">
        <f>_xlfn.XLOOKUP(Table4[[#This Row],[FromSite-UPS]],sites!D:D,sites!W:W,"",0)</f>
        <v>Strada Iuliu Moldovan 23, Cluj-Napoca, 400003, Romania</v>
      </c>
      <c r="AB123" s="20" t="str">
        <f>_xlfn.XLOOKUP(Table4[[#This Row],[ToLab]],labs!D:D,labs!P:P,"no adres",0)</f>
        <v>Av. Rovisco Pais 1, Laboratorio de Analises de Agua, Lisbon, 1049-001, Portugal</v>
      </c>
      <c r="AC123" s="20">
        <f>_xlfn.XLOOKUP(Table4[[#This Row],[combi]],AREA!E:E,AREA!F:F,"",0)</f>
        <v>89</v>
      </c>
      <c r="AD123" s="20" t="str">
        <f>_xlfn.XLOOKUP(Table4[[#This Row],[combi]],AREA!E:E,AREA!G:G,"",0)</f>
        <v>Pick-up service of hypothetic package as defined in the Tech. Specs. and delivery to lots
2 and 3 contractors according to Scenario 1</v>
      </c>
      <c r="AE123" s="20" t="s">
        <v>125</v>
      </c>
      <c r="AF123" s="20" t="str">
        <f>_xlfn.XLOOKUP(Table4[[#This Row],[FromSite-UPS]],sites!D:D,sites!AB:AB,"",0)&amp;_xlfn.XLOOKUP(Table4[[#This Row],[ToLab]],labs!D:D,labs!Q:Q,"",0)</f>
        <v>EUEU</v>
      </c>
    </row>
    <row r="124" spans="2:32" ht="15.6" hidden="1" customHeight="1" x14ac:dyDescent="0.25">
      <c r="B124" s="13">
        <v>520</v>
      </c>
      <c r="C124" s="14" t="s">
        <v>53</v>
      </c>
      <c r="D124" s="13">
        <v>1</v>
      </c>
      <c r="E124" s="22">
        <v>45888</v>
      </c>
      <c r="F124" s="22">
        <v>45888</v>
      </c>
      <c r="G124" s="20">
        <f>IFERROR(WEEKNUM(Table4[[#This Row],[Confirmed Pick-up Date]]),"TBD")</f>
        <v>34</v>
      </c>
      <c r="H124" s="20" t="str">
        <f>IFERROR(TEXT(Table4[[#This Row],[Confirmed Pick-up Date]],"yy-mm"),"TBD")</f>
        <v>25-08</v>
      </c>
      <c r="I124" s="78" t="s">
        <v>1132</v>
      </c>
      <c r="J124" s="20" t="str">
        <f>IFERROR(VLOOKUP(Table4[[#This Row],[FromSite-UPS]],Table1[[#All],[Company or Name]:[FromSite3]],15,FALSE),"")</f>
        <v>Cluj-MNC</v>
      </c>
      <c r="K124" s="20" t="str">
        <f>IFERROR(VLOOKUP(Table4[[#This Row],[FromSite-UPS]],Table1[[#All],[Company or Name]:[FromSite3]],16,FALSE),"")</f>
        <v>-</v>
      </c>
      <c r="L124" s="20">
        <f>IFERROR(VLOOKUP(Table4[[#This Row],[FromSite-UPS]],Table1[[#All],[Company or Name]:[FromSite3]],14,FALSE),"")</f>
        <v>0.66666666666666663</v>
      </c>
      <c r="M124" s="13" t="s">
        <v>1011</v>
      </c>
      <c r="N124" s="20" t="s">
        <v>134</v>
      </c>
      <c r="O124" s="20" t="s">
        <v>1173</v>
      </c>
      <c r="P124" s="20" t="s">
        <v>134</v>
      </c>
      <c r="Q124" s="20" t="s">
        <v>1308</v>
      </c>
      <c r="R124" s="20" t="s">
        <v>1249</v>
      </c>
      <c r="S124" s="20" t="s">
        <v>125</v>
      </c>
      <c r="T124" s="20" t="s">
        <v>856</v>
      </c>
      <c r="U124" s="20"/>
      <c r="V124" s="20"/>
      <c r="W124" s="20" t="str">
        <f>TEXT(Table4[[#This Row],[Confirmed Sampling Date]], "yyyy") &amp; "_" &amp; TEXT(Table4[[#This Row],[Confirmed Sampling Date]], "mm") &amp; "_" &amp; TEXT(Table4[[#This Row],[Confirmed Sampling Date]], "dd")</f>
        <v>2025_08_19</v>
      </c>
      <c r="X124" s="20" t="str">
        <f t="shared" si="1"/>
        <v>Cluj-MNC</v>
      </c>
      <c r="Y124" s="20" t="str">
        <f>VLOOKUP(Table4[[#This Row],[FromSite-UPS]],Table1[[Company or Name]:[NOTES]],2,FALSE)</f>
        <v>Romania</v>
      </c>
      <c r="Z124" s="20">
        <f>IFERROR(WEEKNUM(Table4[[#This Row],[Confirmed Sampling Date]] - 10, 21), "TBD")</f>
        <v>32</v>
      </c>
      <c r="AA124" s="20" t="str">
        <f>_xlfn.XLOOKUP(Table4[[#This Row],[FromSite-UPS]],sites!D:D,sites!W:W,"",0)</f>
        <v>Strada Tăbăcarilor 11, Cluj-Napoca, 400139, Romania</v>
      </c>
      <c r="AB124" s="20" t="str">
        <f>_xlfn.XLOOKUP(Table4[[#This Row],[ToLab]],labs!D:D,labs!P:P,"no adres",0)</f>
        <v>Av. Rovisco Pais 1, Laboratorio de Analises de Agua, Lisbon, 1049-001, Portugal</v>
      </c>
      <c r="AC124" s="20">
        <f>_xlfn.XLOOKUP(Table4[[#This Row],[combi]],AREA!E:E,AREA!F:F,"",0)</f>
        <v>89</v>
      </c>
      <c r="AD124" s="20" t="str">
        <f>_xlfn.XLOOKUP(Table4[[#This Row],[combi]],AREA!E:E,AREA!G:G,"",0)</f>
        <v>Pick-up service of hypothetic package as defined in the Tech. Specs. and delivery to lots
2 and 3 contractors according to Scenario 1</v>
      </c>
      <c r="AE124" s="20" t="s">
        <v>125</v>
      </c>
      <c r="AF124" s="20" t="str">
        <f>_xlfn.XLOOKUP(Table4[[#This Row],[FromSite-UPS]],sites!D:D,sites!AB:AB,"",0)&amp;_xlfn.XLOOKUP(Table4[[#This Row],[ToLab]],labs!D:D,labs!Q:Q,"",0)</f>
        <v>EUEU</v>
      </c>
    </row>
    <row r="125" spans="2:32" ht="15.6" hidden="1" customHeight="1" x14ac:dyDescent="0.25">
      <c r="B125" s="13">
        <v>26</v>
      </c>
      <c r="C125" s="14" t="s">
        <v>53</v>
      </c>
      <c r="D125" s="13">
        <v>1</v>
      </c>
      <c r="E125" s="83">
        <v>45888</v>
      </c>
      <c r="F125" s="83">
        <v>45889</v>
      </c>
      <c r="G125" s="20">
        <f>IFERROR(WEEKNUM(Table4[[#This Row],[Confirmed Pick-up Date]]),"TBD")</f>
        <v>34</v>
      </c>
      <c r="H125" s="20" t="str">
        <f>IFERROR(TEXT(Table4[[#This Row],[Confirmed Pick-up Date]],"yy-mm"),"TBD")</f>
        <v>25-08</v>
      </c>
      <c r="I125" s="13" t="s">
        <v>19</v>
      </c>
      <c r="J125" s="13" t="str">
        <f>IFERROR(VLOOKUP(Table4[[#This Row],[FromSite-UPS]],Table1[[#All],[Company or Name]:[FromSite3]],15,FALSE),"")</f>
        <v>Munich WWTP</v>
      </c>
      <c r="K125" s="20" t="str">
        <f>IFERROR(VLOOKUP(Table4[[#This Row],[FromSite-UPS]],Table1[[#All],[Company or Name]:[FromSite3]],16,FALSE),"")</f>
        <v>Munich Airport</v>
      </c>
      <c r="L125" s="20">
        <f>IFERROR(VLOOKUP(Table4[[#This Row],[FromSite-UPS]],Table1[[#All],[Company or Name]:[FromSite3]],14,FALSE),"")</f>
        <v>0.58333333333333337</v>
      </c>
      <c r="M125" s="13" t="s">
        <v>1011</v>
      </c>
      <c r="N125" s="20" t="s">
        <v>134</v>
      </c>
      <c r="O125" s="13" t="s">
        <v>1163</v>
      </c>
      <c r="P125" s="13" t="s">
        <v>892</v>
      </c>
      <c r="Q125" s="20" t="s">
        <v>1305</v>
      </c>
      <c r="R125" s="20" t="s">
        <v>1258</v>
      </c>
      <c r="S125" s="20" t="s">
        <v>125</v>
      </c>
      <c r="T125" s="20" t="s">
        <v>856</v>
      </c>
      <c r="U125" s="20"/>
      <c r="V125" s="20"/>
      <c r="W125" s="20" t="str">
        <f>TEXT(Table4[[#This Row],[Confirmed Sampling Date]], "yyyy") &amp; "_" &amp; TEXT(Table4[[#This Row],[Confirmed Sampling Date]], "mm") &amp; "_" &amp; TEXT(Table4[[#This Row],[Confirmed Sampling Date]], "dd")</f>
        <v>2025_08_19</v>
      </c>
      <c r="X125" s="20" t="str">
        <f t="shared" si="1"/>
        <v>Munich</v>
      </c>
      <c r="Y125" s="20" t="str">
        <f>VLOOKUP(Table4[[#This Row],[FromSite-UPS]],Table1[[Company or Name]:[NOTES]],2,FALSE)</f>
        <v>Germany</v>
      </c>
      <c r="Z125" s="20">
        <f>IFERROR(WEEKNUM(Table4[[#This Row],[Confirmed Sampling Date]] - 10, 21), "TBD")</f>
        <v>32</v>
      </c>
      <c r="AA125" s="20" t="str">
        <f>_xlfn.XLOOKUP(Table4[[#This Row],[FromSite-UPS]],sites!D:D,sites!W:W,"",0)</f>
        <v>Leopoldstrasse 5, Institut fuer Infektions- und Tropenmedizin, Munich, 80802, Germany</v>
      </c>
      <c r="AB125" s="20" t="str">
        <f>_xlfn.XLOOKUP(Table4[[#This Row],[ToLab]],labs!D:D,labs!P:P,"no adres",0)</f>
        <v>Av. Rovisco Pais 1, Laboratorio de Analises de Agua, Lisbon, 1049-001, Portugal</v>
      </c>
      <c r="AC125" s="20">
        <f>_xlfn.XLOOKUP(Table4[[#This Row],[combi]],AREA!E:E,AREA!F:F,"",0)</f>
        <v>89</v>
      </c>
      <c r="AD125" s="20" t="str">
        <f>_xlfn.XLOOKUP(Table4[[#This Row],[combi]],AREA!E:E,AREA!G:G,"",0)</f>
        <v>Pick-up service of hypothetic package as defined in the Tech. Specs. and delivery to lots
2 and 3 contractors according to Scenario 1</v>
      </c>
      <c r="AE125" s="20" t="s">
        <v>125</v>
      </c>
      <c r="AF125" s="20" t="str">
        <f>_xlfn.XLOOKUP(Table4[[#This Row],[FromSite-UPS]],sites!D:D,sites!AB:AB,"",0)&amp;_xlfn.XLOOKUP(Table4[[#This Row],[ToLab]],labs!D:D,labs!Q:Q,"",0)</f>
        <v>EUEU</v>
      </c>
    </row>
    <row r="126" spans="2:32" ht="15.6" hidden="1" customHeight="1" x14ac:dyDescent="0.25">
      <c r="B126" s="13">
        <v>40</v>
      </c>
      <c r="C126" s="14" t="s">
        <v>53</v>
      </c>
      <c r="D126" s="13">
        <v>1</v>
      </c>
      <c r="E126" s="22">
        <v>45888</v>
      </c>
      <c r="F126" s="22">
        <v>45889</v>
      </c>
      <c r="G126" s="20">
        <f>IFERROR(WEEKNUM(Table4[[#This Row],[Confirmed Pick-up Date]]),"TBD")</f>
        <v>34</v>
      </c>
      <c r="H126" s="20" t="str">
        <f>IFERROR(TEXT(Table4[[#This Row],[Confirmed Pick-up Date]],"yy-mm"),"TBD")</f>
        <v>25-08</v>
      </c>
      <c r="I126" s="13" t="s">
        <v>677</v>
      </c>
      <c r="J126" s="13" t="str">
        <f>IFERROR(VLOOKUP(Table4[[#This Row],[FromSite-UPS]],Table1[[#All],[Company or Name]:[FromSite3]],15,FALSE),"")</f>
        <v>Frankfurt WWTP</v>
      </c>
      <c r="K126" s="20" t="str">
        <f>IFERROR(VLOOKUP(Table4[[#This Row],[FromSite-UPS]],Table1[[#All],[Company or Name]:[FromSite3]],16,FALSE),"")</f>
        <v>Frankfurt Airport</v>
      </c>
      <c r="L126" s="20">
        <f>IFERROR(VLOOKUP(Table4[[#This Row],[FromSite-UPS]],Table1[[#All],[Company or Name]:[FromSite3]],14,FALSE),"")</f>
        <v>0.58333333333333337</v>
      </c>
      <c r="M126" s="13" t="s">
        <v>1011</v>
      </c>
      <c r="N126" s="20" t="s">
        <v>134</v>
      </c>
      <c r="O126" s="13" t="s">
        <v>1160</v>
      </c>
      <c r="P126" s="13" t="s">
        <v>134</v>
      </c>
      <c r="Q126" s="20" t="s">
        <v>1372</v>
      </c>
      <c r="R126" s="20" t="s">
        <v>1257</v>
      </c>
      <c r="S126" s="20" t="s">
        <v>125</v>
      </c>
      <c r="T126" s="20" t="s">
        <v>856</v>
      </c>
      <c r="U126" s="20"/>
      <c r="V126" s="20" t="s">
        <v>1373</v>
      </c>
      <c r="W126" s="20" t="str">
        <f>TEXT(Table4[[#This Row],[Confirmed Sampling Date]], "yyyy") &amp; "_" &amp; TEXT(Table4[[#This Row],[Confirmed Sampling Date]], "mm") &amp; "_" &amp; TEXT(Table4[[#This Row],[Confirmed Sampling Date]], "dd")</f>
        <v>2025_08_19</v>
      </c>
      <c r="X126" s="20" t="str">
        <f t="shared" si="1"/>
        <v>Frankfurt</v>
      </c>
      <c r="Y126" s="20" t="str">
        <f>VLOOKUP(Table4[[#This Row],[FromSite-UPS]],Table1[[Company or Name]:[NOTES]],2,FALSE)</f>
        <v>Germany</v>
      </c>
      <c r="Z126" s="20">
        <f>IFERROR(WEEKNUM(Table4[[#This Row],[Confirmed Sampling Date]] - 10, 21), "TBD")</f>
        <v>32</v>
      </c>
      <c r="AA126" s="20" t="str">
        <f>_xlfn.XLOOKUP(Table4[[#This Row],[FromSite-UPS]],sites!D:D,sites!W:W,"",0)</f>
        <v>Goldsteinstraße 160, Gebäude 71 , Frankfurt am Main , 60528, Germany</v>
      </c>
      <c r="AB126" s="20" t="str">
        <f>_xlfn.XLOOKUP(Table4[[#This Row],[ToLab]],labs!D:D,labs!P:P,"no adres",0)</f>
        <v>Av. Rovisco Pais 1, Laboratorio de Analises de Agua, Lisbon, 1049-001, Portugal</v>
      </c>
      <c r="AC126" s="20">
        <f>_xlfn.XLOOKUP(Table4[[#This Row],[combi]],AREA!E:E,AREA!F:F,"",0)</f>
        <v>89</v>
      </c>
      <c r="AD126" s="20" t="str">
        <f>_xlfn.XLOOKUP(Table4[[#This Row],[combi]],AREA!E:E,AREA!G:G,"",0)</f>
        <v>Pick-up service of hypothetic package as defined in the Tech. Specs. and delivery to lots
2 and 3 contractors according to Scenario 1</v>
      </c>
      <c r="AE126" s="20" t="s">
        <v>125</v>
      </c>
      <c r="AF126" s="20" t="str">
        <f>_xlfn.XLOOKUP(Table4[[#This Row],[FromSite-UPS]],sites!D:D,sites!AB:AB,"",0)&amp;_xlfn.XLOOKUP(Table4[[#This Row],[ToLab]],labs!D:D,labs!Q:Q,"",0)</f>
        <v>EUEU</v>
      </c>
    </row>
    <row r="127" spans="2:32" ht="15.6" hidden="1" customHeight="1" x14ac:dyDescent="0.25">
      <c r="B127" s="13">
        <v>89</v>
      </c>
      <c r="C127" s="14" t="s">
        <v>53</v>
      </c>
      <c r="D127" s="13">
        <v>1</v>
      </c>
      <c r="E127" s="83">
        <v>45888</v>
      </c>
      <c r="F127" s="83">
        <v>45889</v>
      </c>
      <c r="G127" s="20">
        <f>IFERROR(WEEKNUM(Table4[[#This Row],[Confirmed Pick-up Date]]),"TBD")</f>
        <v>34</v>
      </c>
      <c r="H127" s="20" t="str">
        <f>IFERROR(TEXT(Table4[[#This Row],[Confirmed Pick-up Date]],"yy-mm"),"TBD")</f>
        <v>25-08</v>
      </c>
      <c r="I127" s="13" t="s">
        <v>19</v>
      </c>
      <c r="J127" s="20" t="str">
        <f>IFERROR(VLOOKUP(Table4[[#This Row],[FromSite-UPS]],Table1[[#All],[Company or Name]:[FromSite3]],15,FALSE),"")</f>
        <v>Munich WWTP</v>
      </c>
      <c r="K127" s="20" t="str">
        <f>IFERROR(VLOOKUP(Table4[[#This Row],[FromSite-UPS]],Table1[[#All],[Company or Name]:[FromSite3]],16,FALSE),"")</f>
        <v>Munich Airport</v>
      </c>
      <c r="L127" s="20">
        <f>IFERROR(VLOOKUP(Table4[[#This Row],[FromSite-UPS]],Table1[[#All],[Company or Name]:[FromSite3]],14,FALSE),"")</f>
        <v>0.58333333333333337</v>
      </c>
      <c r="M127" s="13" t="s">
        <v>1011</v>
      </c>
      <c r="N127" s="20" t="s">
        <v>134</v>
      </c>
      <c r="O127" s="13" t="s">
        <v>1164</v>
      </c>
      <c r="P127" s="13" t="s">
        <v>892</v>
      </c>
      <c r="Q127" s="20" t="s">
        <v>1305</v>
      </c>
      <c r="R127" s="20" t="s">
        <v>1259</v>
      </c>
      <c r="S127" s="20" t="s">
        <v>125</v>
      </c>
      <c r="T127" s="20" t="s">
        <v>856</v>
      </c>
      <c r="U127" s="20"/>
      <c r="V127" s="20"/>
      <c r="W127" s="20" t="str">
        <f>TEXT(Table4[[#This Row],[Confirmed Sampling Date]], "yyyy") &amp; "_" &amp; TEXT(Table4[[#This Row],[Confirmed Sampling Date]], "mm") &amp; "_" &amp; TEXT(Table4[[#This Row],[Confirmed Sampling Date]], "dd")</f>
        <v>2025_08_19</v>
      </c>
      <c r="X127" s="20" t="str">
        <f t="shared" si="1"/>
        <v>Munich</v>
      </c>
      <c r="Y127" s="20" t="str">
        <f>VLOOKUP(Table4[[#This Row],[FromSite-UPS]],Table1[[Company or Name]:[NOTES]],2,FALSE)</f>
        <v>Germany</v>
      </c>
      <c r="Z127" s="20">
        <f>IFERROR(WEEKNUM(Table4[[#This Row],[Confirmed Sampling Date]] - 10, 21), "TBD")</f>
        <v>32</v>
      </c>
      <c r="AA127" s="20" t="str">
        <f>_xlfn.XLOOKUP(Table4[[#This Row],[FromSite-UPS]],sites!D:D,sites!W:W,"",0)</f>
        <v>Leopoldstrasse 5, Institut fuer Infektions- und Tropenmedizin, Munich, 80802, Germany</v>
      </c>
      <c r="AB127" s="20" t="str">
        <f>_xlfn.XLOOKUP(Table4[[#This Row],[ToLab]],labs!D:D,labs!P:P,"no adres",0)</f>
        <v>Av. Rovisco Pais 1, Laboratorio de Analises de Agua, Lisbon, 1049-001, Portugal</v>
      </c>
      <c r="AC127" s="20">
        <f>_xlfn.XLOOKUP(Table4[[#This Row],[combi]],AREA!E:E,AREA!F:F,"",0)</f>
        <v>89</v>
      </c>
      <c r="AD127" s="20" t="str">
        <f>_xlfn.XLOOKUP(Table4[[#This Row],[combi]],AREA!E:E,AREA!G:G,"",0)</f>
        <v>Pick-up service of hypothetic package as defined in the Tech. Specs. and delivery to lots
2 and 3 contractors according to Scenario 1</v>
      </c>
      <c r="AE127" s="20" t="s">
        <v>125</v>
      </c>
      <c r="AF127" s="20" t="str">
        <f>_xlfn.XLOOKUP(Table4[[#This Row],[FromSite-UPS]],sites!D:D,sites!AB:AB,"",0)&amp;_xlfn.XLOOKUP(Table4[[#This Row],[ToLab]],labs!D:D,labs!Q:Q,"",0)</f>
        <v>EUEU</v>
      </c>
    </row>
    <row r="128" spans="2:32" ht="15.6" hidden="1" customHeight="1" x14ac:dyDescent="0.25">
      <c r="B128" s="13">
        <v>138</v>
      </c>
      <c r="C128" s="14" t="s">
        <v>53</v>
      </c>
      <c r="D128" s="13">
        <v>1</v>
      </c>
      <c r="E128" s="83">
        <v>45889</v>
      </c>
      <c r="F128" s="83">
        <v>45889</v>
      </c>
      <c r="G128" s="20">
        <f>IFERROR(WEEKNUM(Table4[[#This Row],[Confirmed Pick-up Date]]),"TBD")</f>
        <v>34</v>
      </c>
      <c r="H128" s="20" t="str">
        <f>IFERROR(TEXT(Table4[[#This Row],[Confirmed Pick-up Date]],"yy-mm"),"TBD")</f>
        <v>25-08</v>
      </c>
      <c r="I128" s="13" t="s">
        <v>680</v>
      </c>
      <c r="J128" s="20" t="str">
        <f>IFERROR(VLOOKUP(Table4[[#This Row],[FromSite-UPS]],Table1[[#All],[Company or Name]:[FromSite3]],15,FALSE),"")</f>
        <v>Rome WWTP</v>
      </c>
      <c r="K128" s="20" t="str">
        <f>IFERROR(VLOOKUP(Table4[[#This Row],[FromSite-UPS]],Table1[[#All],[Company or Name]:[FromSite3]],16,FALSE),"")</f>
        <v>-</v>
      </c>
      <c r="L128" s="20">
        <f>IFERROR(VLOOKUP(Table4[[#This Row],[FromSite-UPS]],Table1[[#All],[Company or Name]:[FromSite3]],14,FALSE),"")</f>
        <v>0.70833333333333337</v>
      </c>
      <c r="M128" s="13" t="s">
        <v>1011</v>
      </c>
      <c r="N128" s="20" t="s">
        <v>134</v>
      </c>
      <c r="O128" s="13" t="s">
        <v>1174</v>
      </c>
      <c r="P128" s="13" t="s">
        <v>134</v>
      </c>
      <c r="Q128" s="20" t="s">
        <v>1309</v>
      </c>
      <c r="R128" s="20" t="s">
        <v>1250</v>
      </c>
      <c r="S128" s="20" t="s">
        <v>125</v>
      </c>
      <c r="T128" s="20" t="s">
        <v>856</v>
      </c>
      <c r="U128" s="20"/>
      <c r="V128" s="20"/>
      <c r="W128" s="20" t="str">
        <f>TEXT(Table4[[#This Row],[Confirmed Sampling Date]], "yyyy") &amp; "_" &amp; TEXT(Table4[[#This Row],[Confirmed Sampling Date]], "mm") &amp; "_" &amp; TEXT(Table4[[#This Row],[Confirmed Sampling Date]], "dd")</f>
        <v>2025_08_20</v>
      </c>
      <c r="X128" s="20" t="str">
        <f t="shared" si="1"/>
        <v>Rome</v>
      </c>
      <c r="Y128" s="20" t="str">
        <f>VLOOKUP(Table4[[#This Row],[FromSite-UPS]],Table1[[Company or Name]:[NOTES]],2,FALSE)</f>
        <v>Italy</v>
      </c>
      <c r="Z128" s="20">
        <f>IFERROR(WEEKNUM(Table4[[#This Row],[Confirmed Sampling Date]] - 10, 21), "TBD")</f>
        <v>32</v>
      </c>
      <c r="AA128" s="20" t="str">
        <f>_xlfn.XLOOKUP(Table4[[#This Row],[FromSite-UPS]],sites!D:D,sites!W:W,"",0)</f>
        <v>Via dell'Equitazione 10, Rome, 00144, Italy</v>
      </c>
      <c r="AB128" s="20" t="str">
        <f>_xlfn.XLOOKUP(Table4[[#This Row],[ToLab]],labs!D:D,labs!P:P,"no adres",0)</f>
        <v>Av. Rovisco Pais 1, Laboratorio de Analises de Agua, Lisbon, 1049-001, Portugal</v>
      </c>
      <c r="AC128" s="20">
        <f>_xlfn.XLOOKUP(Table4[[#This Row],[combi]],AREA!E:E,AREA!F:F,"",0)</f>
        <v>89</v>
      </c>
      <c r="AD128" s="20" t="str">
        <f>_xlfn.XLOOKUP(Table4[[#This Row],[combi]],AREA!E:E,AREA!G:G,"",0)</f>
        <v>Pick-up service of hypothetic package as defined in the Tech. Specs. and delivery to lots
2 and 3 contractors according to Scenario 1</v>
      </c>
      <c r="AE128" s="20" t="s">
        <v>125</v>
      </c>
      <c r="AF128" s="20" t="str">
        <f>_xlfn.XLOOKUP(Table4[[#This Row],[FromSite-UPS]],sites!D:D,sites!AB:AB,"",0)&amp;_xlfn.XLOOKUP(Table4[[#This Row],[ToLab]],labs!D:D,labs!Q:Q,"",0)</f>
        <v>EUEU</v>
      </c>
    </row>
    <row r="129" spans="2:32" ht="15.6" hidden="1" customHeight="1" x14ac:dyDescent="0.25">
      <c r="B129" s="13">
        <v>152</v>
      </c>
      <c r="C129" s="14" t="s">
        <v>53</v>
      </c>
      <c r="D129" s="13">
        <v>1</v>
      </c>
      <c r="E129" s="83">
        <v>45889</v>
      </c>
      <c r="F129" s="83">
        <v>45889</v>
      </c>
      <c r="G129" s="20">
        <f>IFERROR(WEEKNUM(Table4[[#This Row],[Confirmed Pick-up Date]]),"TBD")</f>
        <v>34</v>
      </c>
      <c r="H129" s="20" t="str">
        <f>IFERROR(TEXT(Table4[[#This Row],[Confirmed Pick-up Date]],"yy-mm"),"TBD")</f>
        <v>25-08</v>
      </c>
      <c r="I129" s="13" t="s">
        <v>771</v>
      </c>
      <c r="J129" s="20" t="str">
        <f>IFERROR(VLOOKUP(Table4[[#This Row],[FromSite-UPS]],Table1[[#All],[Company or Name]:[FromSite3]],15,FALSE),"")</f>
        <v>RomeAirport</v>
      </c>
      <c r="K129" s="20" t="str">
        <f>IFERROR(VLOOKUP(Table4[[#This Row],[FromSite-UPS]],Table1[[#All],[Company or Name]:[FromSite3]],16,FALSE),"")</f>
        <v>-</v>
      </c>
      <c r="L129" s="20">
        <f>IFERROR(VLOOKUP(Table4[[#This Row],[FromSite-UPS]],Table1[[#All],[Company or Name]:[FromSite3]],14,FALSE),"")</f>
        <v>0.70833333333333337</v>
      </c>
      <c r="M129" s="13" t="s">
        <v>1011</v>
      </c>
      <c r="N129" s="20" t="s">
        <v>134</v>
      </c>
      <c r="O129" s="13" t="s">
        <v>1175</v>
      </c>
      <c r="P129" s="13" t="s">
        <v>134</v>
      </c>
      <c r="Q129" s="20" t="s">
        <v>1310</v>
      </c>
      <c r="R129" s="20" t="s">
        <v>1251</v>
      </c>
      <c r="S129" s="20" t="s">
        <v>125</v>
      </c>
      <c r="T129" s="20" t="s">
        <v>856</v>
      </c>
      <c r="U129" s="20"/>
      <c r="V129" s="20"/>
      <c r="W129" s="20" t="str">
        <f>TEXT(Table4[[#This Row],[Confirmed Sampling Date]], "yyyy") &amp; "_" &amp; TEXT(Table4[[#This Row],[Confirmed Sampling Date]], "mm") &amp; "_" &amp; TEXT(Table4[[#This Row],[Confirmed Sampling Date]], "dd")</f>
        <v>2025_08_20</v>
      </c>
      <c r="X129" s="20" t="str">
        <f t="shared" si="1"/>
        <v>RomeAirport</v>
      </c>
      <c r="Y129" s="20" t="str">
        <f>VLOOKUP(Table4[[#This Row],[FromSite-UPS]],Table1[[Company or Name]:[NOTES]],2,FALSE)</f>
        <v>Italy</v>
      </c>
      <c r="Z129" s="20">
        <f>IFERROR(WEEKNUM(Table4[[#This Row],[Confirmed Sampling Date]] - 10, 21), "TBD")</f>
        <v>32</v>
      </c>
      <c r="AA129" s="20" t="str">
        <f>_xlfn.XLOOKUP(Table4[[#This Row],[FromSite-UPS]],sites!D:D,sites!W:W,"",0)</f>
        <v>VIA FRATELLI WRIGHT (DEPURATORE BIOLOGICO), FIUMICINO, 00054, Italy</v>
      </c>
      <c r="AB129" s="20" t="str">
        <f>_xlfn.XLOOKUP(Table4[[#This Row],[ToLab]],labs!D:D,labs!P:P,"no adres",0)</f>
        <v>Av. Rovisco Pais 1, Laboratorio de Analises de Agua, Lisbon, 1049-001, Portugal</v>
      </c>
      <c r="AC129" s="20">
        <f>_xlfn.XLOOKUP(Table4[[#This Row],[combi]],AREA!E:E,AREA!F:F,"",0)</f>
        <v>89</v>
      </c>
      <c r="AD129" s="20" t="str">
        <f>_xlfn.XLOOKUP(Table4[[#This Row],[combi]],AREA!E:E,AREA!G:G,"",0)</f>
        <v>Pick-up service of hypothetic package as defined in the Tech. Specs. and delivery to lots
2 and 3 contractors according to Scenario 1</v>
      </c>
      <c r="AE129" s="20" t="s">
        <v>125</v>
      </c>
      <c r="AF129" s="20" t="str">
        <f>_xlfn.XLOOKUP(Table4[[#This Row],[FromSite-UPS]],sites!D:D,sites!AB:AB,"",0)&amp;_xlfn.XLOOKUP(Table4[[#This Row],[ToLab]],labs!D:D,labs!Q:Q,"",0)</f>
        <v>EUEU</v>
      </c>
    </row>
    <row r="130" spans="2:32" ht="15.6" hidden="1" customHeight="1" x14ac:dyDescent="0.25">
      <c r="B130" s="13">
        <v>177</v>
      </c>
      <c r="C130" s="14" t="s">
        <v>53</v>
      </c>
      <c r="D130" s="13">
        <v>1</v>
      </c>
      <c r="E130" s="83">
        <v>45888</v>
      </c>
      <c r="F130" s="83">
        <v>45889</v>
      </c>
      <c r="G130" s="20">
        <f>IFERROR(WEEKNUM(Table4[[#This Row],[Confirmed Pick-up Date]]),"TBD")</f>
        <v>34</v>
      </c>
      <c r="H130" s="20" t="str">
        <f>IFERROR(TEXT(Table4[[#This Row],[Confirmed Pick-up Date]],"yy-mm"),"TBD")</f>
        <v>25-08</v>
      </c>
      <c r="I130" s="13" t="s">
        <v>877</v>
      </c>
      <c r="J130" s="20" t="str">
        <f>IFERROR(VLOOKUP(Table4[[#This Row],[FromSite-UPS]],Table1[[#All],[Company or Name]:[FromSite3]],15,FALSE),"")</f>
        <v>Prague National Institute</v>
      </c>
      <c r="K130" s="20" t="str">
        <f>IFERROR(VLOOKUP(Table4[[#This Row],[FromSite-UPS]],Table1[[#All],[Company or Name]:[FromSite3]],16,FALSE),"")</f>
        <v>Prague WWTP FLOW 1</v>
      </c>
      <c r="L130" s="20">
        <f>IFERROR(VLOOKUP(Table4[[#This Row],[FromSite-UPS]],Table1[[#All],[Company or Name]:[FromSite3]],14,FALSE),"")</f>
        <v>0</v>
      </c>
      <c r="M130" s="13" t="s">
        <v>1011</v>
      </c>
      <c r="N130" s="20" t="s">
        <v>134</v>
      </c>
      <c r="O130" s="13" t="s">
        <v>1165</v>
      </c>
      <c r="P130" s="13" t="s">
        <v>134</v>
      </c>
      <c r="Q130" s="20" t="s">
        <v>1311</v>
      </c>
      <c r="R130" s="20" t="s">
        <v>1246</v>
      </c>
      <c r="S130" s="20" t="s">
        <v>125</v>
      </c>
      <c r="T130" s="20" t="s">
        <v>856</v>
      </c>
      <c r="U130" s="20"/>
      <c r="V130" s="20"/>
      <c r="W130" s="20" t="str">
        <f>TEXT(Table4[[#This Row],[Confirmed Sampling Date]], "yyyy") &amp; "_" &amp; TEXT(Table4[[#This Row],[Confirmed Sampling Date]], "mm") &amp; "_" &amp; TEXT(Table4[[#This Row],[Confirmed Sampling Date]], "dd")</f>
        <v>2025_08_19</v>
      </c>
      <c r="X130" s="20" t="str">
        <f t="shared" si="1"/>
        <v>Prague</v>
      </c>
      <c r="Y130" s="20" t="str">
        <f>VLOOKUP(Table4[[#This Row],[FromSite-UPS]],Table1[[Company or Name]:[NOTES]],2,FALSE)</f>
        <v>Czech Republic</v>
      </c>
      <c r="Z130" s="20">
        <f>IFERROR(WEEKNUM(Table4[[#This Row],[Confirmed Sampling Date]] - 10, 21), "TBD")</f>
        <v>32</v>
      </c>
      <c r="AA130" s="20" t="str">
        <f>_xlfn.XLOOKUP(Table4[[#This Row],[FromSite-UPS]],sites!D:D,sites!W:W,"",0)</f>
        <v>Šrobárova 49/48, Státní zdravotní ústav, Praha, 100 00, Czech Republic</v>
      </c>
      <c r="AB130" s="20" t="str">
        <f>_xlfn.XLOOKUP(Table4[[#This Row],[ToLab]],labs!D:D,labs!P:P,"no adres",0)</f>
        <v>Av. Rovisco Pais 1, Laboratorio de Analises de Agua, Lisbon, 1049-001, Portugal</v>
      </c>
      <c r="AC130" s="20">
        <f>_xlfn.XLOOKUP(Table4[[#This Row],[combi]],AREA!E:E,AREA!F:F,"",0)</f>
        <v>89</v>
      </c>
      <c r="AD130" s="20" t="str">
        <f>_xlfn.XLOOKUP(Table4[[#This Row],[combi]],AREA!E:E,AREA!G:G,"",0)</f>
        <v>Pick-up service of hypothetic package as defined in the Tech. Specs. and delivery to lots
2 and 3 contractors according to Scenario 1</v>
      </c>
      <c r="AE130" s="20" t="s">
        <v>125</v>
      </c>
      <c r="AF130" s="20" t="str">
        <f>_xlfn.XLOOKUP(Table4[[#This Row],[FromSite-UPS]],sites!D:D,sites!AB:AB,"",0)&amp;_xlfn.XLOOKUP(Table4[[#This Row],[ToLab]],labs!D:D,labs!Q:Q,"",0)</f>
        <v>EUEU</v>
      </c>
    </row>
    <row r="131" spans="2:32" ht="15.6" hidden="1" customHeight="1" x14ac:dyDescent="0.25">
      <c r="B131" s="13">
        <v>178</v>
      </c>
      <c r="C131" s="14" t="s">
        <v>53</v>
      </c>
      <c r="D131" s="13">
        <v>1</v>
      </c>
      <c r="E131" s="83">
        <v>45888</v>
      </c>
      <c r="F131" s="83">
        <v>45889</v>
      </c>
      <c r="G131" s="20">
        <f>IFERROR(WEEKNUM(Table4[[#This Row],[Confirmed Pick-up Date]]),"TBD")</f>
        <v>34</v>
      </c>
      <c r="H131" s="20" t="str">
        <f>IFERROR(TEXT(Table4[[#This Row],[Confirmed Pick-up Date]],"yy-mm"),"TBD")</f>
        <v>25-08</v>
      </c>
      <c r="I131" s="13" t="s">
        <v>877</v>
      </c>
      <c r="J131" s="20" t="str">
        <f>IFERROR(VLOOKUP(Table4[[#This Row],[FromSite-UPS]],Table1[[#All],[Company or Name]:[FromSite3]],15,FALSE),"")</f>
        <v>Prague National Institute</v>
      </c>
      <c r="K131" s="20" t="str">
        <f>IFERROR(VLOOKUP(Table4[[#This Row],[FromSite-UPS]],Table1[[#All],[Company or Name]:[FromSite3]],16,FALSE),"")</f>
        <v>Prague WWTP FLOW 1</v>
      </c>
      <c r="L131" s="20">
        <f>IFERROR(VLOOKUP(Table4[[#This Row],[FromSite-UPS]],Table1[[#All],[Company or Name]:[FromSite3]],14,FALSE),"")</f>
        <v>0</v>
      </c>
      <c r="M131" s="13" t="s">
        <v>1011</v>
      </c>
      <c r="N131" s="20" t="s">
        <v>134</v>
      </c>
      <c r="O131" s="13" t="s">
        <v>1166</v>
      </c>
      <c r="P131" s="13" t="s">
        <v>134</v>
      </c>
      <c r="Q131" s="20" t="s">
        <v>1311</v>
      </c>
      <c r="R131" s="20" t="s">
        <v>1244</v>
      </c>
      <c r="S131" s="20" t="s">
        <v>125</v>
      </c>
      <c r="T131" s="20" t="s">
        <v>856</v>
      </c>
      <c r="U131" s="20"/>
      <c r="V131" s="20"/>
      <c r="W131" s="20" t="str">
        <f>TEXT(Table4[[#This Row],[Confirmed Sampling Date]], "yyyy") &amp; "_" &amp; TEXT(Table4[[#This Row],[Confirmed Sampling Date]], "mm") &amp; "_" &amp; TEXT(Table4[[#This Row],[Confirmed Sampling Date]], "dd")</f>
        <v>2025_08_19</v>
      </c>
      <c r="X131" s="20" t="str">
        <f t="shared" si="1"/>
        <v>Prague</v>
      </c>
      <c r="Y131" s="20" t="str">
        <f>VLOOKUP(Table4[[#This Row],[FromSite-UPS]],Table1[[Company or Name]:[NOTES]],2,FALSE)</f>
        <v>Czech Republic</v>
      </c>
      <c r="Z131" s="20">
        <f>IFERROR(WEEKNUM(Table4[[#This Row],[Confirmed Sampling Date]] - 10, 21), "TBD")</f>
        <v>32</v>
      </c>
      <c r="AA131" s="20" t="str">
        <f>_xlfn.XLOOKUP(Table4[[#This Row],[FromSite-UPS]],sites!D:D,sites!W:W,"",0)</f>
        <v>Šrobárova 49/48, Státní zdravotní ústav, Praha, 100 00, Czech Republic</v>
      </c>
      <c r="AB131" s="20" t="str">
        <f>_xlfn.XLOOKUP(Table4[[#This Row],[ToLab]],labs!D:D,labs!P:P,"no adres",0)</f>
        <v>Av. Rovisco Pais 1, Laboratorio de Analises de Agua, Lisbon, 1049-001, Portugal</v>
      </c>
      <c r="AC131" s="20">
        <f>_xlfn.XLOOKUP(Table4[[#This Row],[combi]],AREA!E:E,AREA!F:F,"",0)</f>
        <v>89</v>
      </c>
      <c r="AD131" s="20" t="str">
        <f>_xlfn.XLOOKUP(Table4[[#This Row],[combi]],AREA!E:E,AREA!G:G,"",0)</f>
        <v>Pick-up service of hypothetic package as defined in the Tech. Specs. and delivery to lots
2 and 3 contractors according to Scenario 1</v>
      </c>
      <c r="AE131" s="20" t="s">
        <v>125</v>
      </c>
      <c r="AF131" s="20" t="str">
        <f>_xlfn.XLOOKUP(Table4[[#This Row],[FromSite-UPS]],sites!D:D,sites!AB:AB,"",0)&amp;_xlfn.XLOOKUP(Table4[[#This Row],[ToLab]],labs!D:D,labs!Q:Q,"",0)</f>
        <v>EUEU</v>
      </c>
    </row>
    <row r="132" spans="2:32" ht="15.6" hidden="1" customHeight="1" x14ac:dyDescent="0.25">
      <c r="B132" s="13">
        <v>179</v>
      </c>
      <c r="C132" s="14" t="s">
        <v>53</v>
      </c>
      <c r="D132" s="13">
        <v>1</v>
      </c>
      <c r="E132" s="22">
        <v>45888</v>
      </c>
      <c r="F132" s="22">
        <v>45889</v>
      </c>
      <c r="G132" s="20">
        <f>IFERROR(WEEKNUM(Table4[[#This Row],[Confirmed Pick-up Date]]),"TBD")</f>
        <v>34</v>
      </c>
      <c r="H132" s="20" t="str">
        <f>IFERROR(TEXT(Table4[[#This Row],[Confirmed Pick-up Date]],"yy-mm"),"TBD")</f>
        <v>25-08</v>
      </c>
      <c r="I132" s="13" t="s">
        <v>877</v>
      </c>
      <c r="J132" s="20" t="str">
        <f>IFERROR(VLOOKUP(Table4[[#This Row],[FromSite-UPS]],Table1[[#All],[Company or Name]:[FromSite3]],15,FALSE),"")</f>
        <v>Prague National Institute</v>
      </c>
      <c r="K132" s="20" t="str">
        <f>IFERROR(VLOOKUP(Table4[[#This Row],[FromSite-UPS]],Table1[[#All],[Company or Name]:[FromSite3]],16,FALSE),"")</f>
        <v>Prague WWTP FLOW 1</v>
      </c>
      <c r="L132" s="20">
        <f>IFERROR(VLOOKUP(Table4[[#This Row],[FromSite-UPS]],Table1[[#All],[Company or Name]:[FromSite3]],14,FALSE),"")</f>
        <v>0</v>
      </c>
      <c r="M132" s="13" t="s">
        <v>1011</v>
      </c>
      <c r="N132" s="20" t="s">
        <v>134</v>
      </c>
      <c r="O132" s="13" t="s">
        <v>1167</v>
      </c>
      <c r="P132" s="13" t="s">
        <v>134</v>
      </c>
      <c r="Q132" s="20" t="s">
        <v>1311</v>
      </c>
      <c r="R132" s="20" t="s">
        <v>1245</v>
      </c>
      <c r="S132" s="20" t="s">
        <v>125</v>
      </c>
      <c r="T132" s="20" t="s">
        <v>856</v>
      </c>
      <c r="U132" s="20"/>
      <c r="V132" s="20"/>
      <c r="W132" s="20" t="str">
        <f>TEXT(Table4[[#This Row],[Confirmed Sampling Date]], "yyyy") &amp; "_" &amp; TEXT(Table4[[#This Row],[Confirmed Sampling Date]], "mm") &amp; "_" &amp; TEXT(Table4[[#This Row],[Confirmed Sampling Date]], "dd")</f>
        <v>2025_08_19</v>
      </c>
      <c r="X132" s="20" t="str">
        <f t="shared" si="1"/>
        <v>Prague</v>
      </c>
      <c r="Y132" s="20" t="str">
        <f>VLOOKUP(Table4[[#This Row],[FromSite-UPS]],Table1[[Company or Name]:[NOTES]],2,FALSE)</f>
        <v>Czech Republic</v>
      </c>
      <c r="Z132" s="20">
        <f>IFERROR(WEEKNUM(Table4[[#This Row],[Confirmed Sampling Date]] - 10, 21), "TBD")</f>
        <v>32</v>
      </c>
      <c r="AA132" s="20" t="str">
        <f>_xlfn.XLOOKUP(Table4[[#This Row],[FromSite-UPS]],sites!D:D,sites!W:W,"",0)</f>
        <v>Šrobárova 49/48, Státní zdravotní ústav, Praha, 100 00, Czech Republic</v>
      </c>
      <c r="AB132" s="20" t="str">
        <f>_xlfn.XLOOKUP(Table4[[#This Row],[ToLab]],labs!D:D,labs!P:P,"no adres",0)</f>
        <v>Av. Rovisco Pais 1, Laboratorio de Analises de Agua, Lisbon, 1049-001, Portugal</v>
      </c>
      <c r="AC132" s="20">
        <f>_xlfn.XLOOKUP(Table4[[#This Row],[combi]],AREA!E:E,AREA!F:F,"",0)</f>
        <v>89</v>
      </c>
      <c r="AD132" s="20" t="str">
        <f>_xlfn.XLOOKUP(Table4[[#This Row],[combi]],AREA!E:E,AREA!G:G,"",0)</f>
        <v>Pick-up service of hypothetic package as defined in the Tech. Specs. and delivery to lots
2 and 3 contractors according to Scenario 1</v>
      </c>
      <c r="AE132" s="20" t="s">
        <v>125</v>
      </c>
      <c r="AF132" s="20" t="str">
        <f>_xlfn.XLOOKUP(Table4[[#This Row],[FromSite-UPS]],sites!D:D,sites!AB:AB,"",0)&amp;_xlfn.XLOOKUP(Table4[[#This Row],[ToLab]],labs!D:D,labs!Q:Q,"",0)</f>
        <v>EUEU</v>
      </c>
    </row>
    <row r="133" spans="2:32" ht="15.6" hidden="1" customHeight="1" x14ac:dyDescent="0.25">
      <c r="B133" s="13">
        <v>180</v>
      </c>
      <c r="C133" s="14" t="s">
        <v>53</v>
      </c>
      <c r="D133" s="13">
        <v>1</v>
      </c>
      <c r="E133" s="22">
        <v>45888</v>
      </c>
      <c r="F133" s="22">
        <v>45889</v>
      </c>
      <c r="G133" s="20">
        <f>IFERROR(WEEKNUM(Table4[[#This Row],[Confirmed Pick-up Date]]),"TBD")</f>
        <v>34</v>
      </c>
      <c r="H133" s="20" t="str">
        <f>IFERROR(TEXT(Table4[[#This Row],[Confirmed Pick-up Date]],"yy-mm"),"TBD")</f>
        <v>25-08</v>
      </c>
      <c r="I133" s="13" t="s">
        <v>877</v>
      </c>
      <c r="J133" s="20" t="str">
        <f>IFERROR(VLOOKUP(Table4[[#This Row],[FromSite-UPS]],Table1[[#All],[Company or Name]:[FromSite3]],15,FALSE),"")</f>
        <v>Prague National Institute</v>
      </c>
      <c r="K133" s="20" t="str">
        <f>IFERROR(VLOOKUP(Table4[[#This Row],[FromSite-UPS]],Table1[[#All],[Company or Name]:[FromSite3]],16,FALSE),"")</f>
        <v>Prague WWTP FLOW 1</v>
      </c>
      <c r="L133" s="20">
        <f>IFERROR(VLOOKUP(Table4[[#This Row],[FromSite-UPS]],Table1[[#All],[Company or Name]:[FromSite3]],14,FALSE),"")</f>
        <v>0</v>
      </c>
      <c r="M133" s="13" t="s">
        <v>1011</v>
      </c>
      <c r="N133" s="20" t="s">
        <v>134</v>
      </c>
      <c r="O133" s="13" t="s">
        <v>1168</v>
      </c>
      <c r="P133" s="13" t="s">
        <v>134</v>
      </c>
      <c r="Q133" s="20" t="s">
        <v>1311</v>
      </c>
      <c r="R133" s="20" t="s">
        <v>1243</v>
      </c>
      <c r="S133" s="20" t="s">
        <v>125</v>
      </c>
      <c r="T133" s="20" t="s">
        <v>856</v>
      </c>
      <c r="U133" s="20"/>
      <c r="V133" s="20"/>
      <c r="W133" s="20" t="str">
        <f>TEXT(Table4[[#This Row],[Confirmed Sampling Date]], "yyyy") &amp; "_" &amp; TEXT(Table4[[#This Row],[Confirmed Sampling Date]], "mm") &amp; "_" &amp; TEXT(Table4[[#This Row],[Confirmed Sampling Date]], "dd")</f>
        <v>2025_08_19</v>
      </c>
      <c r="X133" s="20" t="str">
        <f t="shared" ref="X133:X196" si="2">IFERROR(LEFT(J133, FIND(" ", J133) - 1), J133)</f>
        <v>Prague</v>
      </c>
      <c r="Y133" s="20" t="str">
        <f>VLOOKUP(Table4[[#This Row],[FromSite-UPS]],Table1[[Company or Name]:[NOTES]],2,FALSE)</f>
        <v>Czech Republic</v>
      </c>
      <c r="Z133" s="20">
        <f>IFERROR(WEEKNUM(Table4[[#This Row],[Confirmed Sampling Date]] - 10, 21), "TBD")</f>
        <v>32</v>
      </c>
      <c r="AA133" s="20" t="str">
        <f>_xlfn.XLOOKUP(Table4[[#This Row],[FromSite-UPS]],sites!D:D,sites!W:W,"",0)</f>
        <v>Šrobárova 49/48, Státní zdravotní ústav, Praha, 100 00, Czech Republic</v>
      </c>
      <c r="AB133" s="20" t="str">
        <f>_xlfn.XLOOKUP(Table4[[#This Row],[ToLab]],labs!D:D,labs!P:P,"no adres",0)</f>
        <v>Av. Rovisco Pais 1, Laboratorio de Analises de Agua, Lisbon, 1049-001, Portugal</v>
      </c>
      <c r="AC133" s="20">
        <f>_xlfn.XLOOKUP(Table4[[#This Row],[combi]],AREA!E:E,AREA!F:F,"",0)</f>
        <v>89</v>
      </c>
      <c r="AD133" s="20" t="str">
        <f>_xlfn.XLOOKUP(Table4[[#This Row],[combi]],AREA!E:E,AREA!G:G,"",0)</f>
        <v>Pick-up service of hypothetic package as defined in the Tech. Specs. and delivery to lots
2 and 3 contractors according to Scenario 1</v>
      </c>
      <c r="AE133" s="20" t="s">
        <v>125</v>
      </c>
      <c r="AF133" s="20" t="str">
        <f>_xlfn.XLOOKUP(Table4[[#This Row],[FromSite-UPS]],sites!D:D,sites!AB:AB,"",0)&amp;_xlfn.XLOOKUP(Table4[[#This Row],[ToLab]],labs!D:D,labs!Q:Q,"",0)</f>
        <v>EUEU</v>
      </c>
    </row>
    <row r="134" spans="2:32" ht="15.6" hidden="1" customHeight="1" x14ac:dyDescent="0.25">
      <c r="B134" s="13">
        <v>217</v>
      </c>
      <c r="C134" s="14" t="s">
        <v>53</v>
      </c>
      <c r="D134" s="13">
        <v>1</v>
      </c>
      <c r="E134" s="83">
        <v>45888</v>
      </c>
      <c r="F134" s="83">
        <v>45889</v>
      </c>
      <c r="G134" s="20">
        <f>IFERROR(WEEKNUM(Table4[[#This Row],[Confirmed Pick-up Date]]),"TBD")</f>
        <v>34</v>
      </c>
      <c r="H134" s="20" t="str">
        <f>IFERROR(TEXT(Table4[[#This Row],[Confirmed Pick-up Date]],"yy-mm"),"TBD")</f>
        <v>25-08</v>
      </c>
      <c r="I134" s="13" t="s">
        <v>779</v>
      </c>
      <c r="J134" s="20" t="str">
        <f>IFERROR(VLOOKUP(Table4[[#This Row],[FromSite-UPS]],Table1[[#All],[Company or Name]:[FromSite3]],15,FALSE),"")</f>
        <v>Larnaca WWTP</v>
      </c>
      <c r="K134" s="20" t="str">
        <f>IFERROR(VLOOKUP(Table4[[#This Row],[FromSite-UPS]],Table1[[#All],[Company or Name]:[FromSite3]],16,FALSE),"")</f>
        <v>Larnaca Airport</v>
      </c>
      <c r="L134" s="20">
        <f>IFERROR(VLOOKUP(Table4[[#This Row],[FromSite-UPS]],Table1[[#All],[Company or Name]:[FromSite3]],14,FALSE),"")</f>
        <v>0.54166666666666663</v>
      </c>
      <c r="M134" s="13" t="s">
        <v>1011</v>
      </c>
      <c r="N134" s="20" t="s">
        <v>134</v>
      </c>
      <c r="O134" s="13" t="s">
        <v>1161</v>
      </c>
      <c r="P134" s="13" t="s">
        <v>134</v>
      </c>
      <c r="Q134" s="20" t="s">
        <v>1312</v>
      </c>
      <c r="R134" s="20" t="s">
        <v>1253</v>
      </c>
      <c r="S134" s="20" t="s">
        <v>125</v>
      </c>
      <c r="T134" s="20" t="s">
        <v>856</v>
      </c>
      <c r="U134" s="20"/>
      <c r="V134" s="20"/>
      <c r="W134" s="20" t="str">
        <f>TEXT(Table4[[#This Row],[Confirmed Sampling Date]], "yyyy") &amp; "_" &amp; TEXT(Table4[[#This Row],[Confirmed Sampling Date]], "mm") &amp; "_" &amp; TEXT(Table4[[#This Row],[Confirmed Sampling Date]], "dd")</f>
        <v>2025_08_19</v>
      </c>
      <c r="X134" s="20" t="str">
        <f t="shared" si="2"/>
        <v>Larnaca</v>
      </c>
      <c r="Y134" s="20" t="str">
        <f>VLOOKUP(Table4[[#This Row],[FromSite-UPS]],Table1[[Company or Name]:[NOTES]],2,FALSE)</f>
        <v>Cyprus</v>
      </c>
      <c r="Z134" s="20">
        <f>IFERROR(WEEKNUM(Table4[[#This Row],[Confirmed Sampling Date]] - 10, 21), "TBD")</f>
        <v>32</v>
      </c>
      <c r="AA134" s="20" t="str">
        <f>_xlfn.XLOOKUP(Table4[[#This Row],[FromSite-UPS]],sites!D:D,sites!W:W,"",0)</f>
        <v>Adamantiou Korai street 12, Larnaca District Local Government Organization offices, Larnaca, 6010, Cyprus</v>
      </c>
      <c r="AB134" s="20" t="str">
        <f>_xlfn.XLOOKUP(Table4[[#This Row],[ToLab]],labs!D:D,labs!P:P,"no adres",0)</f>
        <v>Av. Rovisco Pais 1, Laboratorio de Analises de Agua, Lisbon, 1049-001, Portugal</v>
      </c>
      <c r="AC134" s="20">
        <f>_xlfn.XLOOKUP(Table4[[#This Row],[combi]],AREA!E:E,AREA!F:F,"",0)</f>
        <v>89</v>
      </c>
      <c r="AD134" s="20" t="str">
        <f>_xlfn.XLOOKUP(Table4[[#This Row],[combi]],AREA!E:E,AREA!G:G,"",0)</f>
        <v>Pick-up service of hypothetic package as defined in the Tech. Specs. and delivery to lots
2 and 3 contractors according to Scenario 1</v>
      </c>
      <c r="AE134" s="20" t="s">
        <v>125</v>
      </c>
      <c r="AF134" s="20" t="str">
        <f>_xlfn.XLOOKUP(Table4[[#This Row],[FromSite-UPS]],sites!D:D,sites!AB:AB,"",0)&amp;_xlfn.XLOOKUP(Table4[[#This Row],[ToLab]],labs!D:D,labs!Q:Q,"",0)</f>
        <v>EUEU</v>
      </c>
    </row>
    <row r="135" spans="2:32" ht="15.6" hidden="1" customHeight="1" x14ac:dyDescent="0.25">
      <c r="B135" s="13">
        <v>230</v>
      </c>
      <c r="C135" s="14" t="s">
        <v>53</v>
      </c>
      <c r="D135" s="13">
        <v>1</v>
      </c>
      <c r="E135" s="83">
        <v>45888</v>
      </c>
      <c r="F135" s="83">
        <v>45889</v>
      </c>
      <c r="G135" s="20">
        <f>IFERROR(WEEKNUM(Table4[[#This Row],[Confirmed Pick-up Date]]),"TBD")</f>
        <v>34</v>
      </c>
      <c r="H135" s="20" t="str">
        <f>IFERROR(TEXT(Table4[[#This Row],[Confirmed Pick-up Date]],"yy-mm"),"TBD")</f>
        <v>25-08</v>
      </c>
      <c r="I135" s="13" t="s">
        <v>779</v>
      </c>
      <c r="J135" s="20" t="str">
        <f>IFERROR(VLOOKUP(Table4[[#This Row],[FromSite-UPS]],Table1[[#All],[Company or Name]:[FromSite3]],15,FALSE),"")</f>
        <v>Larnaca WWTP</v>
      </c>
      <c r="K135" s="20" t="str">
        <f>IFERROR(VLOOKUP(Table4[[#This Row],[FromSite-UPS]],Table1[[#All],[Company or Name]:[FromSite3]],16,FALSE),"")</f>
        <v>Larnaca Airport</v>
      </c>
      <c r="L135" s="20">
        <f>IFERROR(VLOOKUP(Table4[[#This Row],[FromSite-UPS]],Table1[[#All],[Company or Name]:[FromSite3]],14,FALSE),"")</f>
        <v>0.54166666666666663</v>
      </c>
      <c r="M135" s="13" t="s">
        <v>1011</v>
      </c>
      <c r="N135" s="20" t="s">
        <v>134</v>
      </c>
      <c r="O135" s="20" t="s">
        <v>1162</v>
      </c>
      <c r="P135" s="20" t="s">
        <v>134</v>
      </c>
      <c r="Q135" s="20" t="s">
        <v>1312</v>
      </c>
      <c r="R135" s="20" t="s">
        <v>1254</v>
      </c>
      <c r="S135" s="20" t="s">
        <v>125</v>
      </c>
      <c r="T135" s="20" t="s">
        <v>856</v>
      </c>
      <c r="U135" s="20"/>
      <c r="V135" s="20"/>
      <c r="W135" s="20" t="str">
        <f>TEXT(Table4[[#This Row],[Confirmed Sampling Date]], "yyyy") &amp; "_" &amp; TEXT(Table4[[#This Row],[Confirmed Sampling Date]], "mm") &amp; "_" &amp; TEXT(Table4[[#This Row],[Confirmed Sampling Date]], "dd")</f>
        <v>2025_08_19</v>
      </c>
      <c r="X135" s="20" t="str">
        <f t="shared" si="2"/>
        <v>Larnaca</v>
      </c>
      <c r="Y135" s="20" t="str">
        <f>VLOOKUP(Table4[[#This Row],[FromSite-UPS]],Table1[[Company or Name]:[NOTES]],2,FALSE)</f>
        <v>Cyprus</v>
      </c>
      <c r="Z135" s="20">
        <f>IFERROR(WEEKNUM(Table4[[#This Row],[Confirmed Sampling Date]] - 10, 21), "TBD")</f>
        <v>32</v>
      </c>
      <c r="AA135" s="20" t="str">
        <f>_xlfn.XLOOKUP(Table4[[#This Row],[FromSite-UPS]],sites!D:D,sites!W:W,"",0)</f>
        <v>Adamantiou Korai street 12, Larnaca District Local Government Organization offices, Larnaca, 6010, Cyprus</v>
      </c>
      <c r="AB135" s="20" t="str">
        <f>_xlfn.XLOOKUP(Table4[[#This Row],[ToLab]],labs!D:D,labs!P:P,"no adres",0)</f>
        <v>Av. Rovisco Pais 1, Laboratorio de Analises de Agua, Lisbon, 1049-001, Portugal</v>
      </c>
      <c r="AC135" s="20">
        <f>_xlfn.XLOOKUP(Table4[[#This Row],[combi]],AREA!E:E,AREA!F:F,"",0)</f>
        <v>89</v>
      </c>
      <c r="AD135" s="20" t="str">
        <f>_xlfn.XLOOKUP(Table4[[#This Row],[combi]],AREA!E:E,AREA!G:G,"",0)</f>
        <v>Pick-up service of hypothetic package as defined in the Tech. Specs. and delivery to lots
2 and 3 contractors according to Scenario 1</v>
      </c>
      <c r="AE135" s="20" t="s">
        <v>125</v>
      </c>
      <c r="AF135" s="20" t="str">
        <f>_xlfn.XLOOKUP(Table4[[#This Row],[FromSite-UPS]],sites!D:D,sites!AB:AB,"",0)&amp;_xlfn.XLOOKUP(Table4[[#This Row],[ToLab]],labs!D:D,labs!Q:Q,"",0)</f>
        <v>EUEU</v>
      </c>
    </row>
    <row r="136" spans="2:32" ht="15.6" hidden="1" customHeight="1" x14ac:dyDescent="0.25">
      <c r="B136" s="13">
        <v>271</v>
      </c>
      <c r="C136" s="14" t="s">
        <v>53</v>
      </c>
      <c r="D136" s="13">
        <v>1</v>
      </c>
      <c r="E136" s="34">
        <v>45888</v>
      </c>
      <c r="F136" s="34">
        <v>45889</v>
      </c>
      <c r="G136" s="20">
        <f>IFERROR(WEEKNUM(Table4[[#This Row],[Confirmed Pick-up Date]]),"TBD")</f>
        <v>34</v>
      </c>
      <c r="H136" s="20" t="str">
        <f>IFERROR(TEXT(Table4[[#This Row],[Confirmed Pick-up Date]],"yy-mm"),"TBD")</f>
        <v>25-08</v>
      </c>
      <c r="I136" s="13" t="s">
        <v>975</v>
      </c>
      <c r="J136" s="20" t="str">
        <f>IFERROR(VLOOKUP(Table4[[#This Row],[FromSite-UPS]],Table1[[#All],[Company or Name]:[FromSite3]],15,FALSE),"")</f>
        <v>Vilnius WWTP</v>
      </c>
      <c r="K136" s="20" t="str">
        <f>IFERROR(VLOOKUP(Table4[[#This Row],[FromSite-UPS]],Table1[[#All],[Company or Name]:[FromSite3]],16,FALSE),"")</f>
        <v>Vilnius Bus Terminal</v>
      </c>
      <c r="L136" s="20">
        <f>IFERROR(VLOOKUP(Table4[[#This Row],[FromSite-UPS]],Table1[[#All],[Company or Name]:[FromSite3]],14,FALSE),"")</f>
        <v>0.58333333333333337</v>
      </c>
      <c r="M136" s="13" t="s">
        <v>1011</v>
      </c>
      <c r="N136" s="20" t="s">
        <v>134</v>
      </c>
      <c r="O136" s="20" t="s">
        <v>1169</v>
      </c>
      <c r="P136" s="64" t="s">
        <v>892</v>
      </c>
      <c r="Q136" s="64" t="s">
        <v>1638</v>
      </c>
      <c r="R136" s="20" t="s">
        <v>1252</v>
      </c>
      <c r="S136" s="20" t="s">
        <v>125</v>
      </c>
      <c r="T136" s="20" t="s">
        <v>856</v>
      </c>
      <c r="U136" s="20"/>
      <c r="V136" s="20" t="s">
        <v>1264</v>
      </c>
      <c r="W136" s="20" t="str">
        <f>TEXT(Table4[[#This Row],[Confirmed Sampling Date]], "yyyy") &amp; "_" &amp; TEXT(Table4[[#This Row],[Confirmed Sampling Date]], "mm") &amp; "_" &amp; TEXT(Table4[[#This Row],[Confirmed Sampling Date]], "dd")</f>
        <v>2025_08_19</v>
      </c>
      <c r="X136" s="20" t="str">
        <f t="shared" si="2"/>
        <v>Vilnius</v>
      </c>
      <c r="Y136" s="20" t="str">
        <f>VLOOKUP(Table4[[#This Row],[FromSite-UPS]],Table1[[Company or Name]:[NOTES]],2,FALSE)</f>
        <v>Lithuania</v>
      </c>
      <c r="Z136" s="20">
        <f>IFERROR(WEEKNUM(Table4[[#This Row],[Confirmed Sampling Date]] - 10, 21), "TBD")</f>
        <v>32</v>
      </c>
      <c r="AA136" s="20" t="str">
        <f>_xlfn.XLOOKUP(Table4[[#This Row],[FromSite-UPS]],sites!D:D,sites!W:W,"",0)</f>
        <v>Zolyno 36 gatve, Vilnius, 10210, Lithuania</v>
      </c>
      <c r="AB136" s="20" t="str">
        <f>_xlfn.XLOOKUP(Table4[[#This Row],[ToLab]],labs!D:D,labs!P:P,"no adres",0)</f>
        <v>Av. Rovisco Pais 1, Laboratorio de Analises de Agua, Lisbon, 1049-001, Portugal</v>
      </c>
      <c r="AC136" s="20">
        <f>_xlfn.XLOOKUP(Table4[[#This Row],[combi]],AREA!E:E,AREA!F:F,"",0)</f>
        <v>89</v>
      </c>
      <c r="AD136" s="20" t="str">
        <f>_xlfn.XLOOKUP(Table4[[#This Row],[combi]],AREA!E:E,AREA!G:G,"",0)</f>
        <v>Pick-up service of hypothetic package as defined in the Tech. Specs. and delivery to lots
2 and 3 contractors according to Scenario 1</v>
      </c>
      <c r="AE136" s="20" t="s">
        <v>125</v>
      </c>
      <c r="AF136" s="20" t="str">
        <f>_xlfn.XLOOKUP(Table4[[#This Row],[FromSite-UPS]],sites!D:D,sites!AB:AB,"",0)&amp;_xlfn.XLOOKUP(Table4[[#This Row],[ToLab]],labs!D:D,labs!Q:Q,"",0)</f>
        <v>EUEU</v>
      </c>
    </row>
    <row r="137" spans="2:32" ht="15.6" hidden="1" customHeight="1" x14ac:dyDescent="0.25">
      <c r="B137" s="13">
        <v>282</v>
      </c>
      <c r="C137" s="14" t="s">
        <v>53</v>
      </c>
      <c r="D137" s="13">
        <v>1</v>
      </c>
      <c r="E137" s="83">
        <v>45888</v>
      </c>
      <c r="F137" s="83">
        <v>45889</v>
      </c>
      <c r="G137" s="20">
        <f>IFERROR(WEEKNUM(Table4[[#This Row],[Confirmed Pick-up Date]]),"TBD")</f>
        <v>34</v>
      </c>
      <c r="H137" s="20" t="str">
        <f>IFERROR(TEXT(Table4[[#This Row],[Confirmed Pick-up Date]],"yy-mm"),"TBD")</f>
        <v>25-08</v>
      </c>
      <c r="I137" s="13" t="s">
        <v>975</v>
      </c>
      <c r="J137" s="20" t="str">
        <f>IFERROR(VLOOKUP(Table4[[#This Row],[FromSite-UPS]],Table1[[#All],[Company or Name]:[FromSite3]],15,FALSE),"")</f>
        <v>Vilnius WWTP</v>
      </c>
      <c r="K137" s="20" t="str">
        <f>IFERROR(VLOOKUP(Table4[[#This Row],[FromSite-UPS]],Table1[[#All],[Company or Name]:[FromSite3]],16,FALSE),"")</f>
        <v>Vilnius Bus Terminal</v>
      </c>
      <c r="L137" s="20">
        <f>IFERROR(VLOOKUP(Table4[[#This Row],[FromSite-UPS]],Table1[[#All],[Company or Name]:[FromSite3]],14,FALSE),"")</f>
        <v>0.58333333333333337</v>
      </c>
      <c r="M137" s="13" t="s">
        <v>1011</v>
      </c>
      <c r="N137" s="20" t="s">
        <v>134</v>
      </c>
      <c r="O137" s="20" t="s">
        <v>1170</v>
      </c>
      <c r="P137" s="20" t="s">
        <v>134</v>
      </c>
      <c r="Q137" s="20" t="s">
        <v>1313</v>
      </c>
      <c r="R137" s="20" t="s">
        <v>1261</v>
      </c>
      <c r="S137" s="20" t="s">
        <v>125</v>
      </c>
      <c r="T137" s="20" t="s">
        <v>856</v>
      </c>
      <c r="U137" s="20"/>
      <c r="V137" s="20"/>
      <c r="W137" s="20" t="str">
        <f>TEXT(Table4[[#This Row],[Confirmed Sampling Date]], "yyyy") &amp; "_" &amp; TEXT(Table4[[#This Row],[Confirmed Sampling Date]], "mm") &amp; "_" &amp; TEXT(Table4[[#This Row],[Confirmed Sampling Date]], "dd")</f>
        <v>2025_08_19</v>
      </c>
      <c r="X137" s="20" t="str">
        <f t="shared" si="2"/>
        <v>Vilnius</v>
      </c>
      <c r="Y137" s="20" t="str">
        <f>VLOOKUP(Table4[[#This Row],[FromSite-UPS]],Table1[[Company or Name]:[NOTES]],2,FALSE)</f>
        <v>Lithuania</v>
      </c>
      <c r="Z137" s="20">
        <f>IFERROR(WEEKNUM(Table4[[#This Row],[Confirmed Sampling Date]] - 10, 21), "TBD")</f>
        <v>32</v>
      </c>
      <c r="AA137" s="20" t="str">
        <f>_xlfn.XLOOKUP(Table4[[#This Row],[FromSite-UPS]],sites!D:D,sites!W:W,"",0)</f>
        <v>Zolyno 36 gatve, Vilnius, 10210, Lithuania</v>
      </c>
      <c r="AB137" s="20" t="str">
        <f>_xlfn.XLOOKUP(Table4[[#This Row],[ToLab]],labs!D:D,labs!P:P,"no adres",0)</f>
        <v>Av. Rovisco Pais 1, Laboratorio de Analises de Agua, Lisbon, 1049-001, Portugal</v>
      </c>
      <c r="AC137" s="20">
        <f>_xlfn.XLOOKUP(Table4[[#This Row],[combi]],AREA!E:E,AREA!F:F,"",0)</f>
        <v>89</v>
      </c>
      <c r="AD137" s="20" t="str">
        <f>_xlfn.XLOOKUP(Table4[[#This Row],[combi]],AREA!E:E,AREA!G:G,"",0)</f>
        <v>Pick-up service of hypothetic package as defined in the Tech. Specs. and delivery to lots
2 and 3 contractors according to Scenario 1</v>
      </c>
      <c r="AE137" s="20" t="s">
        <v>125</v>
      </c>
      <c r="AF137" s="20" t="str">
        <f>_xlfn.XLOOKUP(Table4[[#This Row],[FromSite-UPS]],sites!D:D,sites!AB:AB,"",0)&amp;_xlfn.XLOOKUP(Table4[[#This Row],[ToLab]],labs!D:D,labs!Q:Q,"",0)</f>
        <v>EUEU</v>
      </c>
    </row>
    <row r="138" spans="2:32" ht="15.6" hidden="1" customHeight="1" x14ac:dyDescent="0.25">
      <c r="B138" s="13">
        <v>293</v>
      </c>
      <c r="C138" s="14" t="s">
        <v>53</v>
      </c>
      <c r="D138" s="13">
        <v>1</v>
      </c>
      <c r="E138" s="83">
        <v>45889</v>
      </c>
      <c r="F138" s="83">
        <v>45890</v>
      </c>
      <c r="G138" s="20">
        <f>IFERROR(WEEKNUM(Table4[[#This Row],[Confirmed Pick-up Date]]),"TBD")</f>
        <v>34</v>
      </c>
      <c r="H138" s="20" t="str">
        <f>IFERROR(TEXT(Table4[[#This Row],[Confirmed Pick-up Date]],"yy-mm"),"TBD")</f>
        <v>25-08</v>
      </c>
      <c r="I138" s="13" t="s">
        <v>975</v>
      </c>
      <c r="J138" s="20" t="str">
        <f>IFERROR(VLOOKUP(Table4[[#This Row],[FromSite-UPS]],Table1[[#All],[Company or Name]:[FromSite3]],15,FALSE),"")</f>
        <v>Vilnius WWTP</v>
      </c>
      <c r="K138" s="20" t="str">
        <f>IFERROR(VLOOKUP(Table4[[#This Row],[FromSite-UPS]],Table1[[#All],[Company or Name]:[FromSite3]],16,FALSE),"")</f>
        <v>Vilnius Bus Terminal</v>
      </c>
      <c r="L138" s="20">
        <f>IFERROR(VLOOKUP(Table4[[#This Row],[FromSite-UPS]],Table1[[#All],[Company or Name]:[FromSite3]],14,FALSE),"")</f>
        <v>0.58333333333333337</v>
      </c>
      <c r="M138" s="13" t="s">
        <v>1011</v>
      </c>
      <c r="N138" s="20" t="s">
        <v>134</v>
      </c>
      <c r="O138" s="20" t="s">
        <v>1171</v>
      </c>
      <c r="P138" s="20" t="s">
        <v>134</v>
      </c>
      <c r="Q138" s="20" t="s">
        <v>1314</v>
      </c>
      <c r="R138" s="20" t="s">
        <v>1260</v>
      </c>
      <c r="S138" s="20" t="s">
        <v>125</v>
      </c>
      <c r="T138" s="20" t="s">
        <v>856</v>
      </c>
      <c r="U138" s="20"/>
      <c r="V138" s="20"/>
      <c r="W138" s="20" t="str">
        <f>TEXT(Table4[[#This Row],[Confirmed Sampling Date]], "yyyy") &amp; "_" &amp; TEXT(Table4[[#This Row],[Confirmed Sampling Date]], "mm") &amp; "_" &amp; TEXT(Table4[[#This Row],[Confirmed Sampling Date]], "dd")</f>
        <v>2025_08_20</v>
      </c>
      <c r="X138" s="20" t="str">
        <f t="shared" si="2"/>
        <v>Vilnius</v>
      </c>
      <c r="Y138" s="20" t="str">
        <f>VLOOKUP(Table4[[#This Row],[FromSite-UPS]],Table1[[Company or Name]:[NOTES]],2,FALSE)</f>
        <v>Lithuania</v>
      </c>
      <c r="Z138" s="20">
        <f>IFERROR(WEEKNUM(Table4[[#This Row],[Confirmed Sampling Date]] - 10, 21), "TBD")</f>
        <v>32</v>
      </c>
      <c r="AA138" s="20" t="str">
        <f>_xlfn.XLOOKUP(Table4[[#This Row],[FromSite-UPS]],sites!D:D,sites!W:W,"",0)</f>
        <v>Zolyno 36 gatve, Vilnius, 10210, Lithuania</v>
      </c>
      <c r="AB138" s="20" t="str">
        <f>_xlfn.XLOOKUP(Table4[[#This Row],[ToLab]],labs!D:D,labs!P:P,"no adres",0)</f>
        <v>Av. Rovisco Pais 1, Laboratorio de Analises de Agua, Lisbon, 1049-001, Portugal</v>
      </c>
      <c r="AC138" s="20">
        <f>_xlfn.XLOOKUP(Table4[[#This Row],[combi]],AREA!E:E,AREA!F:F,"",0)</f>
        <v>89</v>
      </c>
      <c r="AD138" s="20" t="str">
        <f>_xlfn.XLOOKUP(Table4[[#This Row],[combi]],AREA!E:E,AREA!G:G,"",0)</f>
        <v>Pick-up service of hypothetic package as defined in the Tech. Specs. and delivery to lots
2 and 3 contractors according to Scenario 1</v>
      </c>
      <c r="AE138" s="20" t="s">
        <v>125</v>
      </c>
      <c r="AF138" s="20" t="str">
        <f>_xlfn.XLOOKUP(Table4[[#This Row],[FromSite-UPS]],sites!D:D,sites!AB:AB,"",0)&amp;_xlfn.XLOOKUP(Table4[[#This Row],[ToLab]],labs!D:D,labs!Q:Q,"",0)</f>
        <v>EUEU</v>
      </c>
    </row>
    <row r="139" spans="2:32" ht="15.6" hidden="1" customHeight="1" x14ac:dyDescent="0.25">
      <c r="B139" s="13">
        <v>502</v>
      </c>
      <c r="C139" s="14" t="s">
        <v>53</v>
      </c>
      <c r="D139" s="13">
        <v>1</v>
      </c>
      <c r="E139" s="83">
        <v>45887</v>
      </c>
      <c r="F139" s="83">
        <v>45890</v>
      </c>
      <c r="G139" s="20">
        <f>IFERROR(WEEKNUM(Table4[[#This Row],[Confirmed Pick-up Date]]),"TBD")</f>
        <v>34</v>
      </c>
      <c r="H139" s="20" t="str">
        <f>IFERROR(TEXT(Table4[[#This Row],[Confirmed Pick-up Date]],"yy-mm"),"TBD")</f>
        <v>25-08</v>
      </c>
      <c r="I139" s="78" t="s">
        <v>1114</v>
      </c>
      <c r="J139" s="20" t="str">
        <f>IFERROR(VLOOKUP(Table4[[#This Row],[FromSite-UPS]],Table1[[#All],[Company or Name]:[FromSite3]],15,FALSE),"")</f>
        <v>Uppsala WWTP</v>
      </c>
      <c r="K139" s="20" t="str">
        <f>IFERROR(VLOOKUP(Table4[[#This Row],[FromSite-UPS]],Table1[[#All],[Company or Name]:[FromSite3]],16,FALSE),"")</f>
        <v>-</v>
      </c>
      <c r="L139" s="20">
        <f>IFERROR(VLOOKUP(Table4[[#This Row],[FromSite-UPS]],Table1[[#All],[Company or Name]:[FromSite3]],14,FALSE),"")</f>
        <v>0.58333333333333337</v>
      </c>
      <c r="M139" s="13" t="s">
        <v>1011</v>
      </c>
      <c r="N139" s="20" t="s">
        <v>134</v>
      </c>
      <c r="O139" s="20" t="s">
        <v>1176</v>
      </c>
      <c r="P139" s="20" t="s">
        <v>134</v>
      </c>
      <c r="Q139" s="20" t="s">
        <v>1315</v>
      </c>
      <c r="R139" s="20" t="s">
        <v>1247</v>
      </c>
      <c r="S139" s="20" t="s">
        <v>125</v>
      </c>
      <c r="T139" s="20" t="s">
        <v>856</v>
      </c>
      <c r="U139" s="20"/>
      <c r="V139" s="20"/>
      <c r="W139" s="20" t="str">
        <f>TEXT(Table4[[#This Row],[Confirmed Sampling Date]], "yyyy") &amp; "_" &amp; TEXT(Table4[[#This Row],[Confirmed Sampling Date]], "mm") &amp; "_" &amp; TEXT(Table4[[#This Row],[Confirmed Sampling Date]], "dd")</f>
        <v>2025_08_18</v>
      </c>
      <c r="X139" s="20" t="str">
        <f t="shared" si="2"/>
        <v>Uppsala</v>
      </c>
      <c r="Y139" s="20" t="str">
        <f>VLOOKUP(Table4[[#This Row],[FromSite-UPS]],Table1[[Company or Name]:[NOTES]],2,FALSE)</f>
        <v>Sweden</v>
      </c>
      <c r="Z139" s="20">
        <f>IFERROR(WEEKNUM(Table4[[#This Row],[Confirmed Sampling Date]] - 10, 21), "TBD")</f>
        <v>32</v>
      </c>
      <c r="AA139" s="20" t="str">
        <f>_xlfn.XLOOKUP(Table4[[#This Row],[FromSite-UPS]],sites!D:D,sites!W:W,"",0)</f>
        <v>Gerda Nilssons väg 5, Uppsala, 756 51, Sweden</v>
      </c>
      <c r="AB139" s="20" t="str">
        <f>_xlfn.XLOOKUP(Table4[[#This Row],[ToLab]],labs!D:D,labs!P:P,"no adres",0)</f>
        <v>Av. Rovisco Pais 1, Laboratorio de Analises de Agua, Lisbon, 1049-001, Portugal</v>
      </c>
      <c r="AC139" s="20">
        <f>_xlfn.XLOOKUP(Table4[[#This Row],[combi]],AREA!E:E,AREA!F:F,"",0)</f>
        <v>89</v>
      </c>
      <c r="AD139" s="20" t="str">
        <f>_xlfn.XLOOKUP(Table4[[#This Row],[combi]],AREA!E:E,AREA!G:G,"",0)</f>
        <v>Pick-up service of hypothetic package as defined in the Tech. Specs. and delivery to lots
2 and 3 contractors according to Scenario 1</v>
      </c>
      <c r="AE139" s="20" t="s">
        <v>125</v>
      </c>
      <c r="AF139" s="20" t="str">
        <f>_xlfn.XLOOKUP(Table4[[#This Row],[FromSite-UPS]],sites!D:D,sites!AB:AB,"",0)&amp;_xlfn.XLOOKUP(Table4[[#This Row],[ToLab]],labs!D:D,labs!Q:Q,"",0)</f>
        <v>EUEU</v>
      </c>
    </row>
    <row r="140" spans="2:32" ht="15.6" hidden="1" customHeight="1" x14ac:dyDescent="0.25">
      <c r="B140" s="13">
        <v>303</v>
      </c>
      <c r="C140" s="14" t="s">
        <v>53</v>
      </c>
      <c r="D140" s="13">
        <v>1</v>
      </c>
      <c r="E140" s="79">
        <v>45896</v>
      </c>
      <c r="F140" s="80">
        <v>45897</v>
      </c>
      <c r="G140" s="20">
        <f>IFERROR(WEEKNUM(Table4[[#This Row],[Confirmed Pick-up Date]]),"TBD")</f>
        <v>35</v>
      </c>
      <c r="H140" s="20" t="str">
        <f>IFERROR(TEXT(Table4[[#This Row],[Confirmed Pick-up Date]],"yy-mm"),"TBD")</f>
        <v>25-08</v>
      </c>
      <c r="I140" s="78" t="s">
        <v>1628</v>
      </c>
      <c r="J140" s="20" t="str">
        <f>IFERROR(VLOOKUP(Table4[[#This Row],[FromSite-UPS]],Table1[[#All],[Company or Name]:[FromSite3]],15,FALSE),"")</f>
        <v>Funchal WWTP</v>
      </c>
      <c r="K140" s="20" t="str">
        <f>IFERROR(VLOOKUP(Table4[[#This Row],[FromSite-UPS]],Table1[[#All],[Company or Name]:[FromSite3]],16,FALSE),"")</f>
        <v>Madeira, 10 locations</v>
      </c>
      <c r="L140" s="20">
        <f>IFERROR(VLOOKUP(Table4[[#This Row],[FromSite-UPS]],Table1[[#All],[Company or Name]:[FromSite3]],14,FALSE),"")</f>
        <v>0.70833333333333337</v>
      </c>
      <c r="M140" s="13" t="s">
        <v>1011</v>
      </c>
      <c r="N140" s="20" t="s">
        <v>134</v>
      </c>
      <c r="O140" s="20">
        <v>2942611501</v>
      </c>
      <c r="P140" s="20" t="s">
        <v>134</v>
      </c>
      <c r="Q140" s="20" t="s">
        <v>1440</v>
      </c>
      <c r="R140" s="20" t="s">
        <v>1355</v>
      </c>
      <c r="S140" s="20" t="s">
        <v>125</v>
      </c>
      <c r="T140" s="20" t="s">
        <v>1549</v>
      </c>
      <c r="U140" s="20"/>
      <c r="V140" s="20" t="s">
        <v>1316</v>
      </c>
      <c r="W140" s="20" t="str">
        <f>TEXT(Table4[[#This Row],[Confirmed Sampling Date]], "yyyy") &amp; "_" &amp; TEXT(Table4[[#This Row],[Confirmed Sampling Date]], "mm") &amp; "_" &amp; TEXT(Table4[[#This Row],[Confirmed Sampling Date]], "dd")</f>
        <v>2025_08_27</v>
      </c>
      <c r="X140" s="20" t="str">
        <f t="shared" si="2"/>
        <v>Funchal</v>
      </c>
      <c r="Y140" s="20" t="str">
        <f>VLOOKUP(Table4[[#This Row],[FromSite-UPS]],Table1[[Company or Name]:[NOTES]],2,FALSE)</f>
        <v>Portugal</v>
      </c>
      <c r="Z140" s="20">
        <f>IFERROR(WEEKNUM(Table4[[#This Row],[Confirmed Sampling Date]] - 10, 21), "TBD")</f>
        <v>33</v>
      </c>
      <c r="AA140" s="20" t="str">
        <f>_xlfn.XLOOKUP(Table4[[#This Row],[FromSite-UPS]],sites!D:D,sites!W:W,"",0)</f>
        <v>R. do Matadouro 4, Funchal, 9050-100, Portugal</v>
      </c>
      <c r="AB140" s="20" t="str">
        <f>_xlfn.XLOOKUP(Table4[[#This Row],[ToLab]],labs!D:D,labs!P:P,"no adres",0)</f>
        <v>Av. Rovisco Pais 1, Laboratorio de Analises de Agua, Lisbon, 1049-001, Portugal</v>
      </c>
      <c r="AC140" s="20">
        <f>_xlfn.XLOOKUP(Table4[[#This Row],[combi]],AREA!E:E,AREA!F:F,"",0)</f>
        <v>89</v>
      </c>
      <c r="AD140" s="20" t="str">
        <f>_xlfn.XLOOKUP(Table4[[#This Row],[combi]],AREA!E:E,AREA!G:G,"",0)</f>
        <v>Pick-up service of hypothetic package as defined in the Tech. Specs. and delivery to lots
2 and 3 contractors according to Scenario 1</v>
      </c>
      <c r="AE140" s="20" t="s">
        <v>125</v>
      </c>
      <c r="AF140" s="20" t="str">
        <f>_xlfn.XLOOKUP(Table4[[#This Row],[FromSite-UPS]],sites!D:D,sites!AB:AB,"",0)&amp;_xlfn.XLOOKUP(Table4[[#This Row],[ToLab]],labs!D:D,labs!Q:Q,"",0)</f>
        <v>EUEU</v>
      </c>
    </row>
    <row r="141" spans="2:32" ht="15.6" hidden="1" customHeight="1" x14ac:dyDescent="0.25">
      <c r="B141" s="13">
        <v>313</v>
      </c>
      <c r="C141" s="14" t="s">
        <v>53</v>
      </c>
      <c r="D141" s="13">
        <v>1</v>
      </c>
      <c r="E141" s="79">
        <v>45896</v>
      </c>
      <c r="F141" s="80">
        <v>45897</v>
      </c>
      <c r="G141" s="20">
        <f>IFERROR(WEEKNUM(Table4[[#This Row],[Confirmed Pick-up Date]]),"TBD")</f>
        <v>35</v>
      </c>
      <c r="H141" s="20" t="str">
        <f>IFERROR(TEXT(Table4[[#This Row],[Confirmed Pick-up Date]],"yy-mm"),"TBD")</f>
        <v>25-08</v>
      </c>
      <c r="I141" s="78" t="s">
        <v>1628</v>
      </c>
      <c r="J141" s="20" t="str">
        <f>IFERROR(VLOOKUP(Table4[[#This Row],[FromSite-UPS]],Table1[[#All],[Company or Name]:[FromSite3]],15,FALSE),"")</f>
        <v>Funchal WWTP</v>
      </c>
      <c r="K141" s="20" t="str">
        <f>IFERROR(VLOOKUP(Table4[[#This Row],[FromSite-UPS]],Table1[[#All],[Company or Name]:[FromSite3]],16,FALSE),"")</f>
        <v>Madeira, 10 locations</v>
      </c>
      <c r="L141" s="20">
        <f>IFERROR(VLOOKUP(Table4[[#This Row],[FromSite-UPS]],Table1[[#All],[Company or Name]:[FromSite3]],14,FALSE),"")</f>
        <v>0.70833333333333337</v>
      </c>
      <c r="M141" s="13" t="s">
        <v>1011</v>
      </c>
      <c r="N141" s="20" t="s">
        <v>134</v>
      </c>
      <c r="O141" s="20">
        <v>2942611501</v>
      </c>
      <c r="P141" s="20" t="s">
        <v>134</v>
      </c>
      <c r="Q141" s="20" t="s">
        <v>1857</v>
      </c>
      <c r="R141" s="20" t="s">
        <v>1354</v>
      </c>
      <c r="S141" s="20" t="s">
        <v>125</v>
      </c>
      <c r="T141" s="20" t="s">
        <v>1549</v>
      </c>
      <c r="U141" s="20"/>
      <c r="V141" s="20" t="s">
        <v>1317</v>
      </c>
      <c r="W141" s="20" t="str">
        <f>TEXT(Table4[[#This Row],[Confirmed Sampling Date]], "yyyy") &amp; "_" &amp; TEXT(Table4[[#This Row],[Confirmed Sampling Date]], "mm") &amp; "_" &amp; TEXT(Table4[[#This Row],[Confirmed Sampling Date]], "dd")</f>
        <v>2025_08_27</v>
      </c>
      <c r="X141" s="20" t="str">
        <f t="shared" si="2"/>
        <v>Funchal</v>
      </c>
      <c r="Y141" s="20" t="str">
        <f>VLOOKUP(Table4[[#This Row],[FromSite-UPS]],Table1[[Company or Name]:[NOTES]],2,FALSE)</f>
        <v>Portugal</v>
      </c>
      <c r="Z141" s="20">
        <f>IFERROR(WEEKNUM(Table4[[#This Row],[Confirmed Sampling Date]] - 10, 21), "TBD")</f>
        <v>33</v>
      </c>
      <c r="AA141" s="20" t="str">
        <f>_xlfn.XLOOKUP(Table4[[#This Row],[FromSite-UPS]],sites!D:D,sites!W:W,"",0)</f>
        <v>R. do Matadouro 4, Funchal, 9050-100, Portugal</v>
      </c>
      <c r="AB141" s="20" t="str">
        <f>_xlfn.XLOOKUP(Table4[[#This Row],[ToLab]],labs!D:D,labs!P:P,"no adres",0)</f>
        <v>Av. Rovisco Pais 1, Laboratorio de Analises de Agua, Lisbon, 1049-001, Portugal</v>
      </c>
      <c r="AC141" s="20">
        <f>_xlfn.XLOOKUP(Table4[[#This Row],[combi]],AREA!E:E,AREA!F:F,"",0)</f>
        <v>89</v>
      </c>
      <c r="AD141" s="20" t="str">
        <f>_xlfn.XLOOKUP(Table4[[#This Row],[combi]],AREA!E:E,AREA!G:G,"",0)</f>
        <v>Pick-up service of hypothetic package as defined in the Tech. Specs. and delivery to lots
2 and 3 contractors according to Scenario 1</v>
      </c>
      <c r="AE141" s="20" t="s">
        <v>125</v>
      </c>
      <c r="AF141" s="20" t="str">
        <f>_xlfn.XLOOKUP(Table4[[#This Row],[FromSite-UPS]],sites!D:D,sites!AB:AB,"",0)&amp;_xlfn.XLOOKUP(Table4[[#This Row],[ToLab]],labs!D:D,labs!Q:Q,"",0)</f>
        <v>EUEU</v>
      </c>
    </row>
    <row r="142" spans="2:32" ht="15.6" hidden="1" customHeight="1" x14ac:dyDescent="0.25">
      <c r="B142" s="13">
        <v>323</v>
      </c>
      <c r="C142" s="14" t="s">
        <v>53</v>
      </c>
      <c r="D142" s="13">
        <v>1</v>
      </c>
      <c r="E142" s="79">
        <v>45896</v>
      </c>
      <c r="F142" s="81">
        <v>45897</v>
      </c>
      <c r="G142" s="20">
        <f>IFERROR(WEEKNUM(Table4[[#This Row],[Confirmed Pick-up Date]]),"TBD")</f>
        <v>35</v>
      </c>
      <c r="H142" s="20" t="str">
        <f>IFERROR(TEXT(Table4[[#This Row],[Confirmed Pick-up Date]],"yy-mm"),"TBD")</f>
        <v>25-08</v>
      </c>
      <c r="I142" s="78" t="s">
        <v>1628</v>
      </c>
      <c r="J142" s="20" t="str">
        <f>IFERROR(VLOOKUP(Table4[[#This Row],[FromSite-UPS]],Table1[[#All],[Company or Name]:[FromSite3]],15,FALSE),"")</f>
        <v>Funchal WWTP</v>
      </c>
      <c r="K142" s="20" t="str">
        <f>IFERROR(VLOOKUP(Table4[[#This Row],[FromSite-UPS]],Table1[[#All],[Company or Name]:[FromSite3]],16,FALSE),"")</f>
        <v>Madeira, 10 locations</v>
      </c>
      <c r="L142" s="20">
        <f>IFERROR(VLOOKUP(Table4[[#This Row],[FromSite-UPS]],Table1[[#All],[Company or Name]:[FromSite3]],14,FALSE),"")</f>
        <v>0.70833333333333337</v>
      </c>
      <c r="M142" s="13" t="s">
        <v>1011</v>
      </c>
      <c r="N142" s="20" t="s">
        <v>134</v>
      </c>
      <c r="O142" s="20">
        <v>2942611501</v>
      </c>
      <c r="P142" s="20" t="s">
        <v>134</v>
      </c>
      <c r="Q142" s="20" t="s">
        <v>1440</v>
      </c>
      <c r="R142" s="20" t="s">
        <v>1353</v>
      </c>
      <c r="S142" s="20" t="s">
        <v>125</v>
      </c>
      <c r="T142" s="20" t="s">
        <v>1549</v>
      </c>
      <c r="U142" s="20"/>
      <c r="V142" s="20" t="s">
        <v>1318</v>
      </c>
      <c r="W142" s="20" t="str">
        <f>TEXT(Table4[[#This Row],[Confirmed Sampling Date]], "yyyy") &amp; "_" &amp; TEXT(Table4[[#This Row],[Confirmed Sampling Date]], "mm") &amp; "_" &amp; TEXT(Table4[[#This Row],[Confirmed Sampling Date]], "dd")</f>
        <v>2025_08_27</v>
      </c>
      <c r="X142" s="20" t="str">
        <f t="shared" si="2"/>
        <v>Funchal</v>
      </c>
      <c r="Y142" s="20" t="str">
        <f>VLOOKUP(Table4[[#This Row],[FromSite-UPS]],Table1[[Company or Name]:[NOTES]],2,FALSE)</f>
        <v>Portugal</v>
      </c>
      <c r="Z142" s="20">
        <f>IFERROR(WEEKNUM(Table4[[#This Row],[Confirmed Sampling Date]] - 10, 21), "TBD")</f>
        <v>33</v>
      </c>
      <c r="AA142" s="20" t="str">
        <f>_xlfn.XLOOKUP(Table4[[#This Row],[FromSite-UPS]],sites!D:D,sites!W:W,"",0)</f>
        <v>R. do Matadouro 4, Funchal, 9050-100, Portugal</v>
      </c>
      <c r="AB142" s="20" t="str">
        <f>_xlfn.XLOOKUP(Table4[[#This Row],[ToLab]],labs!D:D,labs!P:P,"no adres",0)</f>
        <v>Av. Rovisco Pais 1, Laboratorio de Analises de Agua, Lisbon, 1049-001, Portugal</v>
      </c>
      <c r="AC142" s="20">
        <f>_xlfn.XLOOKUP(Table4[[#This Row],[combi]],AREA!E:E,AREA!F:F,"",0)</f>
        <v>89</v>
      </c>
      <c r="AD142" s="20" t="str">
        <f>_xlfn.XLOOKUP(Table4[[#This Row],[combi]],AREA!E:E,AREA!G:G,"",0)</f>
        <v>Pick-up service of hypothetic package as defined in the Tech. Specs. and delivery to lots
2 and 3 contractors according to Scenario 1</v>
      </c>
      <c r="AE142" s="20" t="s">
        <v>125</v>
      </c>
      <c r="AF142" s="20" t="str">
        <f>_xlfn.XLOOKUP(Table4[[#This Row],[FromSite-UPS]],sites!D:D,sites!AB:AB,"",0)&amp;_xlfn.XLOOKUP(Table4[[#This Row],[ToLab]],labs!D:D,labs!Q:Q,"",0)</f>
        <v>EUEU</v>
      </c>
    </row>
    <row r="143" spans="2:32" ht="15.6" hidden="1" customHeight="1" x14ac:dyDescent="0.25">
      <c r="B143" s="13">
        <v>333</v>
      </c>
      <c r="C143" s="14" t="s">
        <v>53</v>
      </c>
      <c r="D143" s="13">
        <v>1</v>
      </c>
      <c r="E143" s="79">
        <v>45896</v>
      </c>
      <c r="F143" s="81">
        <v>45897</v>
      </c>
      <c r="G143" s="20">
        <f>IFERROR(WEEKNUM(Table4[[#This Row],[Confirmed Pick-up Date]]),"TBD")</f>
        <v>35</v>
      </c>
      <c r="H143" s="20" t="str">
        <f>IFERROR(TEXT(Table4[[#This Row],[Confirmed Pick-up Date]],"yy-mm"),"TBD")</f>
        <v>25-08</v>
      </c>
      <c r="I143" s="78" t="s">
        <v>1628</v>
      </c>
      <c r="J143" s="20" t="str">
        <f>IFERROR(VLOOKUP(Table4[[#This Row],[FromSite-UPS]],Table1[[#All],[Company or Name]:[FromSite3]],15,FALSE),"")</f>
        <v>Funchal WWTP</v>
      </c>
      <c r="K143" s="20" t="str">
        <f>IFERROR(VLOOKUP(Table4[[#This Row],[FromSite-UPS]],Table1[[#All],[Company or Name]:[FromSite3]],16,FALSE),"")</f>
        <v>Madeira, 10 locations</v>
      </c>
      <c r="L143" s="20">
        <f>IFERROR(VLOOKUP(Table4[[#This Row],[FromSite-UPS]],Table1[[#All],[Company or Name]:[FromSite3]],14,FALSE),"")</f>
        <v>0.70833333333333337</v>
      </c>
      <c r="M143" s="13" t="s">
        <v>1011</v>
      </c>
      <c r="N143" s="20" t="s">
        <v>134</v>
      </c>
      <c r="O143" s="20">
        <v>2942611501</v>
      </c>
      <c r="P143" s="20" t="s">
        <v>134</v>
      </c>
      <c r="Q143" s="20" t="s">
        <v>1440</v>
      </c>
      <c r="R143" s="20" t="s">
        <v>1352</v>
      </c>
      <c r="S143" s="20" t="s">
        <v>125</v>
      </c>
      <c r="T143" s="20" t="s">
        <v>1549</v>
      </c>
      <c r="U143" s="20"/>
      <c r="V143" s="20" t="s">
        <v>1319</v>
      </c>
      <c r="W143" s="20" t="str">
        <f>TEXT(Table4[[#This Row],[Confirmed Sampling Date]], "yyyy") &amp; "_" &amp; TEXT(Table4[[#This Row],[Confirmed Sampling Date]], "mm") &amp; "_" &amp; TEXT(Table4[[#This Row],[Confirmed Sampling Date]], "dd")</f>
        <v>2025_08_27</v>
      </c>
      <c r="X143" s="20" t="str">
        <f t="shared" si="2"/>
        <v>Funchal</v>
      </c>
      <c r="Y143" s="20" t="str">
        <f>VLOOKUP(Table4[[#This Row],[FromSite-UPS]],Table1[[Company or Name]:[NOTES]],2,FALSE)</f>
        <v>Portugal</v>
      </c>
      <c r="Z143" s="20">
        <f>IFERROR(WEEKNUM(Table4[[#This Row],[Confirmed Sampling Date]] - 10, 21), "TBD")</f>
        <v>33</v>
      </c>
      <c r="AA143" s="20" t="str">
        <f>_xlfn.XLOOKUP(Table4[[#This Row],[FromSite-UPS]],sites!D:D,sites!W:W,"",0)</f>
        <v>R. do Matadouro 4, Funchal, 9050-100, Portugal</v>
      </c>
      <c r="AB143" s="20" t="str">
        <f>_xlfn.XLOOKUP(Table4[[#This Row],[ToLab]],labs!D:D,labs!P:P,"no adres",0)</f>
        <v>Av. Rovisco Pais 1, Laboratorio de Analises de Agua, Lisbon, 1049-001, Portugal</v>
      </c>
      <c r="AC143" s="20">
        <f>_xlfn.XLOOKUP(Table4[[#This Row],[combi]],AREA!E:E,AREA!F:F,"",0)</f>
        <v>89</v>
      </c>
      <c r="AD143" s="20" t="str">
        <f>_xlfn.XLOOKUP(Table4[[#This Row],[combi]],AREA!E:E,AREA!G:G,"",0)</f>
        <v>Pick-up service of hypothetic package as defined in the Tech. Specs. and delivery to lots
2 and 3 contractors according to Scenario 1</v>
      </c>
      <c r="AE143" s="20" t="s">
        <v>125</v>
      </c>
      <c r="AF143" s="20" t="str">
        <f>_xlfn.XLOOKUP(Table4[[#This Row],[FromSite-UPS]],sites!D:D,sites!AB:AB,"",0)&amp;_xlfn.XLOOKUP(Table4[[#This Row],[ToLab]],labs!D:D,labs!Q:Q,"",0)</f>
        <v>EUEU</v>
      </c>
    </row>
    <row r="144" spans="2:32" ht="15.6" hidden="1" customHeight="1" x14ac:dyDescent="0.25">
      <c r="B144" s="13">
        <v>343</v>
      </c>
      <c r="C144" s="14" t="s">
        <v>53</v>
      </c>
      <c r="D144" s="13">
        <v>1</v>
      </c>
      <c r="E144" s="79">
        <v>45896</v>
      </c>
      <c r="F144" s="80">
        <v>45897</v>
      </c>
      <c r="G144" s="20">
        <f>IFERROR(WEEKNUM(Table4[[#This Row],[Confirmed Pick-up Date]]),"TBD")</f>
        <v>35</v>
      </c>
      <c r="H144" s="20" t="str">
        <f>IFERROR(TEXT(Table4[[#This Row],[Confirmed Pick-up Date]],"yy-mm"),"TBD")</f>
        <v>25-08</v>
      </c>
      <c r="I144" s="78" t="s">
        <v>1628</v>
      </c>
      <c r="J144" s="20" t="str">
        <f>IFERROR(VLOOKUP(Table4[[#This Row],[FromSite-UPS]],Table1[[#All],[Company or Name]:[FromSite3]],15,FALSE),"")</f>
        <v>Funchal WWTP</v>
      </c>
      <c r="K144" s="20" t="str">
        <f>IFERROR(VLOOKUP(Table4[[#This Row],[FromSite-UPS]],Table1[[#All],[Company or Name]:[FromSite3]],16,FALSE),"")</f>
        <v>Madeira, 10 locations</v>
      </c>
      <c r="L144" s="20">
        <f>IFERROR(VLOOKUP(Table4[[#This Row],[FromSite-UPS]],Table1[[#All],[Company or Name]:[FromSite3]],14,FALSE),"")</f>
        <v>0.70833333333333337</v>
      </c>
      <c r="M144" s="13" t="s">
        <v>1011</v>
      </c>
      <c r="N144" s="20" t="s">
        <v>134</v>
      </c>
      <c r="O144" s="20">
        <v>2942611501</v>
      </c>
      <c r="P144" s="20" t="s">
        <v>134</v>
      </c>
      <c r="Q144" s="20" t="s">
        <v>1440</v>
      </c>
      <c r="R144" s="20" t="s">
        <v>1351</v>
      </c>
      <c r="S144" s="20" t="s">
        <v>125</v>
      </c>
      <c r="T144" s="20" t="s">
        <v>1549</v>
      </c>
      <c r="U144" s="20"/>
      <c r="V144" s="20" t="s">
        <v>1320</v>
      </c>
      <c r="W144" s="20" t="str">
        <f>TEXT(Table4[[#This Row],[Confirmed Sampling Date]], "yyyy") &amp; "_" &amp; TEXT(Table4[[#This Row],[Confirmed Sampling Date]], "mm") &amp; "_" &amp; TEXT(Table4[[#This Row],[Confirmed Sampling Date]], "dd")</f>
        <v>2025_08_27</v>
      </c>
      <c r="X144" s="20" t="str">
        <f t="shared" si="2"/>
        <v>Funchal</v>
      </c>
      <c r="Y144" s="20" t="str">
        <f>VLOOKUP(Table4[[#This Row],[FromSite-UPS]],Table1[[Company or Name]:[NOTES]],2,FALSE)</f>
        <v>Portugal</v>
      </c>
      <c r="Z144" s="20">
        <f>IFERROR(WEEKNUM(Table4[[#This Row],[Confirmed Sampling Date]] - 10, 21), "TBD")</f>
        <v>33</v>
      </c>
      <c r="AA144" s="20" t="str">
        <f>_xlfn.XLOOKUP(Table4[[#This Row],[FromSite-UPS]],sites!D:D,sites!W:W,"",0)</f>
        <v>R. do Matadouro 4, Funchal, 9050-100, Portugal</v>
      </c>
      <c r="AB144" s="20" t="str">
        <f>_xlfn.XLOOKUP(Table4[[#This Row],[ToLab]],labs!D:D,labs!P:P,"no adres",0)</f>
        <v>Av. Rovisco Pais 1, Laboratorio de Analises de Agua, Lisbon, 1049-001, Portugal</v>
      </c>
      <c r="AC144" s="20">
        <f>_xlfn.XLOOKUP(Table4[[#This Row],[combi]],AREA!E:E,AREA!F:F,"",0)</f>
        <v>89</v>
      </c>
      <c r="AD144" s="20" t="str">
        <f>_xlfn.XLOOKUP(Table4[[#This Row],[combi]],AREA!E:E,AREA!G:G,"",0)</f>
        <v>Pick-up service of hypothetic package as defined in the Tech. Specs. and delivery to lots
2 and 3 contractors according to Scenario 1</v>
      </c>
      <c r="AE144" s="20" t="s">
        <v>125</v>
      </c>
      <c r="AF144" s="20" t="str">
        <f>_xlfn.XLOOKUP(Table4[[#This Row],[FromSite-UPS]],sites!D:D,sites!AB:AB,"",0)&amp;_xlfn.XLOOKUP(Table4[[#This Row],[ToLab]],labs!D:D,labs!Q:Q,"",0)</f>
        <v>EUEU</v>
      </c>
    </row>
    <row r="145" spans="2:32" ht="15.6" hidden="1" customHeight="1" x14ac:dyDescent="0.25">
      <c r="B145" s="13">
        <v>353</v>
      </c>
      <c r="C145" s="14" t="s">
        <v>53</v>
      </c>
      <c r="D145" s="13">
        <v>1</v>
      </c>
      <c r="E145" s="79">
        <v>45896</v>
      </c>
      <c r="F145" s="80">
        <v>45897</v>
      </c>
      <c r="G145" s="20">
        <f>IFERROR(WEEKNUM(Table4[[#This Row],[Confirmed Pick-up Date]]),"TBD")</f>
        <v>35</v>
      </c>
      <c r="H145" s="20" t="str">
        <f>IFERROR(TEXT(Table4[[#This Row],[Confirmed Pick-up Date]],"yy-mm"),"TBD")</f>
        <v>25-08</v>
      </c>
      <c r="I145" s="78" t="s">
        <v>1628</v>
      </c>
      <c r="J145" s="20" t="str">
        <f>IFERROR(VLOOKUP(Table4[[#This Row],[FromSite-UPS]],Table1[[#All],[Company or Name]:[FromSite3]],15,FALSE),"")</f>
        <v>Funchal WWTP</v>
      </c>
      <c r="K145" s="20" t="str">
        <f>IFERROR(VLOOKUP(Table4[[#This Row],[FromSite-UPS]],Table1[[#All],[Company or Name]:[FromSite3]],16,FALSE),"")</f>
        <v>Madeira, 10 locations</v>
      </c>
      <c r="L145" s="20">
        <f>IFERROR(VLOOKUP(Table4[[#This Row],[FromSite-UPS]],Table1[[#All],[Company or Name]:[FromSite3]],14,FALSE),"")</f>
        <v>0.70833333333333337</v>
      </c>
      <c r="M145" s="13" t="s">
        <v>1011</v>
      </c>
      <c r="N145" s="20" t="s">
        <v>134</v>
      </c>
      <c r="O145" s="20">
        <v>2942611501</v>
      </c>
      <c r="P145" s="20" t="s">
        <v>134</v>
      </c>
      <c r="Q145" s="20" t="s">
        <v>1440</v>
      </c>
      <c r="R145" s="20" t="s">
        <v>1350</v>
      </c>
      <c r="S145" s="20" t="s">
        <v>125</v>
      </c>
      <c r="T145" s="20" t="s">
        <v>1549</v>
      </c>
      <c r="U145" s="20"/>
      <c r="V145" s="20" t="s">
        <v>1321</v>
      </c>
      <c r="W145" s="20" t="str">
        <f>TEXT(Table4[[#This Row],[Confirmed Sampling Date]], "yyyy") &amp; "_" &amp; TEXT(Table4[[#This Row],[Confirmed Sampling Date]], "mm") &amp; "_" &amp; TEXT(Table4[[#This Row],[Confirmed Sampling Date]], "dd")</f>
        <v>2025_08_27</v>
      </c>
      <c r="X145" s="20" t="str">
        <f t="shared" si="2"/>
        <v>Funchal</v>
      </c>
      <c r="Y145" s="20" t="str">
        <f>VLOOKUP(Table4[[#This Row],[FromSite-UPS]],Table1[[Company or Name]:[NOTES]],2,FALSE)</f>
        <v>Portugal</v>
      </c>
      <c r="Z145" s="20">
        <f>IFERROR(WEEKNUM(Table4[[#This Row],[Confirmed Sampling Date]] - 10, 21), "TBD")</f>
        <v>33</v>
      </c>
      <c r="AA145" s="20" t="str">
        <f>_xlfn.XLOOKUP(Table4[[#This Row],[FromSite-UPS]],sites!D:D,sites!W:W,"",0)</f>
        <v>R. do Matadouro 4, Funchal, 9050-100, Portugal</v>
      </c>
      <c r="AB145" s="20" t="str">
        <f>_xlfn.XLOOKUP(Table4[[#This Row],[ToLab]],labs!D:D,labs!P:P,"no adres",0)</f>
        <v>Av. Rovisco Pais 1, Laboratorio de Analises de Agua, Lisbon, 1049-001, Portugal</v>
      </c>
      <c r="AC145" s="20">
        <f>_xlfn.XLOOKUP(Table4[[#This Row],[combi]],AREA!E:E,AREA!F:F,"",0)</f>
        <v>89</v>
      </c>
      <c r="AD145" s="20" t="str">
        <f>_xlfn.XLOOKUP(Table4[[#This Row],[combi]],AREA!E:E,AREA!G:G,"",0)</f>
        <v>Pick-up service of hypothetic package as defined in the Tech. Specs. and delivery to lots
2 and 3 contractors according to Scenario 1</v>
      </c>
      <c r="AE145" s="20" t="s">
        <v>125</v>
      </c>
      <c r="AF145" s="20" t="str">
        <f>_xlfn.XLOOKUP(Table4[[#This Row],[FromSite-UPS]],sites!D:D,sites!AB:AB,"",0)&amp;_xlfn.XLOOKUP(Table4[[#This Row],[ToLab]],labs!D:D,labs!Q:Q,"",0)</f>
        <v>EUEU</v>
      </c>
    </row>
    <row r="146" spans="2:32" ht="15.6" hidden="1" customHeight="1" x14ac:dyDescent="0.25">
      <c r="B146" s="13">
        <v>363</v>
      </c>
      <c r="C146" s="14" t="s">
        <v>53</v>
      </c>
      <c r="D146" s="13">
        <v>1</v>
      </c>
      <c r="E146" s="79">
        <v>45896</v>
      </c>
      <c r="F146" s="80">
        <v>45897</v>
      </c>
      <c r="G146" s="20">
        <f>IFERROR(WEEKNUM(Table4[[#This Row],[Confirmed Pick-up Date]]),"TBD")</f>
        <v>35</v>
      </c>
      <c r="H146" s="20" t="str">
        <f>IFERROR(TEXT(Table4[[#This Row],[Confirmed Pick-up Date]],"yy-mm"),"TBD")</f>
        <v>25-08</v>
      </c>
      <c r="I146" s="78" t="s">
        <v>1628</v>
      </c>
      <c r="J146" s="20" t="str">
        <f>IFERROR(VLOOKUP(Table4[[#This Row],[FromSite-UPS]],Table1[[#All],[Company or Name]:[FromSite3]],15,FALSE),"")</f>
        <v>Funchal WWTP</v>
      </c>
      <c r="K146" s="20" t="str">
        <f>IFERROR(VLOOKUP(Table4[[#This Row],[FromSite-UPS]],Table1[[#All],[Company or Name]:[FromSite3]],16,FALSE),"")</f>
        <v>Madeira, 10 locations</v>
      </c>
      <c r="L146" s="20">
        <f>IFERROR(VLOOKUP(Table4[[#This Row],[FromSite-UPS]],Table1[[#All],[Company or Name]:[FromSite3]],14,FALSE),"")</f>
        <v>0.70833333333333337</v>
      </c>
      <c r="M146" s="13" t="s">
        <v>1011</v>
      </c>
      <c r="N146" s="20" t="s">
        <v>134</v>
      </c>
      <c r="O146" s="20">
        <v>2942611501</v>
      </c>
      <c r="P146" s="20" t="s">
        <v>134</v>
      </c>
      <c r="Q146" s="20" t="s">
        <v>1440</v>
      </c>
      <c r="R146" s="20" t="s">
        <v>1349</v>
      </c>
      <c r="S146" s="20" t="s">
        <v>125</v>
      </c>
      <c r="T146" s="20" t="s">
        <v>1549</v>
      </c>
      <c r="U146" s="20"/>
      <c r="V146" s="20" t="s">
        <v>1322</v>
      </c>
      <c r="W146" s="20" t="str">
        <f>TEXT(Table4[[#This Row],[Confirmed Sampling Date]], "yyyy") &amp; "_" &amp; TEXT(Table4[[#This Row],[Confirmed Sampling Date]], "mm") &amp; "_" &amp; TEXT(Table4[[#This Row],[Confirmed Sampling Date]], "dd")</f>
        <v>2025_08_27</v>
      </c>
      <c r="X146" s="20" t="str">
        <f t="shared" si="2"/>
        <v>Funchal</v>
      </c>
      <c r="Y146" s="20" t="str">
        <f>VLOOKUP(Table4[[#This Row],[FromSite-UPS]],Table1[[Company or Name]:[NOTES]],2,FALSE)</f>
        <v>Portugal</v>
      </c>
      <c r="Z146" s="20">
        <f>IFERROR(WEEKNUM(Table4[[#This Row],[Confirmed Sampling Date]] - 10, 21), "TBD")</f>
        <v>33</v>
      </c>
      <c r="AA146" s="20" t="str">
        <f>_xlfn.XLOOKUP(Table4[[#This Row],[FromSite-UPS]],sites!D:D,sites!W:W,"",0)</f>
        <v>R. do Matadouro 4, Funchal, 9050-100, Portugal</v>
      </c>
      <c r="AB146" s="20" t="str">
        <f>_xlfn.XLOOKUP(Table4[[#This Row],[ToLab]],labs!D:D,labs!P:P,"no adres",0)</f>
        <v>Av. Rovisco Pais 1, Laboratorio de Analises de Agua, Lisbon, 1049-001, Portugal</v>
      </c>
      <c r="AC146" s="20">
        <f>_xlfn.XLOOKUP(Table4[[#This Row],[combi]],AREA!E:E,AREA!F:F,"",0)</f>
        <v>89</v>
      </c>
      <c r="AD146" s="20" t="str">
        <f>_xlfn.XLOOKUP(Table4[[#This Row],[combi]],AREA!E:E,AREA!G:G,"",0)</f>
        <v>Pick-up service of hypothetic package as defined in the Tech. Specs. and delivery to lots
2 and 3 contractors according to Scenario 1</v>
      </c>
      <c r="AE146" s="20" t="s">
        <v>125</v>
      </c>
      <c r="AF146" s="20" t="str">
        <f>_xlfn.XLOOKUP(Table4[[#This Row],[FromSite-UPS]],sites!D:D,sites!AB:AB,"",0)&amp;_xlfn.XLOOKUP(Table4[[#This Row],[ToLab]],labs!D:D,labs!Q:Q,"",0)</f>
        <v>EUEU</v>
      </c>
    </row>
    <row r="147" spans="2:32" ht="15.6" hidden="1" customHeight="1" x14ac:dyDescent="0.25">
      <c r="B147" s="13">
        <v>373</v>
      </c>
      <c r="C147" s="14" t="s">
        <v>53</v>
      </c>
      <c r="D147" s="13">
        <v>1</v>
      </c>
      <c r="E147" s="79">
        <v>45896</v>
      </c>
      <c r="F147" s="81">
        <v>45897</v>
      </c>
      <c r="G147" s="20">
        <f>IFERROR(WEEKNUM(Table4[[#This Row],[Confirmed Pick-up Date]]),"TBD")</f>
        <v>35</v>
      </c>
      <c r="H147" s="20" t="str">
        <f>IFERROR(TEXT(Table4[[#This Row],[Confirmed Pick-up Date]],"yy-mm"),"TBD")</f>
        <v>25-08</v>
      </c>
      <c r="I147" s="67" t="s">
        <v>1628</v>
      </c>
      <c r="J147" s="20" t="str">
        <f>IFERROR(VLOOKUP(Table4[[#This Row],[FromSite-UPS]],Table1[[#All],[Company or Name]:[FromSite3]],15,FALSE),"")</f>
        <v>Funchal WWTP</v>
      </c>
      <c r="K147" s="20" t="str">
        <f>IFERROR(VLOOKUP(Table4[[#This Row],[FromSite-UPS]],Table1[[#All],[Company or Name]:[FromSite3]],16,FALSE),"")</f>
        <v>Madeira, 10 locations</v>
      </c>
      <c r="L147" s="20">
        <f>IFERROR(VLOOKUP(Table4[[#This Row],[FromSite-UPS]],Table1[[#All],[Company or Name]:[FromSite3]],14,FALSE),"")</f>
        <v>0.70833333333333337</v>
      </c>
      <c r="M147" s="13" t="s">
        <v>1011</v>
      </c>
      <c r="N147" s="20" t="s">
        <v>134</v>
      </c>
      <c r="O147" s="20">
        <v>2942611501</v>
      </c>
      <c r="P147" s="20" t="s">
        <v>134</v>
      </c>
      <c r="Q147" s="20" t="s">
        <v>1440</v>
      </c>
      <c r="R147" s="20" t="s">
        <v>1348</v>
      </c>
      <c r="S147" s="20" t="s">
        <v>125</v>
      </c>
      <c r="T147" s="20" t="s">
        <v>1549</v>
      </c>
      <c r="U147" s="20"/>
      <c r="V147" s="20" t="s">
        <v>1323</v>
      </c>
      <c r="W147" s="20" t="str">
        <f>TEXT(Table4[[#This Row],[Confirmed Sampling Date]], "yyyy") &amp; "_" &amp; TEXT(Table4[[#This Row],[Confirmed Sampling Date]], "mm") &amp; "_" &amp; TEXT(Table4[[#This Row],[Confirmed Sampling Date]], "dd")</f>
        <v>2025_08_27</v>
      </c>
      <c r="X147" s="20" t="str">
        <f t="shared" si="2"/>
        <v>Funchal</v>
      </c>
      <c r="Y147" s="20" t="str">
        <f>VLOOKUP(Table4[[#This Row],[FromSite-UPS]],Table1[[Company or Name]:[NOTES]],2,FALSE)</f>
        <v>Portugal</v>
      </c>
      <c r="Z147" s="20">
        <f>IFERROR(WEEKNUM(Table4[[#This Row],[Confirmed Sampling Date]] - 10, 21), "TBD")</f>
        <v>33</v>
      </c>
      <c r="AA147" s="20" t="str">
        <f>_xlfn.XLOOKUP(Table4[[#This Row],[FromSite-UPS]],sites!D:D,sites!W:W,"",0)</f>
        <v>R. do Matadouro 4, Funchal, 9050-100, Portugal</v>
      </c>
      <c r="AB147" s="20" t="str">
        <f>_xlfn.XLOOKUP(Table4[[#This Row],[ToLab]],labs!D:D,labs!P:P,"no adres",0)</f>
        <v>Av. Rovisco Pais 1, Laboratorio de Analises de Agua, Lisbon, 1049-001, Portugal</v>
      </c>
      <c r="AC147" s="20">
        <f>_xlfn.XLOOKUP(Table4[[#This Row],[combi]],AREA!E:E,AREA!F:F,"",0)</f>
        <v>89</v>
      </c>
      <c r="AD147" s="20" t="str">
        <f>_xlfn.XLOOKUP(Table4[[#This Row],[combi]],AREA!E:E,AREA!G:G,"",0)</f>
        <v>Pick-up service of hypothetic package as defined in the Tech. Specs. and delivery to lots
2 and 3 contractors according to Scenario 1</v>
      </c>
      <c r="AE147" s="20" t="s">
        <v>125</v>
      </c>
      <c r="AF147" s="20" t="str">
        <f>_xlfn.XLOOKUP(Table4[[#This Row],[FromSite-UPS]],sites!D:D,sites!AB:AB,"",0)&amp;_xlfn.XLOOKUP(Table4[[#This Row],[ToLab]],labs!D:D,labs!Q:Q,"",0)</f>
        <v>EUEU</v>
      </c>
    </row>
    <row r="148" spans="2:32" ht="15.6" hidden="1" customHeight="1" x14ac:dyDescent="0.25">
      <c r="B148" s="13">
        <v>383</v>
      </c>
      <c r="C148" s="14" t="s">
        <v>53</v>
      </c>
      <c r="D148" s="13">
        <v>1</v>
      </c>
      <c r="E148" s="79">
        <v>45896</v>
      </c>
      <c r="F148" s="80">
        <v>45897</v>
      </c>
      <c r="G148" s="20">
        <f>IFERROR(WEEKNUM(Table4[[#This Row],[Confirmed Pick-up Date]]),"TBD")</f>
        <v>35</v>
      </c>
      <c r="H148" s="20" t="str">
        <f>IFERROR(TEXT(Table4[[#This Row],[Confirmed Pick-up Date]],"yy-mm"),"TBD")</f>
        <v>25-08</v>
      </c>
      <c r="I148" s="78" t="s">
        <v>1628</v>
      </c>
      <c r="J148" s="20" t="str">
        <f>IFERROR(VLOOKUP(Table4[[#This Row],[FromSite-UPS]],Table1[[#All],[Company or Name]:[FromSite3]],15,FALSE),"")</f>
        <v>Funchal WWTP</v>
      </c>
      <c r="K148" s="20" t="str">
        <f>IFERROR(VLOOKUP(Table4[[#This Row],[FromSite-UPS]],Table1[[#All],[Company or Name]:[FromSite3]],16,FALSE),"")</f>
        <v>Madeira, 10 locations</v>
      </c>
      <c r="L148" s="20">
        <f>IFERROR(VLOOKUP(Table4[[#This Row],[FromSite-UPS]],Table1[[#All],[Company or Name]:[FromSite3]],14,FALSE),"")</f>
        <v>0.70833333333333337</v>
      </c>
      <c r="M148" s="13" t="s">
        <v>1011</v>
      </c>
      <c r="N148" s="20" t="s">
        <v>134</v>
      </c>
      <c r="O148" s="20">
        <v>2942611501</v>
      </c>
      <c r="P148" s="20" t="s">
        <v>134</v>
      </c>
      <c r="Q148" s="20" t="s">
        <v>1440</v>
      </c>
      <c r="R148" s="20" t="s">
        <v>1347</v>
      </c>
      <c r="S148" s="20" t="s">
        <v>125</v>
      </c>
      <c r="T148" s="20" t="s">
        <v>1549</v>
      </c>
      <c r="U148" s="20"/>
      <c r="V148" s="20" t="s">
        <v>1324</v>
      </c>
      <c r="W148" s="20" t="str">
        <f>TEXT(Table4[[#This Row],[Confirmed Sampling Date]], "yyyy") &amp; "_" &amp; TEXT(Table4[[#This Row],[Confirmed Sampling Date]], "mm") &amp; "_" &amp; TEXT(Table4[[#This Row],[Confirmed Sampling Date]], "dd")</f>
        <v>2025_08_27</v>
      </c>
      <c r="X148" s="20" t="str">
        <f t="shared" si="2"/>
        <v>Funchal</v>
      </c>
      <c r="Y148" s="20" t="str">
        <f>VLOOKUP(Table4[[#This Row],[FromSite-UPS]],Table1[[Company or Name]:[NOTES]],2,FALSE)</f>
        <v>Portugal</v>
      </c>
      <c r="Z148" s="20">
        <f>IFERROR(WEEKNUM(Table4[[#This Row],[Confirmed Sampling Date]] - 10, 21), "TBD")</f>
        <v>33</v>
      </c>
      <c r="AA148" s="20" t="str">
        <f>_xlfn.XLOOKUP(Table4[[#This Row],[FromSite-UPS]],sites!D:D,sites!W:W,"",0)</f>
        <v>R. do Matadouro 4, Funchal, 9050-100, Portugal</v>
      </c>
      <c r="AB148" s="20" t="str">
        <f>_xlfn.XLOOKUP(Table4[[#This Row],[ToLab]],labs!D:D,labs!P:P,"no adres",0)</f>
        <v>Av. Rovisco Pais 1, Laboratorio de Analises de Agua, Lisbon, 1049-001, Portugal</v>
      </c>
      <c r="AC148" s="20">
        <f>_xlfn.XLOOKUP(Table4[[#This Row],[combi]],AREA!E:E,AREA!F:F,"",0)</f>
        <v>89</v>
      </c>
      <c r="AD148" s="20" t="str">
        <f>_xlfn.XLOOKUP(Table4[[#This Row],[combi]],AREA!E:E,AREA!G:G,"",0)</f>
        <v>Pick-up service of hypothetic package as defined in the Tech. Specs. and delivery to lots
2 and 3 contractors according to Scenario 1</v>
      </c>
      <c r="AE148" s="20" t="s">
        <v>125</v>
      </c>
      <c r="AF148" s="20" t="str">
        <f>_xlfn.XLOOKUP(Table4[[#This Row],[FromSite-UPS]],sites!D:D,sites!AB:AB,"",0)&amp;_xlfn.XLOOKUP(Table4[[#This Row],[ToLab]],labs!D:D,labs!Q:Q,"",0)</f>
        <v>EUEU</v>
      </c>
    </row>
    <row r="149" spans="2:32" ht="15.6" hidden="1" customHeight="1" x14ac:dyDescent="0.25">
      <c r="B149" s="13">
        <v>393</v>
      </c>
      <c r="C149" s="14" t="s">
        <v>53</v>
      </c>
      <c r="D149" s="13">
        <v>1</v>
      </c>
      <c r="E149" s="79">
        <v>45896</v>
      </c>
      <c r="F149" s="80">
        <v>45897</v>
      </c>
      <c r="G149" s="20">
        <f>IFERROR(WEEKNUM(Table4[[#This Row],[Confirmed Pick-up Date]]),"TBD")</f>
        <v>35</v>
      </c>
      <c r="H149" s="20" t="str">
        <f>IFERROR(TEXT(Table4[[#This Row],[Confirmed Pick-up Date]],"yy-mm"),"TBD")</f>
        <v>25-08</v>
      </c>
      <c r="I149" s="78" t="s">
        <v>1628</v>
      </c>
      <c r="J149" s="20" t="str">
        <f>IFERROR(VLOOKUP(Table4[[#This Row],[FromSite-UPS]],Table1[[#All],[Company or Name]:[FromSite3]],15,FALSE),"")</f>
        <v>Funchal WWTP</v>
      </c>
      <c r="K149" s="20" t="str">
        <f>IFERROR(VLOOKUP(Table4[[#This Row],[FromSite-UPS]],Table1[[#All],[Company or Name]:[FromSite3]],16,FALSE),"")</f>
        <v>Madeira, 10 locations</v>
      </c>
      <c r="L149" s="20">
        <f>IFERROR(VLOOKUP(Table4[[#This Row],[FromSite-UPS]],Table1[[#All],[Company or Name]:[FromSite3]],14,FALSE),"")</f>
        <v>0.70833333333333337</v>
      </c>
      <c r="M149" s="13" t="s">
        <v>1011</v>
      </c>
      <c r="N149" s="20" t="s">
        <v>134</v>
      </c>
      <c r="O149" s="20">
        <v>2942611501</v>
      </c>
      <c r="P149" s="20" t="s">
        <v>134</v>
      </c>
      <c r="Q149" s="20" t="s">
        <v>1440</v>
      </c>
      <c r="R149" s="20" t="s">
        <v>1346</v>
      </c>
      <c r="S149" s="20" t="s">
        <v>125</v>
      </c>
      <c r="T149" s="20" t="s">
        <v>1549</v>
      </c>
      <c r="U149" s="20"/>
      <c r="V149" s="20" t="s">
        <v>1325</v>
      </c>
      <c r="W149" s="20" t="str">
        <f>TEXT(Table4[[#This Row],[Confirmed Sampling Date]], "yyyy") &amp; "_" &amp; TEXT(Table4[[#This Row],[Confirmed Sampling Date]], "mm") &amp; "_" &amp; TEXT(Table4[[#This Row],[Confirmed Sampling Date]], "dd")</f>
        <v>2025_08_27</v>
      </c>
      <c r="X149" s="20" t="str">
        <f t="shared" si="2"/>
        <v>Funchal</v>
      </c>
      <c r="Y149" s="20" t="str">
        <f>VLOOKUP(Table4[[#This Row],[FromSite-UPS]],Table1[[Company or Name]:[NOTES]],2,FALSE)</f>
        <v>Portugal</v>
      </c>
      <c r="Z149" s="20">
        <f>IFERROR(WEEKNUM(Table4[[#This Row],[Confirmed Sampling Date]] - 10, 21), "TBD")</f>
        <v>33</v>
      </c>
      <c r="AA149" s="20" t="str">
        <f>_xlfn.XLOOKUP(Table4[[#This Row],[FromSite-UPS]],sites!D:D,sites!W:W,"",0)</f>
        <v>R. do Matadouro 4, Funchal, 9050-100, Portugal</v>
      </c>
      <c r="AB149" s="20" t="str">
        <f>_xlfn.XLOOKUP(Table4[[#This Row],[ToLab]],labs!D:D,labs!P:P,"no adres",0)</f>
        <v>Av. Rovisco Pais 1, Laboratorio de Analises de Agua, Lisbon, 1049-001, Portugal</v>
      </c>
      <c r="AC149" s="20">
        <f>_xlfn.XLOOKUP(Table4[[#This Row],[combi]],AREA!E:E,AREA!F:F,"",0)</f>
        <v>89</v>
      </c>
      <c r="AD149" s="20" t="str">
        <f>_xlfn.XLOOKUP(Table4[[#This Row],[combi]],AREA!E:E,AREA!G:G,"",0)</f>
        <v>Pick-up service of hypothetic package as defined in the Tech. Specs. and delivery to lots
2 and 3 contractors according to Scenario 1</v>
      </c>
      <c r="AE149" s="20" t="s">
        <v>125</v>
      </c>
      <c r="AF149" s="20" t="str">
        <f>_xlfn.XLOOKUP(Table4[[#This Row],[FromSite-UPS]],sites!D:D,sites!AB:AB,"",0)&amp;_xlfn.XLOOKUP(Table4[[#This Row],[ToLab]],labs!D:D,labs!Q:Q,"",0)</f>
        <v>EUEU</v>
      </c>
    </row>
    <row r="150" spans="2:32" ht="15.6" hidden="1" customHeight="1" x14ac:dyDescent="0.25">
      <c r="B150" s="13">
        <v>403</v>
      </c>
      <c r="C150" s="14" t="s">
        <v>53</v>
      </c>
      <c r="D150" s="13">
        <v>1</v>
      </c>
      <c r="E150" s="79">
        <v>45896</v>
      </c>
      <c r="F150" s="81">
        <v>45897</v>
      </c>
      <c r="G150" s="20">
        <f>IFERROR(WEEKNUM(Table4[[#This Row],[Confirmed Pick-up Date]]),"TBD")</f>
        <v>35</v>
      </c>
      <c r="H150" s="20" t="str">
        <f>IFERROR(TEXT(Table4[[#This Row],[Confirmed Pick-up Date]],"yy-mm"),"TBD")</f>
        <v>25-08</v>
      </c>
      <c r="I150" s="67" t="s">
        <v>1628</v>
      </c>
      <c r="J150" s="20" t="str">
        <f>IFERROR(VLOOKUP(Table4[[#This Row],[FromSite-UPS]],Table1[[#All],[Company or Name]:[FromSite3]],15,FALSE),"")</f>
        <v>Funchal WWTP</v>
      </c>
      <c r="K150" s="20" t="str">
        <f>IFERROR(VLOOKUP(Table4[[#This Row],[FromSite-UPS]],Table1[[#All],[Company or Name]:[FromSite3]],16,FALSE),"")</f>
        <v>Madeira, 10 locations</v>
      </c>
      <c r="L150" s="20">
        <f>IFERROR(VLOOKUP(Table4[[#This Row],[FromSite-UPS]],Table1[[#All],[Company or Name]:[FromSite3]],14,FALSE),"")</f>
        <v>0.70833333333333337</v>
      </c>
      <c r="M150" s="13" t="s">
        <v>1011</v>
      </c>
      <c r="N150" s="20" t="s">
        <v>134</v>
      </c>
      <c r="O150" s="20">
        <v>2942611501</v>
      </c>
      <c r="P150" s="20" t="s">
        <v>134</v>
      </c>
      <c r="Q150" s="20" t="s">
        <v>1440</v>
      </c>
      <c r="R150" s="20" t="s">
        <v>1345</v>
      </c>
      <c r="S150" s="20" t="s">
        <v>125</v>
      </c>
      <c r="T150" s="20" t="s">
        <v>1549</v>
      </c>
      <c r="U150" s="20"/>
      <c r="V150" s="20" t="s">
        <v>1326</v>
      </c>
      <c r="W150" s="20" t="str">
        <f>TEXT(Table4[[#This Row],[Confirmed Sampling Date]], "yyyy") &amp; "_" &amp; TEXT(Table4[[#This Row],[Confirmed Sampling Date]], "mm") &amp; "_" &amp; TEXT(Table4[[#This Row],[Confirmed Sampling Date]], "dd")</f>
        <v>2025_08_27</v>
      </c>
      <c r="X150" s="20" t="str">
        <f t="shared" si="2"/>
        <v>Funchal</v>
      </c>
      <c r="Y150" s="20" t="str">
        <f>VLOOKUP(Table4[[#This Row],[FromSite-UPS]],Table1[[Company or Name]:[NOTES]],2,FALSE)</f>
        <v>Portugal</v>
      </c>
      <c r="Z150" s="20">
        <f>IFERROR(WEEKNUM(Table4[[#This Row],[Confirmed Sampling Date]] - 10, 21), "TBD")</f>
        <v>33</v>
      </c>
      <c r="AA150" s="20" t="str">
        <f>_xlfn.XLOOKUP(Table4[[#This Row],[FromSite-UPS]],sites!D:D,sites!W:W,"",0)</f>
        <v>R. do Matadouro 4, Funchal, 9050-100, Portugal</v>
      </c>
      <c r="AB150" s="20" t="str">
        <f>_xlfn.XLOOKUP(Table4[[#This Row],[ToLab]],labs!D:D,labs!P:P,"no adres",0)</f>
        <v>Av. Rovisco Pais 1, Laboratorio de Analises de Agua, Lisbon, 1049-001, Portugal</v>
      </c>
      <c r="AC150" s="20">
        <f>_xlfn.XLOOKUP(Table4[[#This Row],[combi]],AREA!E:E,AREA!F:F,"",0)</f>
        <v>89</v>
      </c>
      <c r="AD150" s="20" t="str">
        <f>_xlfn.XLOOKUP(Table4[[#This Row],[combi]],AREA!E:E,AREA!G:G,"",0)</f>
        <v>Pick-up service of hypothetic package as defined in the Tech. Specs. and delivery to lots
2 and 3 contractors according to Scenario 1</v>
      </c>
      <c r="AE150" s="20" t="s">
        <v>125</v>
      </c>
      <c r="AF150" s="20" t="str">
        <f>_xlfn.XLOOKUP(Table4[[#This Row],[FromSite-UPS]],sites!D:D,sites!AB:AB,"",0)&amp;_xlfn.XLOOKUP(Table4[[#This Row],[ToLab]],labs!D:D,labs!Q:Q,"",0)</f>
        <v>EUEU</v>
      </c>
    </row>
    <row r="151" spans="2:32" ht="15.6" hidden="1" customHeight="1" x14ac:dyDescent="0.25">
      <c r="B151" s="13">
        <v>413</v>
      </c>
      <c r="C151" s="14" t="s">
        <v>53</v>
      </c>
      <c r="D151" s="13">
        <v>1</v>
      </c>
      <c r="E151" s="79">
        <v>45896</v>
      </c>
      <c r="F151" s="80">
        <v>45897</v>
      </c>
      <c r="G151" s="20">
        <f>IFERROR(WEEKNUM(Table4[[#This Row],[Confirmed Pick-up Date]]),"TBD")</f>
        <v>35</v>
      </c>
      <c r="H151" s="20" t="str">
        <f>IFERROR(TEXT(Table4[[#This Row],[Confirmed Pick-up Date]],"yy-mm"),"TBD")</f>
        <v>25-08</v>
      </c>
      <c r="I151" s="78" t="s">
        <v>1628</v>
      </c>
      <c r="J151" s="20" t="str">
        <f>IFERROR(VLOOKUP(Table4[[#This Row],[FromSite-UPS]],Table1[[#All],[Company or Name]:[FromSite3]],15,FALSE),"")</f>
        <v>Funchal WWTP</v>
      </c>
      <c r="K151" s="20" t="str">
        <f>IFERROR(VLOOKUP(Table4[[#This Row],[FromSite-UPS]],Table1[[#All],[Company or Name]:[FromSite3]],16,FALSE),"")</f>
        <v>Madeira, 10 locations</v>
      </c>
      <c r="L151" s="20">
        <f>IFERROR(VLOOKUP(Table4[[#This Row],[FromSite-UPS]],Table1[[#All],[Company or Name]:[FromSite3]],14,FALSE),"")</f>
        <v>0.70833333333333337</v>
      </c>
      <c r="M151" s="13" t="s">
        <v>1011</v>
      </c>
      <c r="N151" s="20" t="s">
        <v>134</v>
      </c>
      <c r="O151" s="20">
        <v>2942611501</v>
      </c>
      <c r="P151" s="20" t="s">
        <v>134</v>
      </c>
      <c r="Q151" s="20" t="s">
        <v>1440</v>
      </c>
      <c r="R151" s="20" t="s">
        <v>1344</v>
      </c>
      <c r="S151" s="20" t="s">
        <v>125</v>
      </c>
      <c r="T151" s="20" t="s">
        <v>1549</v>
      </c>
      <c r="U151" s="20"/>
      <c r="V151" s="20" t="s">
        <v>1327</v>
      </c>
      <c r="W151" s="20" t="str">
        <f>TEXT(Table4[[#This Row],[Confirmed Sampling Date]], "yyyy") &amp; "_" &amp; TEXT(Table4[[#This Row],[Confirmed Sampling Date]], "mm") &amp; "_" &amp; TEXT(Table4[[#This Row],[Confirmed Sampling Date]], "dd")</f>
        <v>2025_08_27</v>
      </c>
      <c r="X151" s="20" t="str">
        <f t="shared" si="2"/>
        <v>Funchal</v>
      </c>
      <c r="Y151" s="20" t="str">
        <f>VLOOKUP(Table4[[#This Row],[FromSite-UPS]],Table1[[Company or Name]:[NOTES]],2,FALSE)</f>
        <v>Portugal</v>
      </c>
      <c r="Z151" s="20">
        <f>IFERROR(WEEKNUM(Table4[[#This Row],[Confirmed Sampling Date]] - 10, 21), "TBD")</f>
        <v>33</v>
      </c>
      <c r="AA151" s="20" t="str">
        <f>_xlfn.XLOOKUP(Table4[[#This Row],[FromSite-UPS]],sites!D:D,sites!W:W,"",0)</f>
        <v>R. do Matadouro 4, Funchal, 9050-100, Portugal</v>
      </c>
      <c r="AB151" s="20" t="str">
        <f>_xlfn.XLOOKUP(Table4[[#This Row],[ToLab]],labs!D:D,labs!P:P,"no adres",0)</f>
        <v>Av. Rovisco Pais 1, Laboratorio de Analises de Agua, Lisbon, 1049-001, Portugal</v>
      </c>
      <c r="AC151" s="20">
        <f>_xlfn.XLOOKUP(Table4[[#This Row],[combi]],AREA!E:E,AREA!F:F,"",0)</f>
        <v>89</v>
      </c>
      <c r="AD151" s="20" t="str">
        <f>_xlfn.XLOOKUP(Table4[[#This Row],[combi]],AREA!E:E,AREA!G:G,"",0)</f>
        <v>Pick-up service of hypothetic package as defined in the Tech. Specs. and delivery to lots
2 and 3 contractors according to Scenario 1</v>
      </c>
      <c r="AE151" s="20" t="s">
        <v>125</v>
      </c>
      <c r="AF151" s="20" t="str">
        <f>_xlfn.XLOOKUP(Table4[[#This Row],[FromSite-UPS]],sites!D:D,sites!AB:AB,"",0)&amp;_xlfn.XLOOKUP(Table4[[#This Row],[ToLab]],labs!D:D,labs!Q:Q,"",0)</f>
        <v>EUEU</v>
      </c>
    </row>
    <row r="152" spans="2:32" ht="15.6" hidden="1" customHeight="1" x14ac:dyDescent="0.25">
      <c r="B152" s="13">
        <v>423</v>
      </c>
      <c r="C152" s="14" t="s">
        <v>53</v>
      </c>
      <c r="D152" s="13">
        <v>1</v>
      </c>
      <c r="E152" s="79">
        <v>45896</v>
      </c>
      <c r="F152" s="81">
        <v>45897</v>
      </c>
      <c r="G152" s="20">
        <f>IFERROR(WEEKNUM(Table4[[#This Row],[Confirmed Pick-up Date]]),"TBD")</f>
        <v>35</v>
      </c>
      <c r="H152" s="20" t="str">
        <f>IFERROR(TEXT(Table4[[#This Row],[Confirmed Pick-up Date]],"yy-mm"),"TBD")</f>
        <v>25-08</v>
      </c>
      <c r="I152" s="78" t="s">
        <v>1628</v>
      </c>
      <c r="J152" s="20" t="str">
        <f>IFERROR(VLOOKUP(Table4[[#This Row],[FromSite-UPS]],Table1[[#All],[Company or Name]:[FromSite3]],15,FALSE),"")</f>
        <v>Funchal WWTP</v>
      </c>
      <c r="K152" s="20" t="str">
        <f>IFERROR(VLOOKUP(Table4[[#This Row],[FromSite-UPS]],Table1[[#All],[Company or Name]:[FromSite3]],16,FALSE),"")</f>
        <v>Madeira, 10 locations</v>
      </c>
      <c r="L152" s="20">
        <f>IFERROR(VLOOKUP(Table4[[#This Row],[FromSite-UPS]],Table1[[#All],[Company or Name]:[FromSite3]],14,FALSE),"")</f>
        <v>0.70833333333333337</v>
      </c>
      <c r="M152" s="13" t="s">
        <v>1011</v>
      </c>
      <c r="N152" s="20" t="s">
        <v>134</v>
      </c>
      <c r="O152" s="20">
        <v>2942611501</v>
      </c>
      <c r="P152" s="20" t="s">
        <v>134</v>
      </c>
      <c r="Q152" s="20" t="s">
        <v>1440</v>
      </c>
      <c r="R152" s="20" t="s">
        <v>1343</v>
      </c>
      <c r="S152" s="20" t="s">
        <v>125</v>
      </c>
      <c r="T152" s="20" t="s">
        <v>1549</v>
      </c>
      <c r="U152" s="20"/>
      <c r="V152" s="20" t="s">
        <v>1328</v>
      </c>
      <c r="W152" s="20" t="str">
        <f>TEXT(Table4[[#This Row],[Confirmed Sampling Date]], "yyyy") &amp; "_" &amp; TEXT(Table4[[#This Row],[Confirmed Sampling Date]], "mm") &amp; "_" &amp; TEXT(Table4[[#This Row],[Confirmed Sampling Date]], "dd")</f>
        <v>2025_08_27</v>
      </c>
      <c r="X152" s="20" t="str">
        <f t="shared" si="2"/>
        <v>Funchal</v>
      </c>
      <c r="Y152" s="20" t="str">
        <f>VLOOKUP(Table4[[#This Row],[FromSite-UPS]],Table1[[Company or Name]:[NOTES]],2,FALSE)</f>
        <v>Portugal</v>
      </c>
      <c r="Z152" s="20">
        <f>IFERROR(WEEKNUM(Table4[[#This Row],[Confirmed Sampling Date]] - 10, 21), "TBD")</f>
        <v>33</v>
      </c>
      <c r="AA152" s="20" t="str">
        <f>_xlfn.XLOOKUP(Table4[[#This Row],[FromSite-UPS]],sites!D:D,sites!W:W,"",0)</f>
        <v>R. do Matadouro 4, Funchal, 9050-100, Portugal</v>
      </c>
      <c r="AB152" s="20" t="str">
        <f>_xlfn.XLOOKUP(Table4[[#This Row],[ToLab]],labs!D:D,labs!P:P,"no adres",0)</f>
        <v>Av. Rovisco Pais 1, Laboratorio de Analises de Agua, Lisbon, 1049-001, Portugal</v>
      </c>
      <c r="AC152" s="20">
        <f>_xlfn.XLOOKUP(Table4[[#This Row],[combi]],AREA!E:E,AREA!F:F,"",0)</f>
        <v>89</v>
      </c>
      <c r="AD152" s="20" t="str">
        <f>_xlfn.XLOOKUP(Table4[[#This Row],[combi]],AREA!E:E,AREA!G:G,"",0)</f>
        <v>Pick-up service of hypothetic package as defined in the Tech. Specs. and delivery to lots
2 and 3 contractors according to Scenario 1</v>
      </c>
      <c r="AE152" s="20" t="s">
        <v>125</v>
      </c>
      <c r="AF152" s="20" t="str">
        <f>_xlfn.XLOOKUP(Table4[[#This Row],[FromSite-UPS]],sites!D:D,sites!AB:AB,"",0)&amp;_xlfn.XLOOKUP(Table4[[#This Row],[ToLab]],labs!D:D,labs!Q:Q,"",0)</f>
        <v>EUEU</v>
      </c>
    </row>
    <row r="153" spans="2:32" ht="15.6" hidden="1" customHeight="1" x14ac:dyDescent="0.25">
      <c r="B153" s="13">
        <v>433</v>
      </c>
      <c r="C153" s="14" t="s">
        <v>53</v>
      </c>
      <c r="D153" s="13">
        <v>1</v>
      </c>
      <c r="E153" s="79">
        <v>45896</v>
      </c>
      <c r="F153" s="81">
        <v>45897</v>
      </c>
      <c r="G153" s="20">
        <f>IFERROR(WEEKNUM(Table4[[#This Row],[Confirmed Pick-up Date]]),"TBD")</f>
        <v>35</v>
      </c>
      <c r="H153" s="20" t="str">
        <f>IFERROR(TEXT(Table4[[#This Row],[Confirmed Pick-up Date]],"yy-mm"),"TBD")</f>
        <v>25-08</v>
      </c>
      <c r="I153" s="78" t="s">
        <v>1628</v>
      </c>
      <c r="J153" s="20" t="str">
        <f>IFERROR(VLOOKUP(Table4[[#This Row],[FromSite-UPS]],Table1[[#All],[Company or Name]:[FromSite3]],15,FALSE),"")</f>
        <v>Funchal WWTP</v>
      </c>
      <c r="K153" s="20" t="str">
        <f>IFERROR(VLOOKUP(Table4[[#This Row],[FromSite-UPS]],Table1[[#All],[Company or Name]:[FromSite3]],16,FALSE),"")</f>
        <v>Madeira, 10 locations</v>
      </c>
      <c r="L153" s="20">
        <f>IFERROR(VLOOKUP(Table4[[#This Row],[FromSite-UPS]],Table1[[#All],[Company or Name]:[FromSite3]],14,FALSE),"")</f>
        <v>0.70833333333333337</v>
      </c>
      <c r="M153" s="13" t="s">
        <v>1011</v>
      </c>
      <c r="N153" s="20" t="s">
        <v>134</v>
      </c>
      <c r="O153" s="20">
        <v>2942611501</v>
      </c>
      <c r="P153" s="20" t="s">
        <v>134</v>
      </c>
      <c r="Q153" s="20" t="s">
        <v>1440</v>
      </c>
      <c r="R153" s="20" t="s">
        <v>1342</v>
      </c>
      <c r="S153" s="20" t="s">
        <v>125</v>
      </c>
      <c r="T153" s="20" t="s">
        <v>1549</v>
      </c>
      <c r="U153" s="20"/>
      <c r="V153" s="20" t="s">
        <v>1330</v>
      </c>
      <c r="W153" s="20" t="str">
        <f>TEXT(Table4[[#This Row],[Confirmed Sampling Date]], "yyyy") &amp; "_" &amp; TEXT(Table4[[#This Row],[Confirmed Sampling Date]], "mm") &amp; "_" &amp; TEXT(Table4[[#This Row],[Confirmed Sampling Date]], "dd")</f>
        <v>2025_08_27</v>
      </c>
      <c r="X153" s="20" t="str">
        <f t="shared" si="2"/>
        <v>Funchal</v>
      </c>
      <c r="Y153" s="20" t="str">
        <f>VLOOKUP(Table4[[#This Row],[FromSite-UPS]],Table1[[Company or Name]:[NOTES]],2,FALSE)</f>
        <v>Portugal</v>
      </c>
      <c r="Z153" s="20">
        <f>IFERROR(WEEKNUM(Table4[[#This Row],[Confirmed Sampling Date]] - 10, 21), "TBD")</f>
        <v>33</v>
      </c>
      <c r="AA153" s="20" t="str">
        <f>_xlfn.XLOOKUP(Table4[[#This Row],[FromSite-UPS]],sites!D:D,sites!W:W,"",0)</f>
        <v>R. do Matadouro 4, Funchal, 9050-100, Portugal</v>
      </c>
      <c r="AB153" s="20" t="str">
        <f>_xlfn.XLOOKUP(Table4[[#This Row],[ToLab]],labs!D:D,labs!P:P,"no adres",0)</f>
        <v>Av. Rovisco Pais 1, Laboratorio de Analises de Agua, Lisbon, 1049-001, Portugal</v>
      </c>
      <c r="AC153" s="20">
        <f>_xlfn.XLOOKUP(Table4[[#This Row],[combi]],AREA!E:E,AREA!F:F,"",0)</f>
        <v>89</v>
      </c>
      <c r="AD153" s="20" t="str">
        <f>_xlfn.XLOOKUP(Table4[[#This Row],[combi]],AREA!E:E,AREA!G:G,"",0)</f>
        <v>Pick-up service of hypothetic package as defined in the Tech. Specs. and delivery to lots
2 and 3 contractors according to Scenario 1</v>
      </c>
      <c r="AE153" s="20" t="s">
        <v>125</v>
      </c>
      <c r="AF153" s="20" t="str">
        <f>_xlfn.XLOOKUP(Table4[[#This Row],[FromSite-UPS]],sites!D:D,sites!AB:AB,"",0)&amp;_xlfn.XLOOKUP(Table4[[#This Row],[ToLab]],labs!D:D,labs!Q:Q,"",0)</f>
        <v>EUEU</v>
      </c>
    </row>
    <row r="154" spans="2:32" ht="15.6" hidden="1" customHeight="1" x14ac:dyDescent="0.25">
      <c r="B154" s="13">
        <v>443</v>
      </c>
      <c r="C154" s="14" t="s">
        <v>53</v>
      </c>
      <c r="D154" s="13">
        <v>1</v>
      </c>
      <c r="E154" s="79">
        <v>45896</v>
      </c>
      <c r="F154" s="80">
        <v>45897</v>
      </c>
      <c r="G154" s="20">
        <f>IFERROR(WEEKNUM(Table4[[#This Row],[Confirmed Pick-up Date]]),"TBD")</f>
        <v>35</v>
      </c>
      <c r="H154" s="20" t="str">
        <f>IFERROR(TEXT(Table4[[#This Row],[Confirmed Pick-up Date]],"yy-mm"),"TBD")</f>
        <v>25-08</v>
      </c>
      <c r="I154" s="78" t="s">
        <v>1628</v>
      </c>
      <c r="J154" s="20" t="str">
        <f>IFERROR(VLOOKUP(Table4[[#This Row],[FromSite-UPS]],Table1[[#All],[Company or Name]:[FromSite3]],15,FALSE),"")</f>
        <v>Funchal WWTP</v>
      </c>
      <c r="K154" s="20" t="str">
        <f>IFERROR(VLOOKUP(Table4[[#This Row],[FromSite-UPS]],Table1[[#All],[Company or Name]:[FromSite3]],16,FALSE),"")</f>
        <v>Madeira, 10 locations</v>
      </c>
      <c r="L154" s="20">
        <f>IFERROR(VLOOKUP(Table4[[#This Row],[FromSite-UPS]],Table1[[#All],[Company or Name]:[FromSite3]],14,FALSE),"")</f>
        <v>0.70833333333333337</v>
      </c>
      <c r="M154" s="13" t="s">
        <v>1011</v>
      </c>
      <c r="N154" s="20" t="s">
        <v>134</v>
      </c>
      <c r="O154" s="20">
        <v>2942611501</v>
      </c>
      <c r="P154" s="20" t="s">
        <v>134</v>
      </c>
      <c r="Q154" s="20" t="s">
        <v>1440</v>
      </c>
      <c r="R154" s="20" t="s">
        <v>1341</v>
      </c>
      <c r="S154" s="20" t="s">
        <v>125</v>
      </c>
      <c r="T154" s="20" t="s">
        <v>1549</v>
      </c>
      <c r="U154" s="20"/>
      <c r="V154" s="20" t="s">
        <v>1329</v>
      </c>
      <c r="W154" s="20" t="str">
        <f>TEXT(Table4[[#This Row],[Confirmed Sampling Date]], "yyyy") &amp; "_" &amp; TEXT(Table4[[#This Row],[Confirmed Sampling Date]], "mm") &amp; "_" &amp; TEXT(Table4[[#This Row],[Confirmed Sampling Date]], "dd")</f>
        <v>2025_08_27</v>
      </c>
      <c r="X154" s="20" t="str">
        <f t="shared" si="2"/>
        <v>Funchal</v>
      </c>
      <c r="Y154" s="20" t="str">
        <f>VLOOKUP(Table4[[#This Row],[FromSite-UPS]],Table1[[Company or Name]:[NOTES]],2,FALSE)</f>
        <v>Portugal</v>
      </c>
      <c r="Z154" s="20">
        <f>IFERROR(WEEKNUM(Table4[[#This Row],[Confirmed Sampling Date]] - 10, 21), "TBD")</f>
        <v>33</v>
      </c>
      <c r="AA154" s="20" t="str">
        <f>_xlfn.XLOOKUP(Table4[[#This Row],[FromSite-UPS]],sites!D:D,sites!W:W,"",0)</f>
        <v>R. do Matadouro 4, Funchal, 9050-100, Portugal</v>
      </c>
      <c r="AB154" s="20" t="str">
        <f>_xlfn.XLOOKUP(Table4[[#This Row],[ToLab]],labs!D:D,labs!P:P,"no adres",0)</f>
        <v>Av. Rovisco Pais 1, Laboratorio de Analises de Agua, Lisbon, 1049-001, Portugal</v>
      </c>
      <c r="AC154" s="20">
        <f>_xlfn.XLOOKUP(Table4[[#This Row],[combi]],AREA!E:E,AREA!F:F,"",0)</f>
        <v>89</v>
      </c>
      <c r="AD154" s="20" t="str">
        <f>_xlfn.XLOOKUP(Table4[[#This Row],[combi]],AREA!E:E,AREA!G:G,"",0)</f>
        <v>Pick-up service of hypothetic package as defined in the Tech. Specs. and delivery to lots
2 and 3 contractors according to Scenario 1</v>
      </c>
      <c r="AE154" s="20" t="s">
        <v>125</v>
      </c>
      <c r="AF154" s="20" t="str">
        <f>_xlfn.XLOOKUP(Table4[[#This Row],[FromSite-UPS]],sites!D:D,sites!AB:AB,"",0)&amp;_xlfn.XLOOKUP(Table4[[#This Row],[ToLab]],labs!D:D,labs!Q:Q,"",0)</f>
        <v>EUEU</v>
      </c>
    </row>
    <row r="155" spans="2:32" ht="15.6" hidden="1" customHeight="1" x14ac:dyDescent="0.25">
      <c r="B155" s="13">
        <v>453</v>
      </c>
      <c r="C155" s="14" t="s">
        <v>53</v>
      </c>
      <c r="D155" s="13">
        <v>1</v>
      </c>
      <c r="E155" s="79">
        <v>45896</v>
      </c>
      <c r="F155" s="80">
        <v>45897</v>
      </c>
      <c r="G155" s="20">
        <f>IFERROR(WEEKNUM(Table4[[#This Row],[Confirmed Pick-up Date]]),"TBD")</f>
        <v>35</v>
      </c>
      <c r="H155" s="20" t="str">
        <f>IFERROR(TEXT(Table4[[#This Row],[Confirmed Pick-up Date]],"yy-mm"),"TBD")</f>
        <v>25-08</v>
      </c>
      <c r="I155" s="78" t="s">
        <v>1628</v>
      </c>
      <c r="J155" s="20" t="str">
        <f>IFERROR(VLOOKUP(Table4[[#This Row],[FromSite-UPS]],Table1[[#All],[Company or Name]:[FromSite3]],15,FALSE),"")</f>
        <v>Funchal WWTP</v>
      </c>
      <c r="K155" s="20" t="str">
        <f>IFERROR(VLOOKUP(Table4[[#This Row],[FromSite-UPS]],Table1[[#All],[Company or Name]:[FromSite3]],16,FALSE),"")</f>
        <v>Madeira, 10 locations</v>
      </c>
      <c r="L155" s="20">
        <f>IFERROR(VLOOKUP(Table4[[#This Row],[FromSite-UPS]],Table1[[#All],[Company or Name]:[FromSite3]],14,FALSE),"")</f>
        <v>0.70833333333333337</v>
      </c>
      <c r="M155" s="13" t="s">
        <v>1011</v>
      </c>
      <c r="N155" s="20" t="s">
        <v>134</v>
      </c>
      <c r="O155" s="20">
        <v>2942611501</v>
      </c>
      <c r="P155" s="20" t="s">
        <v>134</v>
      </c>
      <c r="Q155" s="20" t="s">
        <v>1440</v>
      </c>
      <c r="R155" s="20" t="s">
        <v>1340</v>
      </c>
      <c r="S155" s="20" t="s">
        <v>125</v>
      </c>
      <c r="T155" s="20" t="s">
        <v>1549</v>
      </c>
      <c r="U155" s="20"/>
      <c r="V155" s="20" t="s">
        <v>1331</v>
      </c>
      <c r="W155" s="20" t="str">
        <f>TEXT(Table4[[#This Row],[Confirmed Sampling Date]], "yyyy") &amp; "_" &amp; TEXT(Table4[[#This Row],[Confirmed Sampling Date]], "mm") &amp; "_" &amp; TEXT(Table4[[#This Row],[Confirmed Sampling Date]], "dd")</f>
        <v>2025_08_27</v>
      </c>
      <c r="X155" s="20" t="str">
        <f t="shared" si="2"/>
        <v>Funchal</v>
      </c>
      <c r="Y155" s="20" t="str">
        <f>VLOOKUP(Table4[[#This Row],[FromSite-UPS]],Table1[[Company or Name]:[NOTES]],2,FALSE)</f>
        <v>Portugal</v>
      </c>
      <c r="Z155" s="20">
        <f>IFERROR(WEEKNUM(Table4[[#This Row],[Confirmed Sampling Date]] - 10, 21), "TBD")</f>
        <v>33</v>
      </c>
      <c r="AA155" s="20" t="str">
        <f>_xlfn.XLOOKUP(Table4[[#This Row],[FromSite-UPS]],sites!D:D,sites!W:W,"",0)</f>
        <v>R. do Matadouro 4, Funchal, 9050-100, Portugal</v>
      </c>
      <c r="AB155" s="20" t="str">
        <f>_xlfn.XLOOKUP(Table4[[#This Row],[ToLab]],labs!D:D,labs!P:P,"no adres",0)</f>
        <v>Av. Rovisco Pais 1, Laboratorio de Analises de Agua, Lisbon, 1049-001, Portugal</v>
      </c>
      <c r="AC155" s="20">
        <f>_xlfn.XLOOKUP(Table4[[#This Row],[combi]],AREA!E:E,AREA!F:F,"",0)</f>
        <v>89</v>
      </c>
      <c r="AD155" s="20" t="str">
        <f>_xlfn.XLOOKUP(Table4[[#This Row],[combi]],AREA!E:E,AREA!G:G,"",0)</f>
        <v>Pick-up service of hypothetic package as defined in the Tech. Specs. and delivery to lots
2 and 3 contractors according to Scenario 1</v>
      </c>
      <c r="AE155" s="20" t="s">
        <v>125</v>
      </c>
      <c r="AF155" s="20" t="str">
        <f>_xlfn.XLOOKUP(Table4[[#This Row],[FromSite-UPS]],sites!D:D,sites!AB:AB,"",0)&amp;_xlfn.XLOOKUP(Table4[[#This Row],[ToLab]],labs!D:D,labs!Q:Q,"",0)</f>
        <v>EUEU</v>
      </c>
    </row>
    <row r="156" spans="2:32" ht="15.6" hidden="1" customHeight="1" x14ac:dyDescent="0.25">
      <c r="B156" s="13">
        <v>463</v>
      </c>
      <c r="C156" s="14" t="s">
        <v>53</v>
      </c>
      <c r="D156" s="13">
        <v>1</v>
      </c>
      <c r="E156" s="79">
        <v>45896</v>
      </c>
      <c r="F156" s="80">
        <v>45897</v>
      </c>
      <c r="G156" s="20">
        <f>IFERROR(WEEKNUM(Table4[[#This Row],[Confirmed Pick-up Date]]),"TBD")</f>
        <v>35</v>
      </c>
      <c r="H156" s="20" t="str">
        <f>IFERROR(TEXT(Table4[[#This Row],[Confirmed Pick-up Date]],"yy-mm"),"TBD")</f>
        <v>25-08</v>
      </c>
      <c r="I156" s="78" t="s">
        <v>1628</v>
      </c>
      <c r="J156" s="20" t="str">
        <f>IFERROR(VLOOKUP(Table4[[#This Row],[FromSite-UPS]],Table1[[#All],[Company or Name]:[FromSite3]],15,FALSE),"")</f>
        <v>Funchal WWTP</v>
      </c>
      <c r="K156" s="20" t="str">
        <f>IFERROR(VLOOKUP(Table4[[#This Row],[FromSite-UPS]],Table1[[#All],[Company or Name]:[FromSite3]],16,FALSE),"")</f>
        <v>Madeira, 10 locations</v>
      </c>
      <c r="L156" s="20">
        <f>IFERROR(VLOOKUP(Table4[[#This Row],[FromSite-UPS]],Table1[[#All],[Company or Name]:[FromSite3]],14,FALSE),"")</f>
        <v>0.70833333333333337</v>
      </c>
      <c r="M156" s="13" t="s">
        <v>1011</v>
      </c>
      <c r="N156" s="20" t="s">
        <v>134</v>
      </c>
      <c r="O156" s="20">
        <v>2942611501</v>
      </c>
      <c r="P156" s="20" t="s">
        <v>134</v>
      </c>
      <c r="Q156" s="20" t="s">
        <v>1440</v>
      </c>
      <c r="R156" s="20" t="s">
        <v>1339</v>
      </c>
      <c r="S156" s="20" t="s">
        <v>125</v>
      </c>
      <c r="T156" s="20" t="s">
        <v>1549</v>
      </c>
      <c r="U156" s="20"/>
      <c r="V156" s="20" t="s">
        <v>1332</v>
      </c>
      <c r="W156" s="20" t="str">
        <f>TEXT(Table4[[#This Row],[Confirmed Sampling Date]], "yyyy") &amp; "_" &amp; TEXT(Table4[[#This Row],[Confirmed Sampling Date]], "mm") &amp; "_" &amp; TEXT(Table4[[#This Row],[Confirmed Sampling Date]], "dd")</f>
        <v>2025_08_27</v>
      </c>
      <c r="X156" s="20" t="str">
        <f t="shared" si="2"/>
        <v>Funchal</v>
      </c>
      <c r="Y156" s="20" t="str">
        <f>VLOOKUP(Table4[[#This Row],[FromSite-UPS]],Table1[[Company or Name]:[NOTES]],2,FALSE)</f>
        <v>Portugal</v>
      </c>
      <c r="Z156" s="20">
        <f>IFERROR(WEEKNUM(Table4[[#This Row],[Confirmed Sampling Date]] - 10, 21), "TBD")</f>
        <v>33</v>
      </c>
      <c r="AA156" s="20" t="str">
        <f>_xlfn.XLOOKUP(Table4[[#This Row],[FromSite-UPS]],sites!D:D,sites!W:W,"",0)</f>
        <v>R. do Matadouro 4, Funchal, 9050-100, Portugal</v>
      </c>
      <c r="AB156" s="20" t="str">
        <f>_xlfn.XLOOKUP(Table4[[#This Row],[ToLab]],labs!D:D,labs!P:P,"no adres",0)</f>
        <v>Av. Rovisco Pais 1, Laboratorio de Analises de Agua, Lisbon, 1049-001, Portugal</v>
      </c>
      <c r="AC156" s="20">
        <f>_xlfn.XLOOKUP(Table4[[#This Row],[combi]],AREA!E:E,AREA!F:F,"",0)</f>
        <v>89</v>
      </c>
      <c r="AD156" s="20" t="str">
        <f>_xlfn.XLOOKUP(Table4[[#This Row],[combi]],AREA!E:E,AREA!G:G,"",0)</f>
        <v>Pick-up service of hypothetic package as defined in the Tech. Specs. and delivery to lots
2 and 3 contractors according to Scenario 1</v>
      </c>
      <c r="AE156" s="20" t="s">
        <v>125</v>
      </c>
      <c r="AF156" s="20" t="str">
        <f>_xlfn.XLOOKUP(Table4[[#This Row],[FromSite-UPS]],sites!D:D,sites!AB:AB,"",0)&amp;_xlfn.XLOOKUP(Table4[[#This Row],[ToLab]],labs!D:D,labs!Q:Q,"",0)</f>
        <v>EUEU</v>
      </c>
    </row>
    <row r="157" spans="2:32" ht="15.6" hidden="1" customHeight="1" x14ac:dyDescent="0.25">
      <c r="B157" s="13">
        <v>473</v>
      </c>
      <c r="C157" s="14" t="s">
        <v>53</v>
      </c>
      <c r="D157" s="13">
        <v>1</v>
      </c>
      <c r="E157" s="79">
        <v>45896</v>
      </c>
      <c r="F157" s="80">
        <v>45897</v>
      </c>
      <c r="G157" s="20">
        <f>IFERROR(WEEKNUM(Table4[[#This Row],[Confirmed Pick-up Date]]),"TBD")</f>
        <v>35</v>
      </c>
      <c r="H157" s="20" t="str">
        <f>IFERROR(TEXT(Table4[[#This Row],[Confirmed Pick-up Date]],"yy-mm"),"TBD")</f>
        <v>25-08</v>
      </c>
      <c r="I157" s="78" t="s">
        <v>1628</v>
      </c>
      <c r="J157" s="20" t="str">
        <f>IFERROR(VLOOKUP(Table4[[#This Row],[FromSite-UPS]],Table1[[#All],[Company or Name]:[FromSite3]],15,FALSE),"")</f>
        <v>Funchal WWTP</v>
      </c>
      <c r="K157" s="20" t="str">
        <f>IFERROR(VLOOKUP(Table4[[#This Row],[FromSite-UPS]],Table1[[#All],[Company or Name]:[FromSite3]],16,FALSE),"")</f>
        <v>Madeira, 10 locations</v>
      </c>
      <c r="L157" s="20">
        <f>IFERROR(VLOOKUP(Table4[[#This Row],[FromSite-UPS]],Table1[[#All],[Company or Name]:[FromSite3]],14,FALSE),"")</f>
        <v>0.70833333333333337</v>
      </c>
      <c r="M157" s="13" t="s">
        <v>1011</v>
      </c>
      <c r="N157" s="20" t="s">
        <v>134</v>
      </c>
      <c r="O157" s="20">
        <v>2942611501</v>
      </c>
      <c r="P157" s="20" t="s">
        <v>134</v>
      </c>
      <c r="Q157" s="20" t="s">
        <v>1440</v>
      </c>
      <c r="R157" s="20" t="s">
        <v>1338</v>
      </c>
      <c r="S157" s="20" t="s">
        <v>125</v>
      </c>
      <c r="T157" s="20" t="s">
        <v>1549</v>
      </c>
      <c r="U157" s="20"/>
      <c r="V157" s="20" t="s">
        <v>1333</v>
      </c>
      <c r="W157" s="20" t="str">
        <f>TEXT(Table4[[#This Row],[Confirmed Sampling Date]], "yyyy") &amp; "_" &amp; TEXT(Table4[[#This Row],[Confirmed Sampling Date]], "mm") &amp; "_" &amp; TEXT(Table4[[#This Row],[Confirmed Sampling Date]], "dd")</f>
        <v>2025_08_27</v>
      </c>
      <c r="X157" s="20" t="str">
        <f t="shared" si="2"/>
        <v>Funchal</v>
      </c>
      <c r="Y157" s="20" t="str">
        <f>VLOOKUP(Table4[[#This Row],[FromSite-UPS]],Table1[[Company or Name]:[NOTES]],2,FALSE)</f>
        <v>Portugal</v>
      </c>
      <c r="Z157" s="20">
        <f>IFERROR(WEEKNUM(Table4[[#This Row],[Confirmed Sampling Date]] - 10, 21), "TBD")</f>
        <v>33</v>
      </c>
      <c r="AA157" s="20" t="str">
        <f>_xlfn.XLOOKUP(Table4[[#This Row],[FromSite-UPS]],sites!D:D,sites!W:W,"",0)</f>
        <v>R. do Matadouro 4, Funchal, 9050-100, Portugal</v>
      </c>
      <c r="AB157" s="20" t="str">
        <f>_xlfn.XLOOKUP(Table4[[#This Row],[ToLab]],labs!D:D,labs!P:P,"no adres",0)</f>
        <v>Av. Rovisco Pais 1, Laboratorio de Analises de Agua, Lisbon, 1049-001, Portugal</v>
      </c>
      <c r="AC157" s="20">
        <f>_xlfn.XLOOKUP(Table4[[#This Row],[combi]],AREA!E:E,AREA!F:F,"",0)</f>
        <v>89</v>
      </c>
      <c r="AD157" s="20" t="str">
        <f>_xlfn.XLOOKUP(Table4[[#This Row],[combi]],AREA!E:E,AREA!G:G,"",0)</f>
        <v>Pick-up service of hypothetic package as defined in the Tech. Specs. and delivery to lots
2 and 3 contractors according to Scenario 1</v>
      </c>
      <c r="AE157" s="20" t="s">
        <v>125</v>
      </c>
      <c r="AF157" s="20" t="str">
        <f>_xlfn.XLOOKUP(Table4[[#This Row],[FromSite-UPS]],sites!D:D,sites!AB:AB,"",0)&amp;_xlfn.XLOOKUP(Table4[[#This Row],[ToLab]],labs!D:D,labs!Q:Q,"",0)</f>
        <v>EUEU</v>
      </c>
    </row>
    <row r="158" spans="2:32" ht="15.6" hidden="1" customHeight="1" x14ac:dyDescent="0.25">
      <c r="B158" s="13">
        <v>483</v>
      </c>
      <c r="C158" s="14" t="s">
        <v>53</v>
      </c>
      <c r="D158" s="13">
        <v>1</v>
      </c>
      <c r="E158" s="79">
        <v>45896</v>
      </c>
      <c r="F158" s="80">
        <v>45897</v>
      </c>
      <c r="G158" s="20">
        <f>IFERROR(WEEKNUM(Table4[[#This Row],[Confirmed Pick-up Date]]),"TBD")</f>
        <v>35</v>
      </c>
      <c r="H158" s="20" t="str">
        <f>IFERROR(TEXT(Table4[[#This Row],[Confirmed Pick-up Date]],"yy-mm"),"TBD")</f>
        <v>25-08</v>
      </c>
      <c r="I158" s="78" t="s">
        <v>1628</v>
      </c>
      <c r="J158" s="20" t="str">
        <f>IFERROR(VLOOKUP(Table4[[#This Row],[FromSite-UPS]],Table1[[#All],[Company or Name]:[FromSite3]],15,FALSE),"")</f>
        <v>Funchal WWTP</v>
      </c>
      <c r="K158" s="20" t="str">
        <f>IFERROR(VLOOKUP(Table4[[#This Row],[FromSite-UPS]],Table1[[#All],[Company or Name]:[FromSite3]],16,FALSE),"")</f>
        <v>Madeira, 10 locations</v>
      </c>
      <c r="L158" s="20">
        <f>IFERROR(VLOOKUP(Table4[[#This Row],[FromSite-UPS]],Table1[[#All],[Company or Name]:[FromSite3]],14,FALSE),"")</f>
        <v>0.70833333333333337</v>
      </c>
      <c r="M158" s="13" t="s">
        <v>1011</v>
      </c>
      <c r="N158" s="20" t="s">
        <v>134</v>
      </c>
      <c r="O158" s="20">
        <v>2942611501</v>
      </c>
      <c r="P158" s="20" t="s">
        <v>134</v>
      </c>
      <c r="Q158" s="20" t="s">
        <v>1440</v>
      </c>
      <c r="R158" s="20" t="s">
        <v>1337</v>
      </c>
      <c r="S158" s="20" t="s">
        <v>125</v>
      </c>
      <c r="T158" s="20" t="s">
        <v>1549</v>
      </c>
      <c r="U158" s="20"/>
      <c r="V158" s="20" t="s">
        <v>1334</v>
      </c>
      <c r="W158" s="20" t="str">
        <f>TEXT(Table4[[#This Row],[Confirmed Sampling Date]], "yyyy") &amp; "_" &amp; TEXT(Table4[[#This Row],[Confirmed Sampling Date]], "mm") &amp; "_" &amp; TEXT(Table4[[#This Row],[Confirmed Sampling Date]], "dd")</f>
        <v>2025_08_27</v>
      </c>
      <c r="X158" s="20" t="str">
        <f t="shared" si="2"/>
        <v>Funchal</v>
      </c>
      <c r="Y158" s="20" t="str">
        <f>VLOOKUP(Table4[[#This Row],[FromSite-UPS]],Table1[[Company or Name]:[NOTES]],2,FALSE)</f>
        <v>Portugal</v>
      </c>
      <c r="Z158" s="20">
        <f>IFERROR(WEEKNUM(Table4[[#This Row],[Confirmed Sampling Date]] - 10, 21), "TBD")</f>
        <v>33</v>
      </c>
      <c r="AA158" s="20" t="str">
        <f>_xlfn.XLOOKUP(Table4[[#This Row],[FromSite-UPS]],sites!D:D,sites!W:W,"",0)</f>
        <v>R. do Matadouro 4, Funchal, 9050-100, Portugal</v>
      </c>
      <c r="AB158" s="20" t="str">
        <f>_xlfn.XLOOKUP(Table4[[#This Row],[ToLab]],labs!D:D,labs!P:P,"no adres",0)</f>
        <v>Av. Rovisco Pais 1, Laboratorio de Analises de Agua, Lisbon, 1049-001, Portugal</v>
      </c>
      <c r="AC158" s="20">
        <f>_xlfn.XLOOKUP(Table4[[#This Row],[combi]],AREA!E:E,AREA!F:F,"",0)</f>
        <v>89</v>
      </c>
      <c r="AD158" s="20" t="str">
        <f>_xlfn.XLOOKUP(Table4[[#This Row],[combi]],AREA!E:E,AREA!G:G,"",0)</f>
        <v>Pick-up service of hypothetic package as defined in the Tech. Specs. and delivery to lots
2 and 3 contractors according to Scenario 1</v>
      </c>
      <c r="AE158" s="20" t="s">
        <v>125</v>
      </c>
      <c r="AF158" s="20" t="str">
        <f>_xlfn.XLOOKUP(Table4[[#This Row],[FromSite-UPS]],sites!D:D,sites!AB:AB,"",0)&amp;_xlfn.XLOOKUP(Table4[[#This Row],[ToLab]],labs!D:D,labs!Q:Q,"",0)</f>
        <v>EUEU</v>
      </c>
    </row>
    <row r="159" spans="2:32" ht="15.6" hidden="1" customHeight="1" x14ac:dyDescent="0.25">
      <c r="B159" s="13">
        <v>493</v>
      </c>
      <c r="C159" s="14" t="s">
        <v>53</v>
      </c>
      <c r="D159" s="13">
        <v>1</v>
      </c>
      <c r="E159" s="79">
        <v>45896</v>
      </c>
      <c r="F159" s="81">
        <v>45897</v>
      </c>
      <c r="G159" s="20">
        <f>IFERROR(WEEKNUM(Table4[[#This Row],[Confirmed Pick-up Date]]),"TBD")</f>
        <v>35</v>
      </c>
      <c r="H159" s="20" t="str">
        <f>IFERROR(TEXT(Table4[[#This Row],[Confirmed Pick-up Date]],"yy-mm"),"TBD")</f>
        <v>25-08</v>
      </c>
      <c r="I159" s="78" t="s">
        <v>1628</v>
      </c>
      <c r="J159" s="20" t="str">
        <f>IFERROR(VLOOKUP(Table4[[#This Row],[FromSite-UPS]],Table1[[#All],[Company or Name]:[FromSite3]],15,FALSE),"")</f>
        <v>Funchal WWTP</v>
      </c>
      <c r="K159" s="20" t="str">
        <f>IFERROR(VLOOKUP(Table4[[#This Row],[FromSite-UPS]],Table1[[#All],[Company or Name]:[FromSite3]],16,FALSE),"")</f>
        <v>Madeira, 10 locations</v>
      </c>
      <c r="L159" s="20">
        <f>IFERROR(VLOOKUP(Table4[[#This Row],[FromSite-UPS]],Table1[[#All],[Company or Name]:[FromSite3]],14,FALSE),"")</f>
        <v>0.70833333333333337</v>
      </c>
      <c r="M159" s="13" t="s">
        <v>1011</v>
      </c>
      <c r="N159" s="20" t="s">
        <v>134</v>
      </c>
      <c r="O159" s="20">
        <v>2942611501</v>
      </c>
      <c r="P159" s="20" t="s">
        <v>134</v>
      </c>
      <c r="Q159" s="20" t="s">
        <v>1440</v>
      </c>
      <c r="R159" s="20" t="s">
        <v>1336</v>
      </c>
      <c r="S159" s="20" t="s">
        <v>125</v>
      </c>
      <c r="T159" s="20" t="s">
        <v>1549</v>
      </c>
      <c r="U159" s="20"/>
      <c r="V159" s="20" t="s">
        <v>1335</v>
      </c>
      <c r="W159" s="20" t="str">
        <f>TEXT(Table4[[#This Row],[Confirmed Sampling Date]], "yyyy") &amp; "_" &amp; TEXT(Table4[[#This Row],[Confirmed Sampling Date]], "mm") &amp; "_" &amp; TEXT(Table4[[#This Row],[Confirmed Sampling Date]], "dd")</f>
        <v>2025_08_27</v>
      </c>
      <c r="X159" s="20" t="str">
        <f t="shared" si="2"/>
        <v>Funchal</v>
      </c>
      <c r="Y159" s="20" t="str">
        <f>VLOOKUP(Table4[[#This Row],[FromSite-UPS]],Table1[[Company or Name]:[NOTES]],2,FALSE)</f>
        <v>Portugal</v>
      </c>
      <c r="Z159" s="20">
        <f>IFERROR(WEEKNUM(Table4[[#This Row],[Confirmed Sampling Date]] - 10, 21), "TBD")</f>
        <v>33</v>
      </c>
      <c r="AA159" s="20" t="str">
        <f>_xlfn.XLOOKUP(Table4[[#This Row],[FromSite-UPS]],sites!D:D,sites!W:W,"",0)</f>
        <v>R. do Matadouro 4, Funchal, 9050-100, Portugal</v>
      </c>
      <c r="AB159" s="20" t="str">
        <f>_xlfn.XLOOKUP(Table4[[#This Row],[ToLab]],labs!D:D,labs!P:P,"no adres",0)</f>
        <v>Av. Rovisco Pais 1, Laboratorio de Analises de Agua, Lisbon, 1049-001, Portugal</v>
      </c>
      <c r="AC159" s="20">
        <f>_xlfn.XLOOKUP(Table4[[#This Row],[combi]],AREA!E:E,AREA!F:F,"",0)</f>
        <v>89</v>
      </c>
      <c r="AD159" s="20" t="str">
        <f>_xlfn.XLOOKUP(Table4[[#This Row],[combi]],AREA!E:E,AREA!G:G,"",0)</f>
        <v>Pick-up service of hypothetic package as defined in the Tech. Specs. and delivery to lots
2 and 3 contractors according to Scenario 1</v>
      </c>
      <c r="AE159" s="20" t="s">
        <v>125</v>
      </c>
      <c r="AF159" s="20" t="str">
        <f>_xlfn.XLOOKUP(Table4[[#This Row],[FromSite-UPS]],sites!D:D,sites!AB:AB,"",0)&amp;_xlfn.XLOOKUP(Table4[[#This Row],[ToLab]],labs!D:D,labs!Q:Q,"",0)</f>
        <v>EUEU</v>
      </c>
    </row>
    <row r="160" spans="2:32" ht="15.6" hidden="1" customHeight="1" x14ac:dyDescent="0.25">
      <c r="B160" s="13">
        <v>130</v>
      </c>
      <c r="C160" s="14" t="s">
        <v>53</v>
      </c>
      <c r="D160" s="13">
        <v>1</v>
      </c>
      <c r="E160" s="22">
        <v>45897</v>
      </c>
      <c r="F160" s="22">
        <v>45898</v>
      </c>
      <c r="G160" s="20">
        <f>IFERROR(WEEKNUM(Table4[[#This Row],[Confirmed Pick-up Date]]),"TBD")</f>
        <v>35</v>
      </c>
      <c r="H160" s="20" t="str">
        <f>IFERROR(TEXT(Table4[[#This Row],[Confirmed Pick-up Date]],"yy-mm"),"TBD")</f>
        <v>25-08</v>
      </c>
      <c r="I160" s="13" t="s">
        <v>637</v>
      </c>
      <c r="J160" s="20" t="str">
        <f>IFERROR(VLOOKUP(Table4[[#This Row],[FromSite-UPS]],Table1[[#All],[Company or Name]:[FromSite3]],15,FALSE),"")</f>
        <v>Luxembourg (Beggen) WWTP</v>
      </c>
      <c r="K160" s="20" t="str">
        <f>IFERROR(VLOOKUP(Table4[[#This Row],[FromSite-UPS]],Table1[[#All],[Company or Name]:[FromSite3]],16,FALSE),"")</f>
        <v>Luxembourg Airport</v>
      </c>
      <c r="L160" s="20">
        <f>IFERROR(VLOOKUP(Table4[[#This Row],[FromSite-UPS]],Table1[[#All],[Company or Name]:[FromSite3]],14,FALSE),"")</f>
        <v>0.66666666666666663</v>
      </c>
      <c r="M160" s="13" t="s">
        <v>1011</v>
      </c>
      <c r="N160" s="20" t="s">
        <v>134</v>
      </c>
      <c r="O160" s="14" t="s">
        <v>1374</v>
      </c>
      <c r="P160" s="13" t="s">
        <v>134</v>
      </c>
      <c r="Q160" s="37" t="s">
        <v>1472</v>
      </c>
      <c r="R160" s="20" t="s">
        <v>1405</v>
      </c>
      <c r="S160" s="20" t="s">
        <v>125</v>
      </c>
      <c r="T160" s="20" t="s">
        <v>1549</v>
      </c>
      <c r="U160" s="20"/>
      <c r="V160" s="20"/>
      <c r="W160" s="20" t="str">
        <f>TEXT(Table4[[#This Row],[Confirmed Sampling Date]], "yyyy") &amp; "_" &amp; TEXT(Table4[[#This Row],[Confirmed Sampling Date]], "mm") &amp; "_" &amp; TEXT(Table4[[#This Row],[Confirmed Sampling Date]], "dd")</f>
        <v>2025_08_28</v>
      </c>
      <c r="X160" s="20" t="str">
        <f t="shared" si="2"/>
        <v>Luxembourg</v>
      </c>
      <c r="Y160" s="20" t="str">
        <f>VLOOKUP(Table4[[#This Row],[FromSite-UPS]],Table1[[Company or Name]:[NOTES]],2,FALSE)</f>
        <v>Luxembourg</v>
      </c>
      <c r="Z160" s="20">
        <f>IFERROR(WEEKNUM(Table4[[#This Row],[Confirmed Sampling Date]] - 10, 21), "TBD")</f>
        <v>34</v>
      </c>
      <c r="AA160" s="20" t="str">
        <f>_xlfn.XLOOKUP(Table4[[#This Row],[FromSite-UPS]],sites!D:D,sites!W:W,"",0)</f>
        <v>41 rue du Brill, Luxembourg, L-4422 , Luxembourg</v>
      </c>
      <c r="AB160" s="20" t="str">
        <f>_xlfn.XLOOKUP(Table4[[#This Row],[ToLab]],labs!D:D,labs!P:P,"no adres",0)</f>
        <v>Av. Rovisco Pais 1, Laboratorio de Analises de Agua, Lisbon, 1049-001, Portugal</v>
      </c>
      <c r="AC160" s="20">
        <f>_xlfn.XLOOKUP(Table4[[#This Row],[combi]],AREA!E:E,AREA!F:F,"",0)</f>
        <v>89</v>
      </c>
      <c r="AD160" s="20" t="str">
        <f>_xlfn.XLOOKUP(Table4[[#This Row],[combi]],AREA!E:E,AREA!G:G,"",0)</f>
        <v>Pick-up service of hypothetic package as defined in the Tech. Specs. and delivery to lots
2 and 3 contractors according to Scenario 1</v>
      </c>
      <c r="AE160" s="20" t="s">
        <v>125</v>
      </c>
      <c r="AF160" s="20" t="str">
        <f>_xlfn.XLOOKUP(Table4[[#This Row],[FromSite-UPS]],sites!D:D,sites!AB:AB,"",0)&amp;_xlfn.XLOOKUP(Table4[[#This Row],[ToLab]],labs!D:D,labs!Q:Q,"",0)</f>
        <v>EUEU</v>
      </c>
    </row>
    <row r="161" spans="2:32" ht="15.6" hidden="1" customHeight="1" x14ac:dyDescent="0.25">
      <c r="B161" s="13">
        <v>265</v>
      </c>
      <c r="C161" s="14" t="s">
        <v>53</v>
      </c>
      <c r="D161" s="13">
        <v>1</v>
      </c>
      <c r="E161" s="22">
        <v>45897</v>
      </c>
      <c r="F161" s="22">
        <v>45898</v>
      </c>
      <c r="G161" s="20">
        <f>IFERROR(WEEKNUM(Table4[[#This Row],[Confirmed Pick-up Date]]),"TBD")</f>
        <v>35</v>
      </c>
      <c r="H161" s="20" t="str">
        <f>IFERROR(TEXT(Table4[[#This Row],[Confirmed Pick-up Date]],"yy-mm"),"TBD")</f>
        <v>25-08</v>
      </c>
      <c r="I161" s="64" t="s">
        <v>637</v>
      </c>
      <c r="J161" s="20" t="str">
        <f>IFERROR(VLOOKUP(Table4[[#This Row],[FromSite-UPS]],Table1[[#All],[Company or Name]:[FromSite3]],15,FALSE),"")</f>
        <v>Luxembourg (Beggen) WWTP</v>
      </c>
      <c r="K161" s="20" t="str">
        <f>IFERROR(VLOOKUP(Table4[[#This Row],[FromSite-UPS]],Table1[[#All],[Company or Name]:[FromSite3]],16,FALSE),"")</f>
        <v>Luxembourg Airport</v>
      </c>
      <c r="L161" s="20">
        <f>IFERROR(VLOOKUP(Table4[[#This Row],[FromSite-UPS]],Table1[[#All],[Company or Name]:[FromSite3]],14,FALSE),"")</f>
        <v>0.66666666666666663</v>
      </c>
      <c r="M161" s="13" t="s">
        <v>1011</v>
      </c>
      <c r="N161" s="20" t="s">
        <v>134</v>
      </c>
      <c r="O161" s="14" t="s">
        <v>1375</v>
      </c>
      <c r="P161" s="20" t="s">
        <v>134</v>
      </c>
      <c r="Q161" s="37" t="s">
        <v>1472</v>
      </c>
      <c r="R161" s="20" t="s">
        <v>1404</v>
      </c>
      <c r="S161" s="20" t="s">
        <v>125</v>
      </c>
      <c r="T161" s="20" t="s">
        <v>1549</v>
      </c>
      <c r="U161" s="20"/>
      <c r="V161" s="20"/>
      <c r="W161" s="20" t="str">
        <f>TEXT(Table4[[#This Row],[Confirmed Sampling Date]], "yyyy") &amp; "_" &amp; TEXT(Table4[[#This Row],[Confirmed Sampling Date]], "mm") &amp; "_" &amp; TEXT(Table4[[#This Row],[Confirmed Sampling Date]], "dd")</f>
        <v>2025_08_28</v>
      </c>
      <c r="X161" s="20" t="str">
        <f t="shared" si="2"/>
        <v>Luxembourg</v>
      </c>
      <c r="Y161" s="20" t="str">
        <f>VLOOKUP(Table4[[#This Row],[FromSite-UPS]],Table1[[Company or Name]:[NOTES]],2,FALSE)</f>
        <v>Luxembourg</v>
      </c>
      <c r="Z161" s="20">
        <f>IFERROR(WEEKNUM(Table4[[#This Row],[Confirmed Sampling Date]] - 10, 21), "TBD")</f>
        <v>34</v>
      </c>
      <c r="AA161" s="20" t="str">
        <f>_xlfn.XLOOKUP(Table4[[#This Row],[FromSite-UPS]],sites!D:D,sites!W:W,"",0)</f>
        <v>41 rue du Brill, Luxembourg, L-4422 , Luxembourg</v>
      </c>
      <c r="AB161" s="20" t="str">
        <f>_xlfn.XLOOKUP(Table4[[#This Row],[ToLab]],labs!D:D,labs!P:P,"no adres",0)</f>
        <v>Av. Rovisco Pais 1, Laboratorio de Analises de Agua, Lisbon, 1049-001, Portugal</v>
      </c>
      <c r="AC161" s="20">
        <f>_xlfn.XLOOKUP(Table4[[#This Row],[combi]],AREA!E:E,AREA!F:F,"",0)</f>
        <v>89</v>
      </c>
      <c r="AD161" s="20" t="str">
        <f>_xlfn.XLOOKUP(Table4[[#This Row],[combi]],AREA!E:E,AREA!G:G,"",0)</f>
        <v>Pick-up service of hypothetic package as defined in the Tech. Specs. and delivery to lots
2 and 3 contractors according to Scenario 1</v>
      </c>
      <c r="AE161" s="20" t="s">
        <v>125</v>
      </c>
      <c r="AF161" s="20" t="str">
        <f>_xlfn.XLOOKUP(Table4[[#This Row],[FromSite-UPS]],sites!D:D,sites!AB:AB,"",0)&amp;_xlfn.XLOOKUP(Table4[[#This Row],[ToLab]],labs!D:D,labs!Q:Q,"",0)</f>
        <v>EUEU</v>
      </c>
    </row>
    <row r="162" spans="2:32" ht="15.6" hidden="1" customHeight="1" x14ac:dyDescent="0.25">
      <c r="B162" s="13">
        <v>13</v>
      </c>
      <c r="C162" s="14" t="s">
        <v>53</v>
      </c>
      <c r="D162" s="13">
        <v>1</v>
      </c>
      <c r="E162" s="83">
        <v>45900</v>
      </c>
      <c r="F162" s="83">
        <v>45901</v>
      </c>
      <c r="G162" s="13">
        <f>IFERROR(WEEKNUM(Table4[[#This Row],[Confirmed Pick-up Date]]),"TBD")</f>
        <v>36</v>
      </c>
      <c r="H162" s="13" t="str">
        <f>IFERROR(TEXT(Table4[[#This Row],[Confirmed Pick-up Date]],"yy-mm"),"TBD")</f>
        <v>25-09</v>
      </c>
      <c r="I162" s="13" t="s">
        <v>13</v>
      </c>
      <c r="J162" s="13" t="str">
        <f>IFERROR(VLOOKUP(Table4[[#This Row],[FromSite-UPS]],Table1[[#All],[Company or Name]:[FromSite3]],15,FALSE),"")</f>
        <v>Berlin (Schoenefeld) WWTP</v>
      </c>
      <c r="K162" s="13" t="str">
        <f>IFERROR(VLOOKUP(Table4[[#This Row],[FromSite-UPS]],Table1[[#All],[Company or Name]:[FromSite3]],16,FALSE),"")</f>
        <v>Berlin Airport</v>
      </c>
      <c r="L162" s="13">
        <f>IFERROR(VLOOKUP(Table4[[#This Row],[FromSite-UPS]],Table1[[#All],[Company or Name]:[FromSite3]],14,FALSE),"")</f>
        <v>0.58333333333333337</v>
      </c>
      <c r="M162" s="13" t="s">
        <v>1011</v>
      </c>
      <c r="N162" s="20" t="s">
        <v>134</v>
      </c>
      <c r="O162" s="13" t="s">
        <v>1376</v>
      </c>
      <c r="P162" s="13" t="s">
        <v>134</v>
      </c>
      <c r="Q162" s="20" t="s">
        <v>1435</v>
      </c>
      <c r="R162" s="20" t="s">
        <v>1407</v>
      </c>
      <c r="S162" s="20" t="s">
        <v>125</v>
      </c>
      <c r="T162" s="20" t="s">
        <v>110</v>
      </c>
      <c r="U162" s="20"/>
      <c r="V162" s="20"/>
      <c r="W162" s="20" t="str">
        <f>TEXT(Table4[[#This Row],[Confirmed Sampling Date]], "yyyy") &amp; "_" &amp; TEXT(Table4[[#This Row],[Confirmed Sampling Date]], "mm") &amp; "_" &amp; TEXT(Table4[[#This Row],[Confirmed Sampling Date]], "dd")</f>
        <v>2025_08_31</v>
      </c>
      <c r="X162" s="20" t="str">
        <f t="shared" si="2"/>
        <v>Berlin</v>
      </c>
      <c r="Y162" s="20" t="str">
        <f>VLOOKUP(Table4[[#This Row],[FromSite-UPS]],Table1[[Company or Name]:[NOTES]],2,FALSE)</f>
        <v>Germany</v>
      </c>
      <c r="Z162" s="20">
        <f>IFERROR(WEEKNUM(Table4[[#This Row],[Confirmed Sampling Date]] - 10, 21), "TBD")</f>
        <v>34</v>
      </c>
      <c r="AA162" s="20" t="str">
        <f>_xlfn.XLOOKUP(Table4[[#This Row],[FromSite-UPS]],sites!D:D,sites!W:W,"",0)</f>
        <v>Strasse am Klarwerk 4, Klarwerk Wassmannsdorf, Schoenefeld, 12529, Germany</v>
      </c>
      <c r="AB162" s="20" t="str">
        <f>_xlfn.XLOOKUP(Table4[[#This Row],[ToLab]],labs!D:D,labs!P:P,"no adres",0)</f>
        <v>Av. Rovisco Pais 1, Laboratorio de Analises de Agua, Lisbon, 1049-001, Portugal</v>
      </c>
      <c r="AC162" s="20">
        <f>_xlfn.XLOOKUP(Table4[[#This Row],[combi]],AREA!E:E,AREA!F:F,"",0)</f>
        <v>89</v>
      </c>
      <c r="AD162" s="20" t="str">
        <f>_xlfn.XLOOKUP(Table4[[#This Row],[combi]],AREA!E:E,AREA!G:G,"",0)</f>
        <v>Pick-up service of hypothetic package as defined in the Tech. Specs. and delivery to lots
2 and 3 contractors according to Scenario 1</v>
      </c>
      <c r="AE162" s="20" t="s">
        <v>125</v>
      </c>
      <c r="AF162" s="20" t="str">
        <f>_xlfn.XLOOKUP(Table4[[#This Row],[FromSite-UPS]],sites!D:D,sites!AB:AB,"",0)&amp;_xlfn.XLOOKUP(Table4[[#This Row],[ToLab]],labs!D:D,labs!Q:Q,"",0)</f>
        <v>EUEU</v>
      </c>
    </row>
    <row r="163" spans="2:32" ht="15.6" hidden="1" customHeight="1" x14ac:dyDescent="0.25">
      <c r="B163" s="13">
        <v>76</v>
      </c>
      <c r="C163" s="14" t="s">
        <v>53</v>
      </c>
      <c r="D163" s="13">
        <v>1</v>
      </c>
      <c r="E163" s="83">
        <v>45900</v>
      </c>
      <c r="F163" s="83">
        <v>45901</v>
      </c>
      <c r="G163" s="20">
        <f>IFERROR(WEEKNUM(Table4[[#This Row],[Confirmed Pick-up Date]]),"TBD")</f>
        <v>36</v>
      </c>
      <c r="H163" s="20" t="str">
        <f>IFERROR(TEXT(Table4[[#This Row],[Confirmed Pick-up Date]],"yy-mm"),"TBD")</f>
        <v>25-09</v>
      </c>
      <c r="I163" s="13" t="s">
        <v>13</v>
      </c>
      <c r="J163" s="20" t="str">
        <f>IFERROR(VLOOKUP(Table4[[#This Row],[FromSite-UPS]],Table1[[#All],[Company or Name]:[FromSite3]],15,FALSE),"")</f>
        <v>Berlin (Schoenefeld) WWTP</v>
      </c>
      <c r="K163" s="20" t="str">
        <f>IFERROR(VLOOKUP(Table4[[#This Row],[FromSite-UPS]],Table1[[#All],[Company or Name]:[FromSite3]],16,FALSE),"")</f>
        <v>Berlin Airport</v>
      </c>
      <c r="L163" s="20">
        <f>IFERROR(VLOOKUP(Table4[[#This Row],[FromSite-UPS]],Table1[[#All],[Company or Name]:[FromSite3]],14,FALSE),"")</f>
        <v>0.58333333333333337</v>
      </c>
      <c r="M163" s="13" t="s">
        <v>1011</v>
      </c>
      <c r="N163" s="20" t="s">
        <v>134</v>
      </c>
      <c r="O163" s="13" t="s">
        <v>1377</v>
      </c>
      <c r="P163" s="13" t="s">
        <v>134</v>
      </c>
      <c r="Q163" s="20" t="s">
        <v>1435</v>
      </c>
      <c r="R163" s="20" t="s">
        <v>1408</v>
      </c>
      <c r="S163" s="20" t="s">
        <v>125</v>
      </c>
      <c r="T163" s="20" t="s">
        <v>110</v>
      </c>
      <c r="U163" s="20"/>
      <c r="V163" s="20"/>
      <c r="W163" s="20" t="str">
        <f>TEXT(Table4[[#This Row],[Confirmed Sampling Date]], "yyyy") &amp; "_" &amp; TEXT(Table4[[#This Row],[Confirmed Sampling Date]], "mm") &amp; "_" &amp; TEXT(Table4[[#This Row],[Confirmed Sampling Date]], "dd")</f>
        <v>2025_08_31</v>
      </c>
      <c r="X163" s="20" t="str">
        <f t="shared" si="2"/>
        <v>Berlin</v>
      </c>
      <c r="Y163" s="20" t="str">
        <f>VLOOKUP(Table4[[#This Row],[FromSite-UPS]],Table1[[Company or Name]:[NOTES]],2,FALSE)</f>
        <v>Germany</v>
      </c>
      <c r="Z163" s="20">
        <f>IFERROR(WEEKNUM(Table4[[#This Row],[Confirmed Sampling Date]] - 10, 21), "TBD")</f>
        <v>34</v>
      </c>
      <c r="AA163" s="20" t="str">
        <f>_xlfn.XLOOKUP(Table4[[#This Row],[FromSite-UPS]],sites!D:D,sites!W:W,"",0)</f>
        <v>Strasse am Klarwerk 4, Klarwerk Wassmannsdorf, Schoenefeld, 12529, Germany</v>
      </c>
      <c r="AB163" s="20" t="str">
        <f>_xlfn.XLOOKUP(Table4[[#This Row],[ToLab]],labs!D:D,labs!P:P,"no adres",0)</f>
        <v>Av. Rovisco Pais 1, Laboratorio de Analises de Agua, Lisbon, 1049-001, Portugal</v>
      </c>
      <c r="AC163" s="20">
        <f>_xlfn.XLOOKUP(Table4[[#This Row],[combi]],AREA!E:E,AREA!F:F,"",0)</f>
        <v>89</v>
      </c>
      <c r="AD163" s="20" t="str">
        <f>_xlfn.XLOOKUP(Table4[[#This Row],[combi]],AREA!E:E,AREA!G:G,"",0)</f>
        <v>Pick-up service of hypothetic package as defined in the Tech. Specs. and delivery to lots
2 and 3 contractors according to Scenario 1</v>
      </c>
      <c r="AE163" s="20" t="s">
        <v>125</v>
      </c>
      <c r="AF163" s="20" t="str">
        <f>_xlfn.XLOOKUP(Table4[[#This Row],[FromSite-UPS]],sites!D:D,sites!AB:AB,"",0)&amp;_xlfn.XLOOKUP(Table4[[#This Row],[ToLab]],labs!D:D,labs!Q:Q,"",0)</f>
        <v>EUEU</v>
      </c>
    </row>
    <row r="164" spans="2:32" ht="15.6" hidden="1" customHeight="1" x14ac:dyDescent="0.25">
      <c r="B164" s="13">
        <v>547</v>
      </c>
      <c r="C164" s="14" t="s">
        <v>53</v>
      </c>
      <c r="D164" s="13">
        <v>1</v>
      </c>
      <c r="E164" s="83">
        <v>45900</v>
      </c>
      <c r="F164" s="83">
        <v>45901</v>
      </c>
      <c r="G164" s="20">
        <f>IFERROR(WEEKNUM(Table4[[#This Row],[Confirmed Pick-up Date]]),"TBD")</f>
        <v>36</v>
      </c>
      <c r="H164" s="20" t="str">
        <f>IFERROR(TEXT(Table4[[#This Row],[Confirmed Pick-up Date]],"yy-mm"),"TBD")</f>
        <v>25-09</v>
      </c>
      <c r="I164" s="13" t="s">
        <v>13</v>
      </c>
      <c r="J164" s="20" t="str">
        <f>IFERROR(VLOOKUP(Table4[[#This Row],[FromSite-UPS]],Table1[[#All],[Company or Name]:[FromSite3]],15,FALSE),"")</f>
        <v>Berlin (Schoenefeld) WWTP</v>
      </c>
      <c r="K164" s="20" t="str">
        <f>IFERROR(VLOOKUP(Table4[[#This Row],[FromSite-UPS]],Table1[[#All],[Company or Name]:[FromSite3]],16,FALSE),"")</f>
        <v>Berlin Airport</v>
      </c>
      <c r="L164" s="20">
        <f>IFERROR(VLOOKUP(Table4[[#This Row],[FromSite-UPS]],Table1[[#All],[Company or Name]:[FromSite3]],14,FALSE),"")</f>
        <v>0.58333333333333337</v>
      </c>
      <c r="M164" s="13" t="s">
        <v>1283</v>
      </c>
      <c r="N164" s="20" t="s">
        <v>134</v>
      </c>
      <c r="O164" s="20" t="s">
        <v>1378</v>
      </c>
      <c r="P164" s="20" t="s">
        <v>134</v>
      </c>
      <c r="Q164" s="20" t="s">
        <v>1436</v>
      </c>
      <c r="R164" s="20" t="s">
        <v>1411</v>
      </c>
      <c r="S164" s="20" t="s">
        <v>125</v>
      </c>
      <c r="T164" s="20" t="s">
        <v>110</v>
      </c>
      <c r="U164" s="20"/>
      <c r="V164" s="20"/>
      <c r="W164" s="20" t="str">
        <f>TEXT(Table4[[#This Row],[Confirmed Sampling Date]], "yyyy") &amp; "_" &amp; TEXT(Table4[[#This Row],[Confirmed Sampling Date]], "mm") &amp; "_" &amp; TEXT(Table4[[#This Row],[Confirmed Sampling Date]], "dd")</f>
        <v>2025_08_31</v>
      </c>
      <c r="X164" s="20" t="str">
        <f t="shared" si="2"/>
        <v>Berlin</v>
      </c>
      <c r="Y164" s="20" t="str">
        <f>VLOOKUP(Table4[[#This Row],[FromSite-UPS]],Table1[[Company or Name]:[NOTES]],2,FALSE)</f>
        <v>Germany</v>
      </c>
      <c r="Z164" s="20">
        <f>IFERROR(WEEKNUM(Table4[[#This Row],[Confirmed Sampling Date]] - 10, 21), "TBD")</f>
        <v>34</v>
      </c>
      <c r="AA164" s="20" t="str">
        <f>_xlfn.XLOOKUP(Table4[[#This Row],[FromSite-UPS]],sites!D:D,sites!W:W,"",0)</f>
        <v>Strasse am Klarwerk 4, Klarwerk Wassmannsdorf, Schoenefeld, 12529, Germany</v>
      </c>
      <c r="AB164" s="20" t="str">
        <f>_xlfn.XLOOKUP(Table4[[#This Row],[ToLab]],labs!D:D,labs!P:P,"no adres",0)</f>
        <v>C. del Dracma 16-18, Labaqua SAU - Sede Alicante, Alicante, 03114 , Spain</v>
      </c>
      <c r="AC164" s="20">
        <f>_xlfn.XLOOKUP(Table4[[#This Row],[combi]],AREA!E:E,AREA!F:F,"",0)</f>
        <v>89</v>
      </c>
      <c r="AD164" s="20" t="str">
        <f>_xlfn.XLOOKUP(Table4[[#This Row],[combi]],AREA!E:E,AREA!G:G,"",0)</f>
        <v>Pick-up service of hypothetic package as defined in the Tech. Specs. and delivery to lots
2 and 3 contractors according to Scenario 1</v>
      </c>
      <c r="AE164" s="20" t="s">
        <v>125</v>
      </c>
      <c r="AF164" s="20" t="str">
        <f>_xlfn.XLOOKUP(Table4[[#This Row],[FromSite-UPS]],sites!D:D,sites!AB:AB,"",0)&amp;_xlfn.XLOOKUP(Table4[[#This Row],[ToLab]],labs!D:D,labs!Q:Q,"",0)</f>
        <v>EUEU</v>
      </c>
    </row>
    <row r="165" spans="2:32" ht="15.6" hidden="1" customHeight="1" x14ac:dyDescent="0.25">
      <c r="B165" s="13">
        <v>555</v>
      </c>
      <c r="C165" s="14" t="s">
        <v>53</v>
      </c>
      <c r="D165" s="13">
        <v>1</v>
      </c>
      <c r="E165" s="83">
        <v>45900</v>
      </c>
      <c r="F165" s="83">
        <v>45901</v>
      </c>
      <c r="G165" s="20">
        <v>36</v>
      </c>
      <c r="H165" s="20" t="s">
        <v>1286</v>
      </c>
      <c r="I165" s="13" t="s">
        <v>13</v>
      </c>
      <c r="J165" s="20" t="s">
        <v>363</v>
      </c>
      <c r="K165" s="20" t="s">
        <v>58</v>
      </c>
      <c r="L165" s="13" t="s">
        <v>1283</v>
      </c>
      <c r="M165" s="13" t="s">
        <v>1283</v>
      </c>
      <c r="N165" s="20" t="s">
        <v>134</v>
      </c>
      <c r="O165" s="20" t="s">
        <v>1379</v>
      </c>
      <c r="P165" s="20" t="s">
        <v>134</v>
      </c>
      <c r="Q165" s="20" t="s">
        <v>1436</v>
      </c>
      <c r="R165" s="20" t="s">
        <v>1410</v>
      </c>
      <c r="S165" s="20" t="s">
        <v>125</v>
      </c>
      <c r="T165" s="20" t="s">
        <v>110</v>
      </c>
      <c r="U165" s="20"/>
      <c r="V165" s="20"/>
      <c r="W165" s="20" t="str">
        <f>TEXT(Table4[[#This Row],[Confirmed Sampling Date]], "yyyy") &amp; "_" &amp; TEXT(Table4[[#This Row],[Confirmed Sampling Date]], "mm") &amp; "_" &amp; TEXT(Table4[[#This Row],[Confirmed Sampling Date]], "dd")</f>
        <v>2025_08_31</v>
      </c>
      <c r="X165" s="20" t="str">
        <f t="shared" si="2"/>
        <v>Berlin</v>
      </c>
      <c r="Y165" s="20" t="str">
        <f>VLOOKUP(Table4[[#This Row],[FromSite-UPS]],Table1[[Company or Name]:[NOTES]],2,FALSE)</f>
        <v>Germany</v>
      </c>
      <c r="Z165" s="20">
        <f>IFERROR(WEEKNUM(Table4[[#This Row],[Confirmed Sampling Date]] - 10, 21), "TBD")</f>
        <v>34</v>
      </c>
      <c r="AA165" s="20" t="str">
        <f>_xlfn.XLOOKUP(Table4[[#This Row],[FromSite-UPS]],sites!D:D,sites!W:W,"",0)</f>
        <v>Strasse am Klarwerk 4, Klarwerk Wassmannsdorf, Schoenefeld, 12529, Germany</v>
      </c>
      <c r="AB165" s="20" t="str">
        <f>_xlfn.XLOOKUP(Table4[[#This Row],[ToLab]],labs!D:D,labs!P:P,"no adres",0)</f>
        <v>C. del Dracma 16-18, Labaqua SAU - Sede Alicante, Alicante, 03114 , Spain</v>
      </c>
      <c r="AC165" s="20">
        <f>_xlfn.XLOOKUP(Table4[[#This Row],[combi]],AREA!E:E,AREA!F:F,"",0)</f>
        <v>89</v>
      </c>
      <c r="AD165" s="20" t="str">
        <f>_xlfn.XLOOKUP(Table4[[#This Row],[combi]],AREA!E:E,AREA!G:G,"",0)</f>
        <v>Pick-up service of hypothetic package as defined in the Tech. Specs. and delivery to lots
2 and 3 contractors according to Scenario 1</v>
      </c>
      <c r="AE165" s="20" t="s">
        <v>125</v>
      </c>
      <c r="AF165" s="20" t="str">
        <f>_xlfn.XLOOKUP(Table4[[#This Row],[FromSite-UPS]],sites!D:D,sites!AB:AB,"",0)&amp;_xlfn.XLOOKUP(Table4[[#This Row],[ToLab]],labs!D:D,labs!Q:Q,"",0)</f>
        <v>EUEU</v>
      </c>
    </row>
    <row r="166" spans="2:32" ht="15.6" hidden="1" customHeight="1" x14ac:dyDescent="0.25">
      <c r="B166" s="13">
        <v>4</v>
      </c>
      <c r="C166" s="14" t="s">
        <v>53</v>
      </c>
      <c r="D166" s="13">
        <v>1</v>
      </c>
      <c r="E166" s="83">
        <v>45899</v>
      </c>
      <c r="F166" s="83">
        <v>45902</v>
      </c>
      <c r="G166" s="20">
        <f>IFERROR(WEEKNUM(Table4[[#This Row],[Confirmed Pick-up Date]]),"TBD")</f>
        <v>36</v>
      </c>
      <c r="H166" s="20" t="str">
        <f>IFERROR(TEXT(Table4[[#This Row],[Confirmed Pick-up Date]],"yy-mm"),"TBD")</f>
        <v>25-09</v>
      </c>
      <c r="I166" s="13" t="s">
        <v>33</v>
      </c>
      <c r="J166" s="20" t="str">
        <f>IFERROR(VLOOKUP(Table4[[#This Row],[FromSite-UPS]],Table1[[#All],[Company or Name]:[FromSite3]],15,FALSE),"")</f>
        <v>Osaka Expo</v>
      </c>
      <c r="K166" s="20" t="str">
        <f>IFERROR(VLOOKUP(Table4[[#This Row],[FromSite-UPS]],Table1[[#All],[Company or Name]:[FromSite3]],16,FALSE),"")</f>
        <v>-</v>
      </c>
      <c r="L166" s="20">
        <f>IFERROR(VLOOKUP(Table4[[#This Row],[FromSite-UPS]],Table1[[#All],[Company or Name]:[FromSite3]],14,FALSE),"")</f>
        <v>0.58333333333333337</v>
      </c>
      <c r="M166" s="13" t="s">
        <v>1011</v>
      </c>
      <c r="N166" s="20" t="s">
        <v>134</v>
      </c>
      <c r="O166" s="20" t="s">
        <v>1403</v>
      </c>
      <c r="P166" s="20" t="s">
        <v>134</v>
      </c>
      <c r="Q166" s="20" t="s">
        <v>1542</v>
      </c>
      <c r="R166" s="20" t="s">
        <v>1406</v>
      </c>
      <c r="S166" s="20" t="s">
        <v>125</v>
      </c>
      <c r="T166" s="20" t="s">
        <v>110</v>
      </c>
      <c r="U166" s="20"/>
      <c r="V166" s="20"/>
      <c r="W166" s="20" t="str">
        <f>TEXT(Table4[[#This Row],[Confirmed Sampling Date]], "yyyy") &amp; "_" &amp; TEXT(Table4[[#This Row],[Confirmed Sampling Date]], "mm") &amp; "_" &amp; TEXT(Table4[[#This Row],[Confirmed Sampling Date]], "dd")</f>
        <v>2025_08_30</v>
      </c>
      <c r="X166" s="20" t="str">
        <f t="shared" si="2"/>
        <v>Osaka</v>
      </c>
      <c r="Y166" s="20" t="str">
        <f>VLOOKUP(Table4[[#This Row],[FromSite-UPS]],Table1[[Company or Name]:[NOTES]],2,FALSE)</f>
        <v>Japan</v>
      </c>
      <c r="Z166" s="20">
        <f>IFERROR(WEEKNUM(Table4[[#This Row],[Confirmed Sampling Date]] - 10, 21), "TBD")</f>
        <v>34</v>
      </c>
      <c r="AA166" s="20" t="str">
        <f>_xlfn.XLOOKUP(Table4[[#This Row],[FromSite-UPS]],sites!D:D,sites!W:W,"",0)</f>
        <v>1-3-3 Nakamichi, Higashinari-ku, Osaka, 537-0025, Japan</v>
      </c>
      <c r="AB166" s="20" t="str">
        <f>_xlfn.XLOOKUP(Table4[[#This Row],[ToLab]],labs!D:D,labs!P:P,"no adres",0)</f>
        <v>Av. Rovisco Pais 1, Laboratorio de Analises de Agua, Lisbon, 1049-001, Portugal</v>
      </c>
      <c r="AC166" s="20">
        <f>_xlfn.XLOOKUP(Table4[[#This Row],[combi]],AREA!E:E,AREA!F:F,"",0)</f>
        <v>92</v>
      </c>
      <c r="AD166" s="20" t="str">
        <f>_xlfn.XLOOKUP(Table4[[#This Row],[combi]],AREA!E:E,AREA!G:G,"",0)</f>
        <v>Pick-up service of hypothetic package as defined in the Tech. Specs. and delivery to lots
2 and 3 contractors according to Scenario 4</v>
      </c>
      <c r="AE166" s="20" t="s">
        <v>125</v>
      </c>
      <c r="AF166" s="20" t="str">
        <f>_xlfn.XLOOKUP(Table4[[#This Row],[FromSite-UPS]],sites!D:D,sites!AB:AB,"",0)&amp;_xlfn.XLOOKUP(Table4[[#This Row],[ToLab]],labs!D:D,labs!Q:Q,"",0)</f>
        <v>Non-EuropeEU</v>
      </c>
    </row>
    <row r="167" spans="2:32" ht="15.6" hidden="1" customHeight="1" x14ac:dyDescent="0.25">
      <c r="B167" s="13">
        <v>54</v>
      </c>
      <c r="C167" s="14" t="s">
        <v>53</v>
      </c>
      <c r="D167" s="13">
        <v>1</v>
      </c>
      <c r="E167" s="83">
        <v>45901</v>
      </c>
      <c r="F167" s="83">
        <v>45902</v>
      </c>
      <c r="G167" s="20">
        <f>IFERROR(WEEKNUM(Table4[[#This Row],[Confirmed Pick-up Date]]),"TBD")</f>
        <v>36</v>
      </c>
      <c r="H167" s="20" t="str">
        <f>IFERROR(TEXT(Table4[[#This Row],[Confirmed Pick-up Date]],"yy-mm"),"TBD")</f>
        <v>25-09</v>
      </c>
      <c r="I167" s="13" t="s">
        <v>364</v>
      </c>
      <c r="J167" s="20" t="str">
        <f>IFERROR(VLOOKUP(Table4[[#This Row],[FromSite-UPS]],Table1[[#All],[Company or Name]:[FromSite3]],15,FALSE),"")</f>
        <v>Brussels WWTP</v>
      </c>
      <c r="K167" s="20" t="str">
        <f>IFERROR(VLOOKUP(Table4[[#This Row],[FromSite-UPS]],Table1[[#All],[Company or Name]:[FromSite3]],16,FALSE),"")</f>
        <v>Brussels Airport</v>
      </c>
      <c r="L167" s="20">
        <f>IFERROR(VLOOKUP(Table4[[#This Row],[FromSite-UPS]],Table1[[#All],[Company or Name]:[FromSite3]],14,FALSE),"")</f>
        <v>0.70833333333333337</v>
      </c>
      <c r="M167" s="13" t="s">
        <v>1011</v>
      </c>
      <c r="N167" s="20" t="s">
        <v>134</v>
      </c>
      <c r="O167" s="13" t="s">
        <v>1380</v>
      </c>
      <c r="P167" s="13" t="s">
        <v>134</v>
      </c>
      <c r="Q167" s="20" t="s">
        <v>1523</v>
      </c>
      <c r="R167" s="20" t="s">
        <v>1412</v>
      </c>
      <c r="S167" s="20" t="s">
        <v>125</v>
      </c>
      <c r="T167" s="20" t="s">
        <v>110</v>
      </c>
      <c r="U167" s="20"/>
      <c r="V167" s="20"/>
      <c r="W167" s="20" t="str">
        <f>TEXT(Table4[[#This Row],[Confirmed Sampling Date]], "yyyy") &amp; "_" &amp; TEXT(Table4[[#This Row],[Confirmed Sampling Date]], "mm") &amp; "_" &amp; TEXT(Table4[[#This Row],[Confirmed Sampling Date]], "dd")</f>
        <v>2025_09_01</v>
      </c>
      <c r="X167" s="20" t="str">
        <f t="shared" si="2"/>
        <v>Brussels</v>
      </c>
      <c r="Y167" s="20" t="str">
        <f>VLOOKUP(Table4[[#This Row],[FromSite-UPS]],Table1[[Company or Name]:[NOTES]],2,FALSE)</f>
        <v>Belgium</v>
      </c>
      <c r="Z167" s="20">
        <f>IFERROR(WEEKNUM(Table4[[#This Row],[Confirmed Sampling Date]] - 10, 21), "TBD")</f>
        <v>34</v>
      </c>
      <c r="AA167" s="20" t="str">
        <f>_xlfn.XLOOKUP(Table4[[#This Row],[FromSite-UPS]],sites!D:D,sites!W:W,"",0)</f>
        <v>Rue Juliette Wytsmanstraat 14, Brussels, 1050, Belgium</v>
      </c>
      <c r="AB167" s="20" t="str">
        <f>_xlfn.XLOOKUP(Table4[[#This Row],[ToLab]],labs!D:D,labs!P:P,"no adres",0)</f>
        <v>Av. Rovisco Pais 1, Laboratorio de Analises de Agua, Lisbon, 1049-001, Portugal</v>
      </c>
      <c r="AC167" s="20">
        <f>_xlfn.XLOOKUP(Table4[[#This Row],[combi]],AREA!E:E,AREA!F:F,"",0)</f>
        <v>89</v>
      </c>
      <c r="AD167" s="20" t="str">
        <f>_xlfn.XLOOKUP(Table4[[#This Row],[combi]],AREA!E:E,AREA!G:G,"",0)</f>
        <v>Pick-up service of hypothetic package as defined in the Tech. Specs. and delivery to lots
2 and 3 contractors according to Scenario 1</v>
      </c>
      <c r="AE167" s="20" t="s">
        <v>125</v>
      </c>
      <c r="AF167" s="20" t="str">
        <f>_xlfn.XLOOKUP(Table4[[#This Row],[FromSite-UPS]],sites!D:D,sites!AB:AB,"",0)&amp;_xlfn.XLOOKUP(Table4[[#This Row],[ToLab]],labs!D:D,labs!Q:Q,"",0)</f>
        <v>EUEU</v>
      </c>
    </row>
    <row r="168" spans="2:32" ht="15.6" hidden="1" customHeight="1" x14ac:dyDescent="0.25">
      <c r="B168" s="13">
        <v>117</v>
      </c>
      <c r="C168" s="14" t="s">
        <v>53</v>
      </c>
      <c r="D168" s="13">
        <v>1</v>
      </c>
      <c r="E168" s="83">
        <v>45901</v>
      </c>
      <c r="F168" s="83">
        <v>45902</v>
      </c>
      <c r="G168" s="20">
        <f>IFERROR(WEEKNUM(Table4[[#This Row],[Confirmed Pick-up Date]]),"TBD")</f>
        <v>36</v>
      </c>
      <c r="H168" s="20" t="str">
        <f>IFERROR(TEXT(Table4[[#This Row],[Confirmed Pick-up Date]],"yy-mm"),"TBD")</f>
        <v>25-09</v>
      </c>
      <c r="I168" s="13" t="s">
        <v>364</v>
      </c>
      <c r="J168" s="20" t="str">
        <f>IFERROR(VLOOKUP(Table4[[#This Row],[FromSite-UPS]],Table1[[#All],[Company or Name]:[FromSite3]],15,FALSE),"")</f>
        <v>Brussels WWTP</v>
      </c>
      <c r="K168" s="20" t="str">
        <f>IFERROR(VLOOKUP(Table4[[#This Row],[FromSite-UPS]],Table1[[#All],[Company or Name]:[FromSite3]],16,FALSE),"")</f>
        <v>Brussels Airport</v>
      </c>
      <c r="L168" s="20">
        <f>IFERROR(VLOOKUP(Table4[[#This Row],[FromSite-UPS]],Table1[[#All],[Company or Name]:[FromSite3]],14,FALSE),"")</f>
        <v>0.70833333333333337</v>
      </c>
      <c r="M168" s="13" t="s">
        <v>1011</v>
      </c>
      <c r="N168" s="20" t="s">
        <v>134</v>
      </c>
      <c r="O168" s="13" t="s">
        <v>1381</v>
      </c>
      <c r="P168" s="13" t="s">
        <v>134</v>
      </c>
      <c r="Q168" s="20" t="s">
        <v>1523</v>
      </c>
      <c r="R168" s="20" t="s">
        <v>1413</v>
      </c>
      <c r="S168" s="20" t="s">
        <v>125</v>
      </c>
      <c r="T168" s="20" t="s">
        <v>110</v>
      </c>
      <c r="U168" s="20"/>
      <c r="V168" s="20"/>
      <c r="W168" s="20" t="str">
        <f>TEXT(Table4[[#This Row],[Confirmed Sampling Date]], "yyyy") &amp; "_" &amp; TEXT(Table4[[#This Row],[Confirmed Sampling Date]], "mm") &amp; "_" &amp; TEXT(Table4[[#This Row],[Confirmed Sampling Date]], "dd")</f>
        <v>2025_09_01</v>
      </c>
      <c r="X168" s="20" t="str">
        <f t="shared" si="2"/>
        <v>Brussels</v>
      </c>
      <c r="Y168" s="20" t="str">
        <f>VLOOKUP(Table4[[#This Row],[FromSite-UPS]],Table1[[Company or Name]:[NOTES]],2,FALSE)</f>
        <v>Belgium</v>
      </c>
      <c r="Z168" s="20">
        <f>IFERROR(WEEKNUM(Table4[[#This Row],[Confirmed Sampling Date]] - 10, 21), "TBD")</f>
        <v>34</v>
      </c>
      <c r="AA168" s="20" t="str">
        <f>_xlfn.XLOOKUP(Table4[[#This Row],[FromSite-UPS]],sites!D:D,sites!W:W,"",0)</f>
        <v>Rue Juliette Wytsmanstraat 14, Brussels, 1050, Belgium</v>
      </c>
      <c r="AB168" s="20" t="str">
        <f>_xlfn.XLOOKUP(Table4[[#This Row],[ToLab]],labs!D:D,labs!P:P,"no adres",0)</f>
        <v>Av. Rovisco Pais 1, Laboratorio de Analises de Agua, Lisbon, 1049-001, Portugal</v>
      </c>
      <c r="AC168" s="20">
        <f>_xlfn.XLOOKUP(Table4[[#This Row],[combi]],AREA!E:E,AREA!F:F,"",0)</f>
        <v>89</v>
      </c>
      <c r="AD168" s="20" t="str">
        <f>_xlfn.XLOOKUP(Table4[[#This Row],[combi]],AREA!E:E,AREA!G:G,"",0)</f>
        <v>Pick-up service of hypothetic package as defined in the Tech. Specs. and delivery to lots
2 and 3 contractors according to Scenario 1</v>
      </c>
      <c r="AE168" s="20" t="s">
        <v>125</v>
      </c>
      <c r="AF168" s="20" t="str">
        <f>_xlfn.XLOOKUP(Table4[[#This Row],[FromSite-UPS]],sites!D:D,sites!AB:AB,"",0)&amp;_xlfn.XLOOKUP(Table4[[#This Row],[ToLab]],labs!D:D,labs!Q:Q,"",0)</f>
        <v>EUEU</v>
      </c>
    </row>
    <row r="169" spans="2:32" ht="15.6" hidden="1" customHeight="1" x14ac:dyDescent="0.25">
      <c r="B169" s="13">
        <v>243</v>
      </c>
      <c r="C169" s="14" t="s">
        <v>53</v>
      </c>
      <c r="D169" s="13">
        <v>1</v>
      </c>
      <c r="E169" s="83">
        <v>45902</v>
      </c>
      <c r="F169" s="83">
        <v>45902</v>
      </c>
      <c r="G169" s="20">
        <f>IFERROR(WEEKNUM(Table4[[#This Row],[Confirmed Pick-up Date]]),"TBD")</f>
        <v>36</v>
      </c>
      <c r="H169" s="20" t="str">
        <f>IFERROR(TEXT(Table4[[#This Row],[Confirmed Pick-up Date]],"yy-mm"),"TBD")</f>
        <v>25-09</v>
      </c>
      <c r="I169" s="13" t="s">
        <v>863</v>
      </c>
      <c r="J169" s="20" t="str">
        <f>IFERROR(VLOOKUP(Table4[[#This Row],[FromSite-UPS]],Table1[[#All],[Company or Name]:[FromSite3]],15,FALSE),"")</f>
        <v>Dusseldorf WWTP 2101</v>
      </c>
      <c r="K169" s="20" t="str">
        <f>IFERROR(VLOOKUP(Table4[[#This Row],[FromSite-UPS]],Table1[[#All],[Company or Name]:[FromSite3]],16,FALSE),"")</f>
        <v>Dusseldorf WWTP 601</v>
      </c>
      <c r="L169" s="20">
        <f>IFERROR(VLOOKUP(Table4[[#This Row],[FromSite-UPS]],Table1[[#All],[Company or Name]:[FromSite3]],14,FALSE),"")</f>
        <v>0.625</v>
      </c>
      <c r="M169" s="13" t="s">
        <v>1011</v>
      </c>
      <c r="N169" s="20" t="s">
        <v>134</v>
      </c>
      <c r="O169" s="20" t="s">
        <v>1382</v>
      </c>
      <c r="P169" s="65" t="s">
        <v>134</v>
      </c>
      <c r="Q169" s="65" t="s">
        <v>1529</v>
      </c>
      <c r="R169" s="20" t="s">
        <v>1429</v>
      </c>
      <c r="S169" s="20" t="s">
        <v>125</v>
      </c>
      <c r="T169" s="20" t="s">
        <v>110</v>
      </c>
      <c r="U169" s="20"/>
      <c r="V169" s="20"/>
      <c r="W169" s="20" t="str">
        <f>TEXT(Table4[[#This Row],[Confirmed Sampling Date]], "yyyy") &amp; "_" &amp; TEXT(Table4[[#This Row],[Confirmed Sampling Date]], "mm") &amp; "_" &amp; TEXT(Table4[[#This Row],[Confirmed Sampling Date]], "dd")</f>
        <v>2025_09_02</v>
      </c>
      <c r="X169" s="20" t="str">
        <f t="shared" si="2"/>
        <v>Dusseldorf</v>
      </c>
      <c r="Y169" s="20" t="str">
        <f>VLOOKUP(Table4[[#This Row],[FromSite-UPS]],Table1[[Company or Name]:[NOTES]],2,FALSE)</f>
        <v>Germany</v>
      </c>
      <c r="Z169" s="20">
        <f>IFERROR(WEEKNUM(Table4[[#This Row],[Confirmed Sampling Date]] - 10, 21), "TBD")</f>
        <v>34</v>
      </c>
      <c r="AA169" s="20" t="str">
        <f>_xlfn.XLOOKUP(Table4[[#This Row],[FromSite-UPS]],sites!D:D,sites!W:W,"",0)</f>
        <v>Auf dem Draap 15, Chemisch-Biologische Laboratorien, Dusseldorf, 40221, Germany</v>
      </c>
      <c r="AB169" s="20" t="str">
        <f>_xlfn.XLOOKUP(Table4[[#This Row],[ToLab]],labs!D:D,labs!P:P,"no adres",0)</f>
        <v>Av. Rovisco Pais 1, Laboratorio de Analises de Agua, Lisbon, 1049-001, Portugal</v>
      </c>
      <c r="AC169" s="20">
        <f>_xlfn.XLOOKUP(Table4[[#This Row],[combi]],AREA!E:E,AREA!F:F,"",0)</f>
        <v>89</v>
      </c>
      <c r="AD169" s="20" t="str">
        <f>_xlfn.XLOOKUP(Table4[[#This Row],[combi]],AREA!E:E,AREA!G:G,"",0)</f>
        <v>Pick-up service of hypothetic package as defined in the Tech. Specs. and delivery to lots
2 and 3 contractors according to Scenario 1</v>
      </c>
      <c r="AE169" s="20" t="s">
        <v>125</v>
      </c>
      <c r="AF169" s="20" t="str">
        <f>_xlfn.XLOOKUP(Table4[[#This Row],[FromSite-UPS]],sites!D:D,sites!AB:AB,"",0)&amp;_xlfn.XLOOKUP(Table4[[#This Row],[ToLab]],labs!D:D,labs!Q:Q,"",0)</f>
        <v>EUEU</v>
      </c>
    </row>
    <row r="170" spans="2:32" ht="15.6" hidden="1" customHeight="1" x14ac:dyDescent="0.25">
      <c r="B170" s="13">
        <v>255</v>
      </c>
      <c r="C170" s="14" t="s">
        <v>53</v>
      </c>
      <c r="D170" s="13">
        <v>1</v>
      </c>
      <c r="E170" s="84">
        <v>45902</v>
      </c>
      <c r="F170" s="84">
        <v>45902</v>
      </c>
      <c r="G170" s="20">
        <f>IFERROR(WEEKNUM(Table4[[#This Row],[Confirmed Pick-up Date]]),"TBD")</f>
        <v>36</v>
      </c>
      <c r="H170" s="20" t="str">
        <f>IFERROR(TEXT(Table4[[#This Row],[Confirmed Pick-up Date]],"yy-mm"),"TBD")</f>
        <v>25-09</v>
      </c>
      <c r="I170" s="66" t="s">
        <v>863</v>
      </c>
      <c r="J170" s="20" t="str">
        <f>IFERROR(VLOOKUP(Table4[[#This Row],[FromSite-UPS]],Table1[[#All],[Company or Name]:[FromSite3]],15,FALSE),"")</f>
        <v>Dusseldorf WWTP 2101</v>
      </c>
      <c r="K170" s="20" t="str">
        <f>IFERROR(VLOOKUP(Table4[[#This Row],[FromSite-UPS]],Table1[[#All],[Company or Name]:[FromSite3]],16,FALSE),"")</f>
        <v>Dusseldorf WWTP 601</v>
      </c>
      <c r="L170" s="20">
        <f>IFERROR(VLOOKUP(Table4[[#This Row],[FromSite-UPS]],Table1[[#All],[Company or Name]:[FromSite3]],14,FALSE),"")</f>
        <v>0.625</v>
      </c>
      <c r="M170" s="44" t="s">
        <v>1011</v>
      </c>
      <c r="N170" s="20" t="s">
        <v>134</v>
      </c>
      <c r="O170" s="20" t="s">
        <v>1383</v>
      </c>
      <c r="P170" s="65" t="s">
        <v>134</v>
      </c>
      <c r="Q170" s="65" t="s">
        <v>1529</v>
      </c>
      <c r="R170" s="20" t="s">
        <v>1430</v>
      </c>
      <c r="S170" s="20" t="s">
        <v>125</v>
      </c>
      <c r="T170" s="20" t="s">
        <v>110</v>
      </c>
      <c r="U170" s="20"/>
      <c r="V170" s="20"/>
      <c r="W170" s="20" t="str">
        <f>TEXT(Table4[[#This Row],[Confirmed Sampling Date]], "yyyy") &amp; "_" &amp; TEXT(Table4[[#This Row],[Confirmed Sampling Date]], "mm") &amp; "_" &amp; TEXT(Table4[[#This Row],[Confirmed Sampling Date]], "dd")</f>
        <v>2025_09_02</v>
      </c>
      <c r="X170" s="20" t="str">
        <f t="shared" si="2"/>
        <v>Dusseldorf</v>
      </c>
      <c r="Y170" s="20" t="str">
        <f>VLOOKUP(Table4[[#This Row],[FromSite-UPS]],Table1[[Company or Name]:[NOTES]],2,FALSE)</f>
        <v>Germany</v>
      </c>
      <c r="Z170" s="20">
        <f>IFERROR(WEEKNUM(Table4[[#This Row],[Confirmed Sampling Date]] - 10, 21), "TBD")</f>
        <v>34</v>
      </c>
      <c r="AA170" s="20" t="str">
        <f>_xlfn.XLOOKUP(Table4[[#This Row],[FromSite-UPS]],sites!D:D,sites!W:W,"",0)</f>
        <v>Auf dem Draap 15, Chemisch-Biologische Laboratorien, Dusseldorf, 40221, Germany</v>
      </c>
      <c r="AB170" s="20" t="str">
        <f>_xlfn.XLOOKUP(Table4[[#This Row],[ToLab]],labs!D:D,labs!P:P,"no adres",0)</f>
        <v>Av. Rovisco Pais 1, Laboratorio de Analises de Agua, Lisbon, 1049-001, Portugal</v>
      </c>
      <c r="AC170" s="20">
        <f>_xlfn.XLOOKUP(Table4[[#This Row],[combi]],AREA!E:E,AREA!F:F,"",0)</f>
        <v>89</v>
      </c>
      <c r="AD170" s="20" t="str">
        <f>_xlfn.XLOOKUP(Table4[[#This Row],[combi]],AREA!E:E,AREA!G:G,"",0)</f>
        <v>Pick-up service of hypothetic package as defined in the Tech. Specs. and delivery to lots
2 and 3 contractors according to Scenario 1</v>
      </c>
      <c r="AE170" s="20" t="s">
        <v>125</v>
      </c>
      <c r="AF170" s="20" t="str">
        <f>_xlfn.XLOOKUP(Table4[[#This Row],[FromSite-UPS]],sites!D:D,sites!AB:AB,"",0)&amp;_xlfn.XLOOKUP(Table4[[#This Row],[ToLab]],labs!D:D,labs!Q:Q,"",0)</f>
        <v>EUEU</v>
      </c>
    </row>
    <row r="171" spans="2:32" ht="15.6" hidden="1" customHeight="1" x14ac:dyDescent="0.25">
      <c r="B171" s="13">
        <v>512</v>
      </c>
      <c r="C171" s="14" t="s">
        <v>53</v>
      </c>
      <c r="D171" s="13">
        <v>1</v>
      </c>
      <c r="E171" s="83">
        <v>45902</v>
      </c>
      <c r="F171" s="83">
        <v>45902</v>
      </c>
      <c r="G171" s="20">
        <f>IFERROR(WEEKNUM(Table4[[#This Row],[Confirmed Pick-up Date]]),"TBD")</f>
        <v>36</v>
      </c>
      <c r="H171" s="20" t="str">
        <f>IFERROR(TEXT(Table4[[#This Row],[Confirmed Pick-up Date]],"yy-mm"),"TBD")</f>
        <v>25-09</v>
      </c>
      <c r="I171" s="78" t="s">
        <v>1125</v>
      </c>
      <c r="J171" s="20" t="str">
        <f>IFERROR(VLOOKUP(Table4[[#This Row],[FromSite-UPS]],Table1[[#All],[Company or Name]:[FromSite3]],15,FALSE),"")</f>
        <v>Cluj-SCBI</v>
      </c>
      <c r="K171" s="20" t="str">
        <f>IFERROR(VLOOKUP(Table4[[#This Row],[FromSite-UPS]],Table1[[#All],[Company or Name]:[FromSite3]],16,FALSE),"")</f>
        <v>-</v>
      </c>
      <c r="L171" s="20">
        <f>IFERROR(VLOOKUP(Table4[[#This Row],[FromSite-UPS]],Table1[[#All],[Company or Name]:[FromSite3]],14,FALSE),"")</f>
        <v>0.66666666666666663</v>
      </c>
      <c r="M171" s="13" t="s">
        <v>1011</v>
      </c>
      <c r="N171" s="20" t="s">
        <v>134</v>
      </c>
      <c r="O171" s="20" t="s">
        <v>1398</v>
      </c>
      <c r="P171" s="20" t="s">
        <v>134</v>
      </c>
      <c r="Q171" s="20" t="s">
        <v>1525</v>
      </c>
      <c r="R171" s="20" t="s">
        <v>1424</v>
      </c>
      <c r="S171" s="20" t="s">
        <v>125</v>
      </c>
      <c r="T171" s="20" t="s">
        <v>110</v>
      </c>
      <c r="U171" s="20"/>
      <c r="V171" s="20"/>
      <c r="W171" s="20" t="str">
        <f>TEXT(Table4[[#This Row],[Confirmed Sampling Date]], "yyyy") &amp; "_" &amp; TEXT(Table4[[#This Row],[Confirmed Sampling Date]], "mm") &amp; "_" &amp; TEXT(Table4[[#This Row],[Confirmed Sampling Date]], "dd")</f>
        <v>2025_09_02</v>
      </c>
      <c r="X171" s="20" t="str">
        <f t="shared" si="2"/>
        <v>Cluj-SCBI</v>
      </c>
      <c r="Y171" s="20" t="str">
        <f>VLOOKUP(Table4[[#This Row],[FromSite-UPS]],Table1[[Company or Name]:[NOTES]],2,FALSE)</f>
        <v>Romania</v>
      </c>
      <c r="Z171" s="20">
        <f>IFERROR(WEEKNUM(Table4[[#This Row],[Confirmed Sampling Date]] - 10, 21), "TBD")</f>
        <v>34</v>
      </c>
      <c r="AA171" s="20" t="str">
        <f>_xlfn.XLOOKUP(Table4[[#This Row],[FromSite-UPS]],sites!D:D,sites!W:W,"",0)</f>
        <v>Strada Iuliu Moldovan 23, Cluj-Napoca, 400003, Romania</v>
      </c>
      <c r="AB171" s="20" t="str">
        <f>_xlfn.XLOOKUP(Table4[[#This Row],[ToLab]],labs!D:D,labs!P:P,"no adres",0)</f>
        <v>Av. Rovisco Pais 1, Laboratorio de Analises de Agua, Lisbon, 1049-001, Portugal</v>
      </c>
      <c r="AC171" s="20">
        <f>_xlfn.XLOOKUP(Table4[[#This Row],[combi]],AREA!E:E,AREA!F:F,"",0)</f>
        <v>89</v>
      </c>
      <c r="AD171" s="20" t="str">
        <f>_xlfn.XLOOKUP(Table4[[#This Row],[combi]],AREA!E:E,AREA!G:G,"",0)</f>
        <v>Pick-up service of hypothetic package as defined in the Tech. Specs. and delivery to lots
2 and 3 contractors according to Scenario 1</v>
      </c>
      <c r="AE171" s="20" t="s">
        <v>125</v>
      </c>
      <c r="AF171" s="20" t="str">
        <f>_xlfn.XLOOKUP(Table4[[#This Row],[FromSite-UPS]],sites!D:D,sites!AB:AB,"",0)&amp;_xlfn.XLOOKUP(Table4[[#This Row],[ToLab]],labs!D:D,labs!Q:Q,"",0)</f>
        <v>EUEU</v>
      </c>
    </row>
    <row r="172" spans="2:32" ht="15.6" hidden="1" customHeight="1" x14ac:dyDescent="0.25">
      <c r="B172" s="13">
        <v>521</v>
      </c>
      <c r="C172" s="14" t="s">
        <v>53</v>
      </c>
      <c r="D172" s="13">
        <v>1</v>
      </c>
      <c r="E172" s="83">
        <v>45902</v>
      </c>
      <c r="F172" s="83">
        <v>45902</v>
      </c>
      <c r="G172" s="20">
        <f>IFERROR(WEEKNUM(Table4[[#This Row],[Confirmed Pick-up Date]]),"TBD")</f>
        <v>36</v>
      </c>
      <c r="H172" s="20" t="str">
        <f>IFERROR(TEXT(Table4[[#This Row],[Confirmed Pick-up Date]],"yy-mm"),"TBD")</f>
        <v>25-09</v>
      </c>
      <c r="I172" s="78" t="s">
        <v>1132</v>
      </c>
      <c r="J172" s="20" t="str">
        <f>IFERROR(VLOOKUP(Table4[[#This Row],[FromSite-UPS]],Table1[[#All],[Company or Name]:[FromSite3]],15,FALSE),"")</f>
        <v>Cluj-MNC</v>
      </c>
      <c r="K172" s="20" t="str">
        <f>IFERROR(VLOOKUP(Table4[[#This Row],[FromSite-UPS]],Table1[[#All],[Company or Name]:[FromSite3]],16,FALSE),"")</f>
        <v>-</v>
      </c>
      <c r="L172" s="20">
        <f>IFERROR(VLOOKUP(Table4[[#This Row],[FromSite-UPS]],Table1[[#All],[Company or Name]:[FromSite3]],14,FALSE),"")</f>
        <v>0.66666666666666663</v>
      </c>
      <c r="M172" s="13" t="s">
        <v>1011</v>
      </c>
      <c r="N172" s="20" t="s">
        <v>134</v>
      </c>
      <c r="O172" s="20" t="s">
        <v>1399</v>
      </c>
      <c r="P172" s="20" t="s">
        <v>134</v>
      </c>
      <c r="Q172" s="37" t="s">
        <v>1527</v>
      </c>
      <c r="R172" s="20" t="s">
        <v>1425</v>
      </c>
      <c r="S172" s="20" t="s">
        <v>125</v>
      </c>
      <c r="T172" s="20" t="s">
        <v>110</v>
      </c>
      <c r="U172" s="20"/>
      <c r="V172" s="20"/>
      <c r="W172" s="20" t="str">
        <f>TEXT(Table4[[#This Row],[Confirmed Sampling Date]], "yyyy") &amp; "_" &amp; TEXT(Table4[[#This Row],[Confirmed Sampling Date]], "mm") &amp; "_" &amp; TEXT(Table4[[#This Row],[Confirmed Sampling Date]], "dd")</f>
        <v>2025_09_02</v>
      </c>
      <c r="X172" s="20" t="str">
        <f t="shared" si="2"/>
        <v>Cluj-MNC</v>
      </c>
      <c r="Y172" s="20" t="str">
        <f>VLOOKUP(Table4[[#This Row],[FromSite-UPS]],Table1[[Company or Name]:[NOTES]],2,FALSE)</f>
        <v>Romania</v>
      </c>
      <c r="Z172" s="20">
        <f>IFERROR(WEEKNUM(Table4[[#This Row],[Confirmed Sampling Date]] - 10, 21), "TBD")</f>
        <v>34</v>
      </c>
      <c r="AA172" s="20" t="str">
        <f>_xlfn.XLOOKUP(Table4[[#This Row],[FromSite-UPS]],sites!D:D,sites!W:W,"",0)</f>
        <v>Strada Tăbăcarilor 11, Cluj-Napoca, 400139, Romania</v>
      </c>
      <c r="AB172" s="20" t="str">
        <f>_xlfn.XLOOKUP(Table4[[#This Row],[ToLab]],labs!D:D,labs!P:P,"no adres",0)</f>
        <v>Av. Rovisco Pais 1, Laboratorio de Analises de Agua, Lisbon, 1049-001, Portugal</v>
      </c>
      <c r="AC172" s="20">
        <f>_xlfn.XLOOKUP(Table4[[#This Row],[combi]],AREA!E:E,AREA!F:F,"",0)</f>
        <v>89</v>
      </c>
      <c r="AD172" s="20" t="str">
        <f>_xlfn.XLOOKUP(Table4[[#This Row],[combi]],AREA!E:E,AREA!G:G,"",0)</f>
        <v>Pick-up service of hypothetic package as defined in the Tech. Specs. and delivery to lots
2 and 3 contractors according to Scenario 1</v>
      </c>
      <c r="AE172" s="20" t="s">
        <v>125</v>
      </c>
      <c r="AF172" s="20" t="str">
        <f>_xlfn.XLOOKUP(Table4[[#This Row],[FromSite-UPS]],sites!D:D,sites!AB:AB,"",0)&amp;_xlfn.XLOOKUP(Table4[[#This Row],[ToLab]],labs!D:D,labs!Q:Q,"",0)</f>
        <v>EUEU</v>
      </c>
    </row>
    <row r="173" spans="2:32" ht="15.6" hidden="1" customHeight="1" x14ac:dyDescent="0.25">
      <c r="B173" s="13">
        <v>587</v>
      </c>
      <c r="C173" s="14" t="s">
        <v>53</v>
      </c>
      <c r="D173" s="13">
        <v>1</v>
      </c>
      <c r="E173" s="83">
        <v>45901</v>
      </c>
      <c r="F173" s="83">
        <v>45902</v>
      </c>
      <c r="G173" s="20">
        <f>IFERROR(WEEKNUM(Table4[[#This Row],[Confirmed Pick-up Date]]),"TBD")</f>
        <v>36</v>
      </c>
      <c r="H173" s="20" t="str">
        <f>IFERROR(TEXT(Table4[[#This Row],[Confirmed Pick-up Date]],"yy-mm"),"TBD")</f>
        <v>25-09</v>
      </c>
      <c r="I173" s="13" t="s">
        <v>1292</v>
      </c>
      <c r="J173" s="20" t="str">
        <f>IFERROR(VLOOKUP(Table4[[#This Row],[FromSite-UPS]],Table1[[#All],[Company or Name]:[FromSite3]],15,FALSE),"")</f>
        <v>Bologna WWTP</v>
      </c>
      <c r="K173" s="20" t="s">
        <v>127</v>
      </c>
      <c r="L173" s="20">
        <f>IFERROR(VLOOKUP(Table4[[#This Row],[FromSite-UPS]],Table1[[#All],[Company or Name]:[FromSite3]],14,FALSE),"")</f>
        <v>0.66666666666666663</v>
      </c>
      <c r="M173" s="13" t="s">
        <v>1011</v>
      </c>
      <c r="N173" s="20" t="s">
        <v>134</v>
      </c>
      <c r="O173" s="20" t="s">
        <v>1402</v>
      </c>
      <c r="P173" s="20" t="s">
        <v>134</v>
      </c>
      <c r="Q173" s="20" t="s">
        <v>1558</v>
      </c>
      <c r="R173" s="20" t="s">
        <v>1414</v>
      </c>
      <c r="S173" s="20" t="s">
        <v>125</v>
      </c>
      <c r="T173" s="20" t="s">
        <v>110</v>
      </c>
      <c r="U173" s="20"/>
      <c r="V173" s="20"/>
      <c r="W173" s="20" t="str">
        <f>TEXT(Table4[[#This Row],[Confirmed Sampling Date]], "yyyy") &amp; "_" &amp; TEXT(Table4[[#This Row],[Confirmed Sampling Date]], "mm") &amp; "_" &amp; TEXT(Table4[[#This Row],[Confirmed Sampling Date]], "dd")</f>
        <v>2025_09_01</v>
      </c>
      <c r="X173" s="20" t="str">
        <f t="shared" si="2"/>
        <v>Bologna</v>
      </c>
      <c r="Y173" s="20" t="str">
        <f>VLOOKUP(Table4[[#This Row],[FromSite-UPS]],Table1[[Company or Name]:[NOTES]],2,FALSE)</f>
        <v>Italy</v>
      </c>
      <c r="Z173" s="20">
        <f>IFERROR(WEEKNUM(Table4[[#This Row],[Confirmed Sampling Date]] - 10, 21), "TBD")</f>
        <v>34</v>
      </c>
      <c r="AA173" s="20" t="str">
        <f>_xlfn.XLOOKUP(Table4[[#This Row],[FromSite-UPS]],sites!D:D,sites!W:W,"",0)</f>
        <v>VIA SHAKESPEARE 29, Bologna, 40128, Italy</v>
      </c>
      <c r="AB173" s="20" t="str">
        <f>_xlfn.XLOOKUP(Table4[[#This Row],[ToLab]],labs!D:D,labs!P:P,"no adres",0)</f>
        <v>Av. Rovisco Pais 1, Laboratorio de Analises de Agua, Lisbon, 1049-001, Portugal</v>
      </c>
      <c r="AC173" s="20">
        <f>_xlfn.XLOOKUP(Table4[[#This Row],[combi]],AREA!E:E,AREA!F:F,"",0)</f>
        <v>89</v>
      </c>
      <c r="AD173" s="20" t="str">
        <f>_xlfn.XLOOKUP(Table4[[#This Row],[combi]],AREA!E:E,AREA!G:G,"",0)</f>
        <v>Pick-up service of hypothetic package as defined in the Tech. Specs. and delivery to lots
2 and 3 contractors according to Scenario 1</v>
      </c>
      <c r="AE173" s="20" t="s">
        <v>125</v>
      </c>
      <c r="AF173" s="20" t="str">
        <f>_xlfn.XLOOKUP(Table4[[#This Row],[FromSite-UPS]],sites!D:D,sites!AB:AB,"",0)&amp;_xlfn.XLOOKUP(Table4[[#This Row],[ToLab]],labs!D:D,labs!Q:Q,"",0)</f>
        <v>EUEU</v>
      </c>
    </row>
    <row r="174" spans="2:32" ht="15.6" hidden="1" customHeight="1" x14ac:dyDescent="0.25">
      <c r="B174" s="13">
        <v>603</v>
      </c>
      <c r="C174" s="14" t="s">
        <v>53</v>
      </c>
      <c r="D174" s="13">
        <v>1</v>
      </c>
      <c r="E174" s="83">
        <v>45902</v>
      </c>
      <c r="F174" s="83">
        <v>45902</v>
      </c>
      <c r="G174" s="20">
        <f>IFERROR(WEEKNUM(Table4[[#This Row],[Confirmed Pick-up Date]]),"TBD")</f>
        <v>36</v>
      </c>
      <c r="H174" s="20" t="str">
        <f>IFERROR(TEXT(Table4[[#This Row],[Confirmed Pick-up Date]],"yy-mm"),"TBD")</f>
        <v>25-09</v>
      </c>
      <c r="I174" s="78" t="s">
        <v>1132</v>
      </c>
      <c r="J174" s="20" t="str">
        <f>IFERROR(VLOOKUP(Table4[[#This Row],[FromSite-UPS]],Table1[[#All],[Company or Name]:[FromSite3]],15,FALSE),"")</f>
        <v>Cluj-MNC</v>
      </c>
      <c r="K174" s="20" t="str">
        <f>IFERROR(VLOOKUP(Table4[[#This Row],[FromSite-UPS]],Table1[[#All],[Company or Name]:[FromSite3]],16,FALSE),"")</f>
        <v>-</v>
      </c>
      <c r="L174" s="20">
        <f>IFERROR(VLOOKUP(Table4[[#This Row],[FromSite-UPS]],Table1[[#All],[Company or Name]:[FromSite3]],14,FALSE),"")</f>
        <v>0.66666666666666663</v>
      </c>
      <c r="M174" s="13" t="s">
        <v>1011</v>
      </c>
      <c r="N174" s="20" t="s">
        <v>134</v>
      </c>
      <c r="O174" s="20" t="s">
        <v>1546</v>
      </c>
      <c r="P174" s="20"/>
      <c r="Q174" s="20"/>
      <c r="R174" s="20" t="s">
        <v>1425</v>
      </c>
      <c r="S174" s="20" t="s">
        <v>125</v>
      </c>
      <c r="T174" s="20" t="s">
        <v>110</v>
      </c>
      <c r="U174" s="20"/>
      <c r="V174" s="20"/>
      <c r="W174" s="20" t="str">
        <f>TEXT(Table4[[#This Row],[Confirmed Sampling Date]], "yyyy") &amp; "_" &amp; TEXT(Table4[[#This Row],[Confirmed Sampling Date]], "mm") &amp; "_" &amp; TEXT(Table4[[#This Row],[Confirmed Sampling Date]], "dd")</f>
        <v>2025_09_02</v>
      </c>
      <c r="X174" s="20" t="str">
        <f t="shared" si="2"/>
        <v>Cluj-MNC</v>
      </c>
      <c r="Y174" s="20" t="str">
        <f>VLOOKUP(Table4[[#This Row],[FromSite-UPS]],Table1[[Company or Name]:[NOTES]],2,FALSE)</f>
        <v>Romania</v>
      </c>
      <c r="Z174" s="20">
        <f>IFERROR(WEEKNUM(Table4[[#This Row],[Confirmed Sampling Date]] - 10, 21), "TBD")</f>
        <v>34</v>
      </c>
      <c r="AA174" s="20" t="str">
        <f>_xlfn.XLOOKUP(Table4[[#This Row],[FromSite-UPS]],sites!D:D,sites!W:W,"",0)</f>
        <v>Strada Tăbăcarilor 11, Cluj-Napoca, 400139, Romania</v>
      </c>
      <c r="AB174" s="20" t="str">
        <f>_xlfn.XLOOKUP(Table4[[#This Row],[ToLab]],labs!D:D,labs!P:P,"no adres",0)</f>
        <v>Av. Rovisco Pais 1, Laboratorio de Analises de Agua, Lisbon, 1049-001, Portugal</v>
      </c>
      <c r="AC174" s="20">
        <f>_xlfn.XLOOKUP(Table4[[#This Row],[combi]],AREA!E:E,AREA!F:F,"",0)</f>
        <v>89</v>
      </c>
      <c r="AD174" s="20" t="str">
        <f>_xlfn.XLOOKUP(Table4[[#This Row],[combi]],AREA!E:E,AREA!G:G,"",0)</f>
        <v>Pick-up service of hypothetic package as defined in the Tech. Specs. and delivery to lots
2 and 3 contractors according to Scenario 1</v>
      </c>
      <c r="AE174" s="20" t="s">
        <v>125</v>
      </c>
      <c r="AF174" s="20" t="str">
        <f>_xlfn.XLOOKUP(Table4[[#This Row],[FromSite-UPS]],sites!D:D,sites!AB:AB,"",0)&amp;_xlfn.XLOOKUP(Table4[[#This Row],[ToLab]],labs!D:D,labs!Q:Q,"",0)</f>
        <v>EUEU</v>
      </c>
    </row>
    <row r="175" spans="2:32" ht="15.6" hidden="1" customHeight="1" x14ac:dyDescent="0.25">
      <c r="B175" s="13">
        <v>604</v>
      </c>
      <c r="C175" s="14" t="s">
        <v>53</v>
      </c>
      <c r="D175" s="13">
        <v>1</v>
      </c>
      <c r="E175" s="83">
        <v>45902</v>
      </c>
      <c r="F175" s="83">
        <v>45902</v>
      </c>
      <c r="G175" s="20">
        <f>IFERROR(WEEKNUM(Table4[[#This Row],[Confirmed Pick-up Date]]),"TBD")</f>
        <v>36</v>
      </c>
      <c r="H175" s="20" t="str">
        <f>IFERROR(TEXT(Table4[[#This Row],[Confirmed Pick-up Date]],"yy-mm"),"TBD")</f>
        <v>25-09</v>
      </c>
      <c r="I175" s="78" t="s">
        <v>1125</v>
      </c>
      <c r="J175" s="20" t="str">
        <f>IFERROR(VLOOKUP(Table4[[#This Row],[FromSite-UPS]],Table1[[#All],[Company or Name]:[FromSite3]],15,FALSE),"")</f>
        <v>Cluj-SCBI</v>
      </c>
      <c r="K175" s="20" t="str">
        <f>IFERROR(VLOOKUP(Table4[[#This Row],[FromSite-UPS]],Table1[[#All],[Company or Name]:[FromSite3]],16,FALSE),"")</f>
        <v>-</v>
      </c>
      <c r="L175" s="20">
        <f>IFERROR(VLOOKUP(Table4[[#This Row],[FromSite-UPS]],Table1[[#All],[Company or Name]:[FromSite3]],14,FALSE),"")</f>
        <v>0.66666666666666663</v>
      </c>
      <c r="M175" s="13" t="s">
        <v>1011</v>
      </c>
      <c r="N175" s="20" t="s">
        <v>134</v>
      </c>
      <c r="O175" s="20" t="s">
        <v>1545</v>
      </c>
      <c r="P175" s="20"/>
      <c r="Q175" s="20"/>
      <c r="R175" s="20" t="s">
        <v>1424</v>
      </c>
      <c r="S175" s="20" t="s">
        <v>125</v>
      </c>
      <c r="T175" s="20" t="s">
        <v>110</v>
      </c>
      <c r="U175" s="20"/>
      <c r="V175" s="20"/>
      <c r="W175" s="20" t="str">
        <f>TEXT(Table4[[#This Row],[Confirmed Sampling Date]], "yyyy") &amp; "_" &amp; TEXT(Table4[[#This Row],[Confirmed Sampling Date]], "mm") &amp; "_" &amp; TEXT(Table4[[#This Row],[Confirmed Sampling Date]], "dd")</f>
        <v>2025_09_02</v>
      </c>
      <c r="X175" s="20" t="str">
        <f t="shared" si="2"/>
        <v>Cluj-SCBI</v>
      </c>
      <c r="Y175" s="20" t="str">
        <f>VLOOKUP(Table4[[#This Row],[FromSite-UPS]],Table1[[Company or Name]:[NOTES]],2,FALSE)</f>
        <v>Romania</v>
      </c>
      <c r="Z175" s="20">
        <f>IFERROR(WEEKNUM(Table4[[#This Row],[Confirmed Sampling Date]] - 10, 21), "TBD")</f>
        <v>34</v>
      </c>
      <c r="AA175" s="20" t="str">
        <f>_xlfn.XLOOKUP(Table4[[#This Row],[FromSite-UPS]],sites!D:D,sites!W:W,"",0)</f>
        <v>Strada Iuliu Moldovan 23, Cluj-Napoca, 400003, Romania</v>
      </c>
      <c r="AB175" s="20" t="str">
        <f>_xlfn.XLOOKUP(Table4[[#This Row],[ToLab]],labs!D:D,labs!P:P,"no adres",0)</f>
        <v>Av. Rovisco Pais 1, Laboratorio de Analises de Agua, Lisbon, 1049-001, Portugal</v>
      </c>
      <c r="AC175" s="20">
        <f>_xlfn.XLOOKUP(Table4[[#This Row],[combi]],AREA!E:E,AREA!F:F,"",0)</f>
        <v>89</v>
      </c>
      <c r="AD175" s="20" t="str">
        <f>_xlfn.XLOOKUP(Table4[[#This Row],[combi]],AREA!E:E,AREA!G:G,"",0)</f>
        <v>Pick-up service of hypothetic package as defined in the Tech. Specs. and delivery to lots
2 and 3 contractors according to Scenario 1</v>
      </c>
      <c r="AE175" s="20" t="s">
        <v>125</v>
      </c>
      <c r="AF175" s="20" t="str">
        <f>_xlfn.XLOOKUP(Table4[[#This Row],[FromSite-UPS]],sites!D:D,sites!AB:AB,"",0)&amp;_xlfn.XLOOKUP(Table4[[#This Row],[ToLab]],labs!D:D,labs!Q:Q,"",0)</f>
        <v>EUEU</v>
      </c>
    </row>
    <row r="176" spans="2:32" ht="15.6" hidden="1" customHeight="1" x14ac:dyDescent="0.25">
      <c r="B176" s="13">
        <v>27</v>
      </c>
      <c r="C176" s="14" t="s">
        <v>53</v>
      </c>
      <c r="D176" s="13">
        <v>1</v>
      </c>
      <c r="E176" s="83">
        <v>45902</v>
      </c>
      <c r="F176" s="83">
        <v>45903</v>
      </c>
      <c r="G176" s="20">
        <f>IFERROR(WEEKNUM(Table4[[#This Row],[Confirmed Pick-up Date]]),"TBD")</f>
        <v>36</v>
      </c>
      <c r="H176" s="20" t="str">
        <f>IFERROR(TEXT(Table4[[#This Row],[Confirmed Pick-up Date]],"yy-mm"),"TBD")</f>
        <v>25-09</v>
      </c>
      <c r="I176" s="13" t="s">
        <v>19</v>
      </c>
      <c r="J176" s="13" t="str">
        <f>IFERROR(VLOOKUP(Table4[[#This Row],[FromSite-UPS]],Table1[[#All],[Company or Name]:[FromSite3]],15,FALSE),"")</f>
        <v>Munich WWTP</v>
      </c>
      <c r="K176" s="20" t="str">
        <f>IFERROR(VLOOKUP(Table4[[#This Row],[FromSite-UPS]],Table1[[#All],[Company or Name]:[FromSite3]],16,FALSE),"")</f>
        <v>Munich Airport</v>
      </c>
      <c r="L176" s="20">
        <f>IFERROR(VLOOKUP(Table4[[#This Row],[FromSite-UPS]],Table1[[#All],[Company or Name]:[FromSite3]],14,FALSE),"")</f>
        <v>0.58333333333333337</v>
      </c>
      <c r="M176" s="13" t="s">
        <v>1011</v>
      </c>
      <c r="N176" s="20" t="s">
        <v>134</v>
      </c>
      <c r="O176" s="13" t="s">
        <v>1387</v>
      </c>
      <c r="P176" s="13" t="s">
        <v>134</v>
      </c>
      <c r="Q176" s="20" t="s">
        <v>1534</v>
      </c>
      <c r="R176" s="20" t="s">
        <v>1416</v>
      </c>
      <c r="S176" s="20" t="s">
        <v>125</v>
      </c>
      <c r="T176" s="20" t="s">
        <v>110</v>
      </c>
      <c r="U176" s="20"/>
      <c r="V176" s="20"/>
      <c r="W176" s="20" t="str">
        <f>TEXT(Table4[[#This Row],[Confirmed Sampling Date]], "yyyy") &amp; "_" &amp; TEXT(Table4[[#This Row],[Confirmed Sampling Date]], "mm") &amp; "_" &amp; TEXT(Table4[[#This Row],[Confirmed Sampling Date]], "dd")</f>
        <v>2025_09_02</v>
      </c>
      <c r="X176" s="20" t="str">
        <f t="shared" si="2"/>
        <v>Munich</v>
      </c>
      <c r="Y176" s="20" t="str">
        <f>VLOOKUP(Table4[[#This Row],[FromSite-UPS]],Table1[[Company or Name]:[NOTES]],2,FALSE)</f>
        <v>Germany</v>
      </c>
      <c r="Z176" s="20">
        <f>IFERROR(WEEKNUM(Table4[[#This Row],[Confirmed Sampling Date]] - 10, 21), "TBD")</f>
        <v>34</v>
      </c>
      <c r="AA176" s="20" t="str">
        <f>_xlfn.XLOOKUP(Table4[[#This Row],[FromSite-UPS]],sites!D:D,sites!W:W,"",0)</f>
        <v>Leopoldstrasse 5, Institut fuer Infektions- und Tropenmedizin, Munich, 80802, Germany</v>
      </c>
      <c r="AB176" s="20" t="str">
        <f>_xlfn.XLOOKUP(Table4[[#This Row],[ToLab]],labs!D:D,labs!P:P,"no adres",0)</f>
        <v>Av. Rovisco Pais 1, Laboratorio de Analises de Agua, Lisbon, 1049-001, Portugal</v>
      </c>
      <c r="AC176" s="20">
        <f>_xlfn.XLOOKUP(Table4[[#This Row],[combi]],AREA!E:E,AREA!F:F,"",0)</f>
        <v>89</v>
      </c>
      <c r="AD176" s="20" t="str">
        <f>_xlfn.XLOOKUP(Table4[[#This Row],[combi]],AREA!E:E,AREA!G:G,"",0)</f>
        <v>Pick-up service of hypothetic package as defined in the Tech. Specs. and delivery to lots
2 and 3 contractors according to Scenario 1</v>
      </c>
      <c r="AE176" s="20" t="s">
        <v>125</v>
      </c>
      <c r="AF176" s="20" t="str">
        <f>_xlfn.XLOOKUP(Table4[[#This Row],[FromSite-UPS]],sites!D:D,sites!AB:AB,"",0)&amp;_xlfn.XLOOKUP(Table4[[#This Row],[ToLab]],labs!D:D,labs!Q:Q,"",0)</f>
        <v>EUEU</v>
      </c>
    </row>
    <row r="177" spans="2:32" ht="15.6" hidden="1" customHeight="1" x14ac:dyDescent="0.25">
      <c r="B177" s="13">
        <v>41</v>
      </c>
      <c r="C177" s="14" t="s">
        <v>53</v>
      </c>
      <c r="D177" s="13">
        <v>1</v>
      </c>
      <c r="E177" s="22">
        <v>45902</v>
      </c>
      <c r="F177" s="22">
        <v>45903</v>
      </c>
      <c r="G177" s="20">
        <f>IFERROR(WEEKNUM(Table4[[#This Row],[Confirmed Pick-up Date]]),"TBD")</f>
        <v>36</v>
      </c>
      <c r="H177" s="20" t="str">
        <f>IFERROR(TEXT(Table4[[#This Row],[Confirmed Pick-up Date]],"yy-mm"),"TBD")</f>
        <v>25-09</v>
      </c>
      <c r="I177" s="13" t="s">
        <v>677</v>
      </c>
      <c r="J177" s="13" t="str">
        <f>IFERROR(VLOOKUP(Table4[[#This Row],[FromSite-UPS]],Table1[[#All],[Company or Name]:[FromSite3]],15,FALSE),"")</f>
        <v>Frankfurt WWTP</v>
      </c>
      <c r="K177" s="20" t="str">
        <f>IFERROR(VLOOKUP(Table4[[#This Row],[FromSite-UPS]],Table1[[#All],[Company or Name]:[FromSite3]],16,FALSE),"")</f>
        <v>Frankfurt Airport</v>
      </c>
      <c r="L177" s="20">
        <f>IFERROR(VLOOKUP(Table4[[#This Row],[FromSite-UPS]],Table1[[#All],[Company or Name]:[FromSite3]],14,FALSE),"")</f>
        <v>0.58333333333333337</v>
      </c>
      <c r="M177" s="13" t="s">
        <v>1011</v>
      </c>
      <c r="N177" s="20" t="s">
        <v>134</v>
      </c>
      <c r="O177" s="13" t="s">
        <v>1397</v>
      </c>
      <c r="P177" s="13" t="s">
        <v>134</v>
      </c>
      <c r="Q177" s="37" t="s">
        <v>1531</v>
      </c>
      <c r="R177" s="20" t="s">
        <v>1421</v>
      </c>
      <c r="S177" s="20" t="s">
        <v>125</v>
      </c>
      <c r="T177" s="20" t="s">
        <v>110</v>
      </c>
      <c r="U177" s="20"/>
      <c r="V177" s="20"/>
      <c r="W177" s="20" t="str">
        <f>TEXT(Table4[[#This Row],[Confirmed Sampling Date]], "yyyy") &amp; "_" &amp; TEXT(Table4[[#This Row],[Confirmed Sampling Date]], "mm") &amp; "_" &amp; TEXT(Table4[[#This Row],[Confirmed Sampling Date]], "dd")</f>
        <v>2025_09_02</v>
      </c>
      <c r="X177" s="20" t="str">
        <f t="shared" si="2"/>
        <v>Frankfurt</v>
      </c>
      <c r="Y177" s="20" t="str">
        <f>VLOOKUP(Table4[[#This Row],[FromSite-UPS]],Table1[[Company or Name]:[NOTES]],2,FALSE)</f>
        <v>Germany</v>
      </c>
      <c r="Z177" s="20">
        <f>IFERROR(WEEKNUM(Table4[[#This Row],[Confirmed Sampling Date]] - 10, 21), "TBD")</f>
        <v>34</v>
      </c>
      <c r="AA177" s="20" t="str">
        <f>_xlfn.XLOOKUP(Table4[[#This Row],[FromSite-UPS]],sites!D:D,sites!W:W,"",0)</f>
        <v>Goldsteinstraße 160, Gebäude 71 , Frankfurt am Main , 60528, Germany</v>
      </c>
      <c r="AB177" s="20" t="str">
        <f>_xlfn.XLOOKUP(Table4[[#This Row],[ToLab]],labs!D:D,labs!P:P,"no adres",0)</f>
        <v>Av. Rovisco Pais 1, Laboratorio de Analises de Agua, Lisbon, 1049-001, Portugal</v>
      </c>
      <c r="AC177" s="20">
        <f>_xlfn.XLOOKUP(Table4[[#This Row],[combi]],AREA!E:E,AREA!F:F,"",0)</f>
        <v>89</v>
      </c>
      <c r="AD177" s="20" t="str">
        <f>_xlfn.XLOOKUP(Table4[[#This Row],[combi]],AREA!E:E,AREA!G:G,"",0)</f>
        <v>Pick-up service of hypothetic package as defined in the Tech. Specs. and delivery to lots
2 and 3 contractors according to Scenario 1</v>
      </c>
      <c r="AE177" s="20" t="s">
        <v>125</v>
      </c>
      <c r="AF177" s="20" t="str">
        <f>_xlfn.XLOOKUP(Table4[[#This Row],[FromSite-UPS]],sites!D:D,sites!AB:AB,"",0)&amp;_xlfn.XLOOKUP(Table4[[#This Row],[ToLab]],labs!D:D,labs!Q:Q,"",0)</f>
        <v>EUEU</v>
      </c>
    </row>
    <row r="178" spans="2:32" ht="15.6" hidden="1" customHeight="1" x14ac:dyDescent="0.25">
      <c r="B178" s="13">
        <v>90</v>
      </c>
      <c r="C178" s="14" t="s">
        <v>53</v>
      </c>
      <c r="D178" s="13">
        <v>1</v>
      </c>
      <c r="E178" s="22">
        <v>45902</v>
      </c>
      <c r="F178" s="22">
        <v>45903</v>
      </c>
      <c r="G178" s="20">
        <f>IFERROR(WEEKNUM(Table4[[#This Row],[Confirmed Pick-up Date]]),"TBD")</f>
        <v>36</v>
      </c>
      <c r="H178" s="20" t="str">
        <f>IFERROR(TEXT(Table4[[#This Row],[Confirmed Pick-up Date]],"yy-mm"),"TBD")</f>
        <v>25-09</v>
      </c>
      <c r="I178" s="13" t="s">
        <v>19</v>
      </c>
      <c r="J178" s="20" t="str">
        <f>IFERROR(VLOOKUP(Table4[[#This Row],[FromSite-UPS]],Table1[[#All],[Company or Name]:[FromSite3]],15,FALSE),"")</f>
        <v>Munich WWTP</v>
      </c>
      <c r="K178" s="20" t="str">
        <f>IFERROR(VLOOKUP(Table4[[#This Row],[FromSite-UPS]],Table1[[#All],[Company or Name]:[FromSite3]],16,FALSE),"")</f>
        <v>Munich Airport</v>
      </c>
      <c r="L178" s="20">
        <f>IFERROR(VLOOKUP(Table4[[#This Row],[FromSite-UPS]],Table1[[#All],[Company or Name]:[FromSite3]],14,FALSE),"")</f>
        <v>0.58333333333333337</v>
      </c>
      <c r="M178" s="13" t="s">
        <v>1011</v>
      </c>
      <c r="N178" s="20" t="s">
        <v>134</v>
      </c>
      <c r="O178" s="13" t="s">
        <v>1388</v>
      </c>
      <c r="P178" s="13" t="s">
        <v>134</v>
      </c>
      <c r="Q178" s="20" t="s">
        <v>1534</v>
      </c>
      <c r="R178" s="20" t="s">
        <v>1415</v>
      </c>
      <c r="S178" s="20" t="s">
        <v>125</v>
      </c>
      <c r="T178" s="20" t="s">
        <v>110</v>
      </c>
      <c r="U178" s="20"/>
      <c r="V178" s="20"/>
      <c r="W178" s="20" t="str">
        <f>TEXT(Table4[[#This Row],[Confirmed Sampling Date]], "yyyy") &amp; "_" &amp; TEXT(Table4[[#This Row],[Confirmed Sampling Date]], "mm") &amp; "_" &amp; TEXT(Table4[[#This Row],[Confirmed Sampling Date]], "dd")</f>
        <v>2025_09_02</v>
      </c>
      <c r="X178" s="20" t="str">
        <f t="shared" si="2"/>
        <v>Munich</v>
      </c>
      <c r="Y178" s="20" t="str">
        <f>VLOOKUP(Table4[[#This Row],[FromSite-UPS]],Table1[[Company or Name]:[NOTES]],2,FALSE)</f>
        <v>Germany</v>
      </c>
      <c r="Z178" s="20">
        <f>IFERROR(WEEKNUM(Table4[[#This Row],[Confirmed Sampling Date]] - 10, 21), "TBD")</f>
        <v>34</v>
      </c>
      <c r="AA178" s="20" t="str">
        <f>_xlfn.XLOOKUP(Table4[[#This Row],[FromSite-UPS]],sites!D:D,sites!W:W,"",0)</f>
        <v>Leopoldstrasse 5, Institut fuer Infektions- und Tropenmedizin, Munich, 80802, Germany</v>
      </c>
      <c r="AB178" s="20" t="str">
        <f>_xlfn.XLOOKUP(Table4[[#This Row],[ToLab]],labs!D:D,labs!P:P,"no adres",0)</f>
        <v>Av. Rovisco Pais 1, Laboratorio de Analises de Agua, Lisbon, 1049-001, Portugal</v>
      </c>
      <c r="AC178" s="20">
        <f>_xlfn.XLOOKUP(Table4[[#This Row],[combi]],AREA!E:E,AREA!F:F,"",0)</f>
        <v>89</v>
      </c>
      <c r="AD178" s="20" t="str">
        <f>_xlfn.XLOOKUP(Table4[[#This Row],[combi]],AREA!E:E,AREA!G:G,"",0)</f>
        <v>Pick-up service of hypothetic package as defined in the Tech. Specs. and delivery to lots
2 and 3 contractors according to Scenario 1</v>
      </c>
      <c r="AE178" s="20" t="s">
        <v>125</v>
      </c>
      <c r="AF178" s="20" t="str">
        <f>_xlfn.XLOOKUP(Table4[[#This Row],[FromSite-UPS]],sites!D:D,sites!AB:AB,"",0)&amp;_xlfn.XLOOKUP(Table4[[#This Row],[ToLab]],labs!D:D,labs!Q:Q,"",0)</f>
        <v>EUEU</v>
      </c>
    </row>
    <row r="179" spans="2:32" ht="15.6" hidden="1" customHeight="1" x14ac:dyDescent="0.25">
      <c r="B179" s="13">
        <v>139</v>
      </c>
      <c r="C179" s="14" t="s">
        <v>53</v>
      </c>
      <c r="D179" s="13">
        <v>1</v>
      </c>
      <c r="E179" s="83">
        <v>45903</v>
      </c>
      <c r="F179" s="83">
        <v>45903</v>
      </c>
      <c r="G179" s="20">
        <f>IFERROR(WEEKNUM(Table4[[#This Row],[Confirmed Pick-up Date]]),"TBD")</f>
        <v>36</v>
      </c>
      <c r="H179" s="20" t="str">
        <f>IFERROR(TEXT(Table4[[#This Row],[Confirmed Pick-up Date]],"yy-mm"),"TBD")</f>
        <v>25-09</v>
      </c>
      <c r="I179" s="13" t="s">
        <v>680</v>
      </c>
      <c r="J179" s="20" t="str">
        <f>IFERROR(VLOOKUP(Table4[[#This Row],[FromSite-UPS]],Table1[[#All],[Company or Name]:[FromSite3]],15,FALSE),"")</f>
        <v>Rome WWTP</v>
      </c>
      <c r="K179" s="20" t="str">
        <f>IFERROR(VLOOKUP(Table4[[#This Row],[FromSite-UPS]],Table1[[#All],[Company or Name]:[FromSite3]],16,FALSE),"")</f>
        <v>-</v>
      </c>
      <c r="L179" s="20">
        <f>IFERROR(VLOOKUP(Table4[[#This Row],[FromSite-UPS]],Table1[[#All],[Company or Name]:[FromSite3]],14,FALSE),"")</f>
        <v>0.70833333333333337</v>
      </c>
      <c r="M179" s="13" t="s">
        <v>1011</v>
      </c>
      <c r="N179" s="20" t="s">
        <v>134</v>
      </c>
      <c r="O179" s="13" t="s">
        <v>1389</v>
      </c>
      <c r="P179" s="13" t="s">
        <v>134</v>
      </c>
      <c r="Q179" s="20" t="s">
        <v>1536</v>
      </c>
      <c r="R179" s="97" t="s">
        <v>1441</v>
      </c>
      <c r="S179" s="20" t="s">
        <v>125</v>
      </c>
      <c r="T179" s="20" t="s">
        <v>110</v>
      </c>
      <c r="U179" s="20"/>
      <c r="V179" s="20"/>
      <c r="W179" s="20" t="str">
        <f>TEXT(Table4[[#This Row],[Confirmed Sampling Date]], "yyyy") &amp; "_" &amp; TEXT(Table4[[#This Row],[Confirmed Sampling Date]], "mm") &amp; "_" &amp; TEXT(Table4[[#This Row],[Confirmed Sampling Date]], "dd")</f>
        <v>2025_09_03</v>
      </c>
      <c r="X179" s="20" t="str">
        <f t="shared" si="2"/>
        <v>Rome</v>
      </c>
      <c r="Y179" s="20" t="str">
        <f>VLOOKUP(Table4[[#This Row],[FromSite-UPS]],Table1[[Company or Name]:[NOTES]],2,FALSE)</f>
        <v>Italy</v>
      </c>
      <c r="Z179" s="20">
        <f>IFERROR(WEEKNUM(Table4[[#This Row],[Confirmed Sampling Date]] - 10, 21), "TBD")</f>
        <v>34</v>
      </c>
      <c r="AA179" s="20" t="str">
        <f>_xlfn.XLOOKUP(Table4[[#This Row],[FromSite-UPS]],sites!D:D,sites!W:W,"",0)</f>
        <v>Via dell'Equitazione 10, Rome, 00144, Italy</v>
      </c>
      <c r="AB179" s="20" t="str">
        <f>_xlfn.XLOOKUP(Table4[[#This Row],[ToLab]],labs!D:D,labs!P:P,"no adres",0)</f>
        <v>Av. Rovisco Pais 1, Laboratorio de Analises de Agua, Lisbon, 1049-001, Portugal</v>
      </c>
      <c r="AC179" s="20">
        <f>_xlfn.XLOOKUP(Table4[[#This Row],[combi]],AREA!E:E,AREA!F:F,"",0)</f>
        <v>89</v>
      </c>
      <c r="AD179" s="20" t="str">
        <f>_xlfn.XLOOKUP(Table4[[#This Row],[combi]],AREA!E:E,AREA!G:G,"",0)</f>
        <v>Pick-up service of hypothetic package as defined in the Tech. Specs. and delivery to lots
2 and 3 contractors according to Scenario 1</v>
      </c>
      <c r="AE179" s="20" t="s">
        <v>125</v>
      </c>
      <c r="AF179" s="20" t="str">
        <f>_xlfn.XLOOKUP(Table4[[#This Row],[FromSite-UPS]],sites!D:D,sites!AB:AB,"",0)&amp;_xlfn.XLOOKUP(Table4[[#This Row],[ToLab]],labs!D:D,labs!Q:Q,"",0)</f>
        <v>EUEU</v>
      </c>
    </row>
    <row r="180" spans="2:32" ht="15.6" hidden="1" customHeight="1" x14ac:dyDescent="0.25">
      <c r="B180" s="13">
        <v>153</v>
      </c>
      <c r="C180" s="14" t="s">
        <v>53</v>
      </c>
      <c r="D180" s="13">
        <v>1</v>
      </c>
      <c r="E180" s="22">
        <v>45903</v>
      </c>
      <c r="F180" s="22">
        <v>45903</v>
      </c>
      <c r="G180" s="20">
        <f>IFERROR(WEEKNUM(Table4[[#This Row],[Confirmed Pick-up Date]]),"TBD")</f>
        <v>36</v>
      </c>
      <c r="H180" s="20" t="str">
        <f>IFERROR(TEXT(Table4[[#This Row],[Confirmed Pick-up Date]],"yy-mm"),"TBD")</f>
        <v>25-09</v>
      </c>
      <c r="I180" s="13" t="s">
        <v>771</v>
      </c>
      <c r="J180" s="20" t="str">
        <f>IFERROR(VLOOKUP(Table4[[#This Row],[FromSite-UPS]],Table1[[#All],[Company or Name]:[FromSite3]],15,FALSE),"")</f>
        <v>RomeAirport</v>
      </c>
      <c r="K180" s="20" t="str">
        <f>IFERROR(VLOOKUP(Table4[[#This Row],[FromSite-UPS]],Table1[[#All],[Company or Name]:[FromSite3]],16,FALSE),"")</f>
        <v>-</v>
      </c>
      <c r="L180" s="20">
        <f>IFERROR(VLOOKUP(Table4[[#This Row],[FromSite-UPS]],Table1[[#All],[Company or Name]:[FromSite3]],14,FALSE),"")</f>
        <v>0.70833333333333337</v>
      </c>
      <c r="M180" s="13" t="s">
        <v>1011</v>
      </c>
      <c r="N180" s="20" t="s">
        <v>134</v>
      </c>
      <c r="O180" s="13" t="s">
        <v>1390</v>
      </c>
      <c r="P180" s="13" t="s">
        <v>134</v>
      </c>
      <c r="Q180" s="20" t="s">
        <v>1537</v>
      </c>
      <c r="R180" s="20" t="s">
        <v>1442</v>
      </c>
      <c r="S180" s="20" t="s">
        <v>125</v>
      </c>
      <c r="T180" s="20" t="s">
        <v>110</v>
      </c>
      <c r="U180" s="20"/>
      <c r="V180" s="20"/>
      <c r="W180" s="20" t="str">
        <f>TEXT(Table4[[#This Row],[Confirmed Sampling Date]], "yyyy") &amp; "_" &amp; TEXT(Table4[[#This Row],[Confirmed Sampling Date]], "mm") &amp; "_" &amp; TEXT(Table4[[#This Row],[Confirmed Sampling Date]], "dd")</f>
        <v>2025_09_03</v>
      </c>
      <c r="X180" s="20" t="str">
        <f t="shared" si="2"/>
        <v>RomeAirport</v>
      </c>
      <c r="Y180" s="20" t="str">
        <f>VLOOKUP(Table4[[#This Row],[FromSite-UPS]],Table1[[Company or Name]:[NOTES]],2,FALSE)</f>
        <v>Italy</v>
      </c>
      <c r="Z180" s="20">
        <f>IFERROR(WEEKNUM(Table4[[#This Row],[Confirmed Sampling Date]] - 10, 21), "TBD")</f>
        <v>34</v>
      </c>
      <c r="AA180" s="20" t="str">
        <f>_xlfn.XLOOKUP(Table4[[#This Row],[FromSite-UPS]],sites!D:D,sites!W:W,"",0)</f>
        <v>VIA FRATELLI WRIGHT (DEPURATORE BIOLOGICO), FIUMICINO, 00054, Italy</v>
      </c>
      <c r="AB180" s="20" t="str">
        <f>_xlfn.XLOOKUP(Table4[[#This Row],[ToLab]],labs!D:D,labs!P:P,"no adres",0)</f>
        <v>Av. Rovisco Pais 1, Laboratorio de Analises de Agua, Lisbon, 1049-001, Portugal</v>
      </c>
      <c r="AC180" s="20">
        <f>_xlfn.XLOOKUP(Table4[[#This Row],[combi]],AREA!E:E,AREA!F:F,"",0)</f>
        <v>89</v>
      </c>
      <c r="AD180" s="20" t="str">
        <f>_xlfn.XLOOKUP(Table4[[#This Row],[combi]],AREA!E:E,AREA!G:G,"",0)</f>
        <v>Pick-up service of hypothetic package as defined in the Tech. Specs. and delivery to lots
2 and 3 contractors according to Scenario 1</v>
      </c>
      <c r="AE180" s="20" t="s">
        <v>125</v>
      </c>
      <c r="AF180" s="20" t="str">
        <f>_xlfn.XLOOKUP(Table4[[#This Row],[FromSite-UPS]],sites!D:D,sites!AB:AB,"",0)&amp;_xlfn.XLOOKUP(Table4[[#This Row],[ToLab]],labs!D:D,labs!Q:Q,"",0)</f>
        <v>EUEU</v>
      </c>
    </row>
    <row r="181" spans="2:32" ht="15.6" hidden="1" customHeight="1" x14ac:dyDescent="0.25">
      <c r="B181" s="13">
        <v>181</v>
      </c>
      <c r="C181" s="14" t="s">
        <v>53</v>
      </c>
      <c r="D181" s="13">
        <v>1</v>
      </c>
      <c r="E181" s="83">
        <v>45902</v>
      </c>
      <c r="F181" s="83">
        <v>45903</v>
      </c>
      <c r="G181" s="20">
        <f>IFERROR(WEEKNUM(Table4[[#This Row],[Confirmed Pick-up Date]]),"TBD")</f>
        <v>36</v>
      </c>
      <c r="H181" s="20" t="str">
        <f>IFERROR(TEXT(Table4[[#This Row],[Confirmed Pick-up Date]],"yy-mm"),"TBD")</f>
        <v>25-09</v>
      </c>
      <c r="I181" s="13" t="s">
        <v>877</v>
      </c>
      <c r="J181" s="20" t="str">
        <f>IFERROR(VLOOKUP(Table4[[#This Row],[FromSite-UPS]],Table1[[#All],[Company or Name]:[FromSite3]],15,FALSE),"")</f>
        <v>Prague National Institute</v>
      </c>
      <c r="K181" s="20" t="str">
        <f>IFERROR(VLOOKUP(Table4[[#This Row],[FromSite-UPS]],Table1[[#All],[Company or Name]:[FromSite3]],16,FALSE),"")</f>
        <v>Prague WWTP FLOW 1</v>
      </c>
      <c r="L181" s="20">
        <f>IFERROR(VLOOKUP(Table4[[#This Row],[FromSite-UPS]],Table1[[#All],[Company or Name]:[FromSite3]],14,FALSE),"")</f>
        <v>0</v>
      </c>
      <c r="M181" s="13" t="s">
        <v>1011</v>
      </c>
      <c r="N181" s="20" t="s">
        <v>134</v>
      </c>
      <c r="O181" s="13" t="s">
        <v>1384</v>
      </c>
      <c r="P181" s="13" t="s">
        <v>134</v>
      </c>
      <c r="Q181" s="65" t="s">
        <v>1535</v>
      </c>
      <c r="R181" s="20" t="s">
        <v>1420</v>
      </c>
      <c r="S181" s="20" t="s">
        <v>125</v>
      </c>
      <c r="T181" s="20" t="s">
        <v>110</v>
      </c>
      <c r="U181" s="20"/>
      <c r="V181" s="20"/>
      <c r="W181" s="20" t="str">
        <f>TEXT(Table4[[#This Row],[Confirmed Sampling Date]], "yyyy") &amp; "_" &amp; TEXT(Table4[[#This Row],[Confirmed Sampling Date]], "mm") &amp; "_" &amp; TEXT(Table4[[#This Row],[Confirmed Sampling Date]], "dd")</f>
        <v>2025_09_02</v>
      </c>
      <c r="X181" s="20" t="str">
        <f t="shared" si="2"/>
        <v>Prague</v>
      </c>
      <c r="Y181" s="20" t="str">
        <f>VLOOKUP(Table4[[#This Row],[FromSite-UPS]],Table1[[Company or Name]:[NOTES]],2,FALSE)</f>
        <v>Czech Republic</v>
      </c>
      <c r="Z181" s="20">
        <f>IFERROR(WEEKNUM(Table4[[#This Row],[Confirmed Sampling Date]] - 10, 21), "TBD")</f>
        <v>34</v>
      </c>
      <c r="AA181" s="20" t="str">
        <f>_xlfn.XLOOKUP(Table4[[#This Row],[FromSite-UPS]],sites!D:D,sites!W:W,"",0)</f>
        <v>Šrobárova 49/48, Státní zdravotní ústav, Praha, 100 00, Czech Republic</v>
      </c>
      <c r="AB181" s="20" t="str">
        <f>_xlfn.XLOOKUP(Table4[[#This Row],[ToLab]],labs!D:D,labs!P:P,"no adres",0)</f>
        <v>Av. Rovisco Pais 1, Laboratorio de Analises de Agua, Lisbon, 1049-001, Portugal</v>
      </c>
      <c r="AC181" s="20">
        <f>_xlfn.XLOOKUP(Table4[[#This Row],[combi]],AREA!E:E,AREA!F:F,"",0)</f>
        <v>89</v>
      </c>
      <c r="AD181" s="20" t="str">
        <f>_xlfn.XLOOKUP(Table4[[#This Row],[combi]],AREA!E:E,AREA!G:G,"",0)</f>
        <v>Pick-up service of hypothetic package as defined in the Tech. Specs. and delivery to lots
2 and 3 contractors according to Scenario 1</v>
      </c>
      <c r="AE181" s="20" t="s">
        <v>125</v>
      </c>
      <c r="AF181" s="20" t="str">
        <f>_xlfn.XLOOKUP(Table4[[#This Row],[FromSite-UPS]],sites!D:D,sites!AB:AB,"",0)&amp;_xlfn.XLOOKUP(Table4[[#This Row],[ToLab]],labs!D:D,labs!Q:Q,"",0)</f>
        <v>EUEU</v>
      </c>
    </row>
    <row r="182" spans="2:32" ht="15.6" hidden="1" customHeight="1" x14ac:dyDescent="0.25">
      <c r="B182" s="13">
        <v>182</v>
      </c>
      <c r="C182" s="14" t="s">
        <v>53</v>
      </c>
      <c r="D182" s="13">
        <v>1</v>
      </c>
      <c r="E182" s="83">
        <v>45902</v>
      </c>
      <c r="F182" s="83">
        <v>45903</v>
      </c>
      <c r="G182" s="20">
        <f>IFERROR(WEEKNUM(Table4[[#This Row],[Confirmed Pick-up Date]]),"TBD")</f>
        <v>36</v>
      </c>
      <c r="H182" s="20" t="str">
        <f>IFERROR(TEXT(Table4[[#This Row],[Confirmed Pick-up Date]],"yy-mm"),"TBD")</f>
        <v>25-09</v>
      </c>
      <c r="I182" s="13" t="s">
        <v>877</v>
      </c>
      <c r="J182" s="20" t="str">
        <f>IFERROR(VLOOKUP(Table4[[#This Row],[FromSite-UPS]],Table1[[#All],[Company or Name]:[FromSite3]],15,FALSE),"")</f>
        <v>Prague National Institute</v>
      </c>
      <c r="K182" s="20" t="str">
        <f>IFERROR(VLOOKUP(Table4[[#This Row],[FromSite-UPS]],Table1[[#All],[Company or Name]:[FromSite3]],16,FALSE),"")</f>
        <v>Prague WWTP FLOW 1</v>
      </c>
      <c r="L182" s="20">
        <f>IFERROR(VLOOKUP(Table4[[#This Row],[FromSite-UPS]],Table1[[#All],[Company or Name]:[FromSite3]],14,FALSE),"")</f>
        <v>0</v>
      </c>
      <c r="M182" s="13" t="s">
        <v>1011</v>
      </c>
      <c r="N182" s="20" t="s">
        <v>134</v>
      </c>
      <c r="O182" s="13" t="s">
        <v>1385</v>
      </c>
      <c r="P182" s="13" t="s">
        <v>134</v>
      </c>
      <c r="Q182" s="20" t="s">
        <v>1535</v>
      </c>
      <c r="R182" s="20" t="s">
        <v>1418</v>
      </c>
      <c r="S182" s="20" t="s">
        <v>125</v>
      </c>
      <c r="T182" s="20" t="s">
        <v>110</v>
      </c>
      <c r="U182" s="20"/>
      <c r="V182" s="20"/>
      <c r="W182" s="20" t="str">
        <f>TEXT(Table4[[#This Row],[Confirmed Sampling Date]], "yyyy") &amp; "_" &amp; TEXT(Table4[[#This Row],[Confirmed Sampling Date]], "mm") &amp; "_" &amp; TEXT(Table4[[#This Row],[Confirmed Sampling Date]], "dd")</f>
        <v>2025_09_02</v>
      </c>
      <c r="X182" s="20" t="str">
        <f t="shared" si="2"/>
        <v>Prague</v>
      </c>
      <c r="Y182" s="20" t="str">
        <f>VLOOKUP(Table4[[#This Row],[FromSite-UPS]],Table1[[Company or Name]:[NOTES]],2,FALSE)</f>
        <v>Czech Republic</v>
      </c>
      <c r="Z182" s="20">
        <f>IFERROR(WEEKNUM(Table4[[#This Row],[Confirmed Sampling Date]] - 10, 21), "TBD")</f>
        <v>34</v>
      </c>
      <c r="AA182" s="20" t="str">
        <f>_xlfn.XLOOKUP(Table4[[#This Row],[FromSite-UPS]],sites!D:D,sites!W:W,"",0)</f>
        <v>Šrobárova 49/48, Státní zdravotní ústav, Praha, 100 00, Czech Republic</v>
      </c>
      <c r="AB182" s="20" t="str">
        <f>_xlfn.XLOOKUP(Table4[[#This Row],[ToLab]],labs!D:D,labs!P:P,"no adres",0)</f>
        <v>Av. Rovisco Pais 1, Laboratorio de Analises de Agua, Lisbon, 1049-001, Portugal</v>
      </c>
      <c r="AC182" s="20">
        <f>_xlfn.XLOOKUP(Table4[[#This Row],[combi]],AREA!E:E,AREA!F:F,"",0)</f>
        <v>89</v>
      </c>
      <c r="AD182" s="20" t="str">
        <f>_xlfn.XLOOKUP(Table4[[#This Row],[combi]],AREA!E:E,AREA!G:G,"",0)</f>
        <v>Pick-up service of hypothetic package as defined in the Tech. Specs. and delivery to lots
2 and 3 contractors according to Scenario 1</v>
      </c>
      <c r="AE182" s="20" t="s">
        <v>125</v>
      </c>
      <c r="AF182" s="20" t="str">
        <f>_xlfn.XLOOKUP(Table4[[#This Row],[FromSite-UPS]],sites!D:D,sites!AB:AB,"",0)&amp;_xlfn.XLOOKUP(Table4[[#This Row],[ToLab]],labs!D:D,labs!Q:Q,"",0)</f>
        <v>EUEU</v>
      </c>
    </row>
    <row r="183" spans="2:32" ht="15.6" hidden="1" customHeight="1" x14ac:dyDescent="0.25">
      <c r="B183" s="13">
        <v>183</v>
      </c>
      <c r="C183" s="14" t="s">
        <v>53</v>
      </c>
      <c r="D183" s="13">
        <v>1</v>
      </c>
      <c r="E183" s="83">
        <v>45902</v>
      </c>
      <c r="F183" s="83">
        <v>45903</v>
      </c>
      <c r="G183" s="20">
        <f>IFERROR(WEEKNUM(Table4[[#This Row],[Confirmed Pick-up Date]]),"TBD")</f>
        <v>36</v>
      </c>
      <c r="H183" s="20" t="str">
        <f>IFERROR(TEXT(Table4[[#This Row],[Confirmed Pick-up Date]],"yy-mm"),"TBD")</f>
        <v>25-09</v>
      </c>
      <c r="I183" s="13" t="s">
        <v>877</v>
      </c>
      <c r="J183" s="20" t="str">
        <f>IFERROR(VLOOKUP(Table4[[#This Row],[FromSite-UPS]],Table1[[#All],[Company or Name]:[FromSite3]],15,FALSE),"")</f>
        <v>Prague National Institute</v>
      </c>
      <c r="K183" s="20" t="str">
        <f>IFERROR(VLOOKUP(Table4[[#This Row],[FromSite-UPS]],Table1[[#All],[Company or Name]:[FromSite3]],16,FALSE),"")</f>
        <v>Prague WWTP FLOW 1</v>
      </c>
      <c r="L183" s="20">
        <f>IFERROR(VLOOKUP(Table4[[#This Row],[FromSite-UPS]],Table1[[#All],[Company or Name]:[FromSite3]],14,FALSE),"")</f>
        <v>0</v>
      </c>
      <c r="M183" s="13" t="s">
        <v>1011</v>
      </c>
      <c r="N183" s="20" t="s">
        <v>134</v>
      </c>
      <c r="O183" s="13" t="s">
        <v>1386</v>
      </c>
      <c r="P183" s="13" t="s">
        <v>134</v>
      </c>
      <c r="Q183" s="20" t="s">
        <v>1535</v>
      </c>
      <c r="R183" s="20" t="s">
        <v>1417</v>
      </c>
      <c r="S183" s="20" t="s">
        <v>125</v>
      </c>
      <c r="T183" s="20" t="s">
        <v>110</v>
      </c>
      <c r="U183" s="20"/>
      <c r="V183" s="20"/>
      <c r="W183" s="20" t="str">
        <f>TEXT(Table4[[#This Row],[Confirmed Sampling Date]], "yyyy") &amp; "_" &amp; TEXT(Table4[[#This Row],[Confirmed Sampling Date]], "mm") &amp; "_" &amp; TEXT(Table4[[#This Row],[Confirmed Sampling Date]], "dd")</f>
        <v>2025_09_02</v>
      </c>
      <c r="X183" s="20" t="str">
        <f t="shared" si="2"/>
        <v>Prague</v>
      </c>
      <c r="Y183" s="20" t="str">
        <f>VLOOKUP(Table4[[#This Row],[FromSite-UPS]],Table1[[Company or Name]:[NOTES]],2,FALSE)</f>
        <v>Czech Republic</v>
      </c>
      <c r="Z183" s="20">
        <f>IFERROR(WEEKNUM(Table4[[#This Row],[Confirmed Sampling Date]] - 10, 21), "TBD")</f>
        <v>34</v>
      </c>
      <c r="AA183" s="20" t="str">
        <f>_xlfn.XLOOKUP(Table4[[#This Row],[FromSite-UPS]],sites!D:D,sites!W:W,"",0)</f>
        <v>Šrobárova 49/48, Státní zdravotní ústav, Praha, 100 00, Czech Republic</v>
      </c>
      <c r="AB183" s="20" t="str">
        <f>_xlfn.XLOOKUP(Table4[[#This Row],[ToLab]],labs!D:D,labs!P:P,"no adres",0)</f>
        <v>Av. Rovisco Pais 1, Laboratorio de Analises de Agua, Lisbon, 1049-001, Portugal</v>
      </c>
      <c r="AC183" s="20">
        <f>_xlfn.XLOOKUP(Table4[[#This Row],[combi]],AREA!E:E,AREA!F:F,"",0)</f>
        <v>89</v>
      </c>
      <c r="AD183" s="20" t="str">
        <f>_xlfn.XLOOKUP(Table4[[#This Row],[combi]],AREA!E:E,AREA!G:G,"",0)</f>
        <v>Pick-up service of hypothetic package as defined in the Tech. Specs. and delivery to lots
2 and 3 contractors according to Scenario 1</v>
      </c>
      <c r="AE183" s="20" t="s">
        <v>125</v>
      </c>
      <c r="AF183" s="20" t="str">
        <f>_xlfn.XLOOKUP(Table4[[#This Row],[FromSite-UPS]],sites!D:D,sites!AB:AB,"",0)&amp;_xlfn.XLOOKUP(Table4[[#This Row],[ToLab]],labs!D:D,labs!Q:Q,"",0)</f>
        <v>EUEU</v>
      </c>
    </row>
    <row r="184" spans="2:32" ht="15.6" hidden="1" customHeight="1" x14ac:dyDescent="0.25">
      <c r="B184" s="13">
        <v>184</v>
      </c>
      <c r="C184" s="14" t="s">
        <v>53</v>
      </c>
      <c r="D184" s="13">
        <v>1</v>
      </c>
      <c r="E184" s="83">
        <v>45902</v>
      </c>
      <c r="F184" s="83">
        <v>45903</v>
      </c>
      <c r="G184" s="20">
        <f>IFERROR(WEEKNUM(Table4[[#This Row],[Confirmed Pick-up Date]]),"TBD")</f>
        <v>36</v>
      </c>
      <c r="H184" s="20" t="str">
        <f>IFERROR(TEXT(Table4[[#This Row],[Confirmed Pick-up Date]],"yy-mm"),"TBD")</f>
        <v>25-09</v>
      </c>
      <c r="I184" s="13" t="s">
        <v>877</v>
      </c>
      <c r="J184" s="20" t="str">
        <f>IFERROR(VLOOKUP(Table4[[#This Row],[FromSite-UPS]],Table1[[#All],[Company or Name]:[FromSite3]],15,FALSE),"")</f>
        <v>Prague National Institute</v>
      </c>
      <c r="K184" s="20" t="str">
        <f>IFERROR(VLOOKUP(Table4[[#This Row],[FromSite-UPS]],Table1[[#All],[Company or Name]:[FromSite3]],16,FALSE),"")</f>
        <v>Prague WWTP FLOW 1</v>
      </c>
      <c r="L184" s="20">
        <f>IFERROR(VLOOKUP(Table4[[#This Row],[FromSite-UPS]],Table1[[#All],[Company or Name]:[FromSite3]],14,FALSE),"")</f>
        <v>0</v>
      </c>
      <c r="M184" s="13" t="s">
        <v>1011</v>
      </c>
      <c r="N184" s="20" t="s">
        <v>134</v>
      </c>
      <c r="O184" s="13" t="s">
        <v>1396</v>
      </c>
      <c r="P184" s="13" t="s">
        <v>134</v>
      </c>
      <c r="Q184" s="20" t="s">
        <v>1535</v>
      </c>
      <c r="R184" s="20" t="s">
        <v>1419</v>
      </c>
      <c r="S184" s="20" t="s">
        <v>125</v>
      </c>
      <c r="T184" s="20" t="s">
        <v>110</v>
      </c>
      <c r="U184" s="20"/>
      <c r="V184" s="20"/>
      <c r="W184" s="20" t="str">
        <f>TEXT(Table4[[#This Row],[Confirmed Sampling Date]], "yyyy") &amp; "_" &amp; TEXT(Table4[[#This Row],[Confirmed Sampling Date]], "mm") &amp; "_" &amp; TEXT(Table4[[#This Row],[Confirmed Sampling Date]], "dd")</f>
        <v>2025_09_02</v>
      </c>
      <c r="X184" s="20" t="str">
        <f t="shared" si="2"/>
        <v>Prague</v>
      </c>
      <c r="Y184" s="20" t="str">
        <f>VLOOKUP(Table4[[#This Row],[FromSite-UPS]],Table1[[Company or Name]:[NOTES]],2,FALSE)</f>
        <v>Czech Republic</v>
      </c>
      <c r="Z184" s="20">
        <f>IFERROR(WEEKNUM(Table4[[#This Row],[Confirmed Sampling Date]] - 10, 21), "TBD")</f>
        <v>34</v>
      </c>
      <c r="AA184" s="20" t="str">
        <f>_xlfn.XLOOKUP(Table4[[#This Row],[FromSite-UPS]],sites!D:D,sites!W:W,"",0)</f>
        <v>Šrobárova 49/48, Státní zdravotní ústav, Praha, 100 00, Czech Republic</v>
      </c>
      <c r="AB184" s="20" t="str">
        <f>_xlfn.XLOOKUP(Table4[[#This Row],[ToLab]],labs!D:D,labs!P:P,"no adres",0)</f>
        <v>Av. Rovisco Pais 1, Laboratorio de Analises de Agua, Lisbon, 1049-001, Portugal</v>
      </c>
      <c r="AC184" s="20">
        <f>_xlfn.XLOOKUP(Table4[[#This Row],[combi]],AREA!E:E,AREA!F:F,"",0)</f>
        <v>89</v>
      </c>
      <c r="AD184" s="20" t="str">
        <f>_xlfn.XLOOKUP(Table4[[#This Row],[combi]],AREA!E:E,AREA!G:G,"",0)</f>
        <v>Pick-up service of hypothetic package as defined in the Tech. Specs. and delivery to lots
2 and 3 contractors according to Scenario 1</v>
      </c>
      <c r="AE184" s="20" t="s">
        <v>125</v>
      </c>
      <c r="AF184" s="20" t="str">
        <f>_xlfn.XLOOKUP(Table4[[#This Row],[FromSite-UPS]],sites!D:D,sites!AB:AB,"",0)&amp;_xlfn.XLOOKUP(Table4[[#This Row],[ToLab]],labs!D:D,labs!Q:Q,"",0)</f>
        <v>EUEU</v>
      </c>
    </row>
    <row r="185" spans="2:32" ht="15.6" hidden="1" customHeight="1" x14ac:dyDescent="0.25">
      <c r="B185" s="13">
        <v>218</v>
      </c>
      <c r="C185" s="14" t="s">
        <v>53</v>
      </c>
      <c r="D185" s="13">
        <v>1</v>
      </c>
      <c r="E185" s="22">
        <v>45902</v>
      </c>
      <c r="F185" s="22">
        <v>45903</v>
      </c>
      <c r="G185" s="20">
        <f>IFERROR(WEEKNUM(Table4[[#This Row],[Confirmed Pick-up Date]]),"TBD")</f>
        <v>36</v>
      </c>
      <c r="H185" s="20" t="str">
        <f>IFERROR(TEXT(Table4[[#This Row],[Confirmed Pick-up Date]],"yy-mm"),"TBD")</f>
        <v>25-09</v>
      </c>
      <c r="I185" s="13" t="s">
        <v>779</v>
      </c>
      <c r="J185" s="20" t="str">
        <f>IFERROR(VLOOKUP(Table4[[#This Row],[FromSite-UPS]],Table1[[#All],[Company or Name]:[FromSite3]],15,FALSE),"")</f>
        <v>Larnaca WWTP</v>
      </c>
      <c r="K185" s="20" t="str">
        <f>IFERROR(VLOOKUP(Table4[[#This Row],[FromSite-UPS]],Table1[[#All],[Company or Name]:[FromSite3]],16,FALSE),"")</f>
        <v>Larnaca Airport</v>
      </c>
      <c r="L185" s="20">
        <f>IFERROR(VLOOKUP(Table4[[#This Row],[FromSite-UPS]],Table1[[#All],[Company or Name]:[FromSite3]],14,FALSE),"")</f>
        <v>0.54166666666666663</v>
      </c>
      <c r="M185" s="13" t="s">
        <v>1011</v>
      </c>
      <c r="N185" s="20" t="s">
        <v>134</v>
      </c>
      <c r="O185" s="13" t="s">
        <v>1395</v>
      </c>
      <c r="P185" s="13" t="s">
        <v>134</v>
      </c>
      <c r="Q185" s="20" t="s">
        <v>1532</v>
      </c>
      <c r="R185" s="20" t="s">
        <v>1431</v>
      </c>
      <c r="S185" s="20" t="s">
        <v>125</v>
      </c>
      <c r="T185" s="20" t="s">
        <v>110</v>
      </c>
      <c r="U185" s="20"/>
      <c r="V185" s="20"/>
      <c r="W185" s="20" t="str">
        <f>TEXT(Table4[[#This Row],[Confirmed Sampling Date]], "yyyy") &amp; "_" &amp; TEXT(Table4[[#This Row],[Confirmed Sampling Date]], "mm") &amp; "_" &amp; TEXT(Table4[[#This Row],[Confirmed Sampling Date]], "dd")</f>
        <v>2025_09_02</v>
      </c>
      <c r="X185" s="20" t="str">
        <f t="shared" si="2"/>
        <v>Larnaca</v>
      </c>
      <c r="Y185" s="20" t="str">
        <f>VLOOKUP(Table4[[#This Row],[FromSite-UPS]],Table1[[Company or Name]:[NOTES]],2,FALSE)</f>
        <v>Cyprus</v>
      </c>
      <c r="Z185" s="20">
        <f>IFERROR(WEEKNUM(Table4[[#This Row],[Confirmed Sampling Date]] - 10, 21), "TBD")</f>
        <v>34</v>
      </c>
      <c r="AA185" s="20" t="str">
        <f>_xlfn.XLOOKUP(Table4[[#This Row],[FromSite-UPS]],sites!D:D,sites!W:W,"",0)</f>
        <v>Adamantiou Korai street 12, Larnaca District Local Government Organization offices, Larnaca, 6010, Cyprus</v>
      </c>
      <c r="AB185" s="20" t="str">
        <f>_xlfn.XLOOKUP(Table4[[#This Row],[ToLab]],labs!D:D,labs!P:P,"no adres",0)</f>
        <v>Av. Rovisco Pais 1, Laboratorio de Analises de Agua, Lisbon, 1049-001, Portugal</v>
      </c>
      <c r="AC185" s="20">
        <f>_xlfn.XLOOKUP(Table4[[#This Row],[combi]],AREA!E:E,AREA!F:F,"",0)</f>
        <v>89</v>
      </c>
      <c r="AD185" s="20" t="str">
        <f>_xlfn.XLOOKUP(Table4[[#This Row],[combi]],AREA!E:E,AREA!G:G,"",0)</f>
        <v>Pick-up service of hypothetic package as defined in the Tech. Specs. and delivery to lots
2 and 3 contractors according to Scenario 1</v>
      </c>
      <c r="AE185" s="20" t="s">
        <v>125</v>
      </c>
      <c r="AF185" s="20" t="str">
        <f>_xlfn.XLOOKUP(Table4[[#This Row],[FromSite-UPS]],sites!D:D,sites!AB:AB,"",0)&amp;_xlfn.XLOOKUP(Table4[[#This Row],[ToLab]],labs!D:D,labs!Q:Q,"",0)</f>
        <v>EUEU</v>
      </c>
    </row>
    <row r="186" spans="2:32" ht="15.6" hidden="1" customHeight="1" x14ac:dyDescent="0.25">
      <c r="B186" s="13">
        <v>231</v>
      </c>
      <c r="C186" s="14" t="s">
        <v>53</v>
      </c>
      <c r="D186" s="13">
        <v>1</v>
      </c>
      <c r="E186" s="83">
        <v>45902</v>
      </c>
      <c r="F186" s="83">
        <v>45903</v>
      </c>
      <c r="G186" s="20">
        <f>IFERROR(WEEKNUM(Table4[[#This Row],[Confirmed Pick-up Date]]),"TBD")</f>
        <v>36</v>
      </c>
      <c r="H186" s="20" t="str">
        <f>IFERROR(TEXT(Table4[[#This Row],[Confirmed Pick-up Date]],"yy-mm"),"TBD")</f>
        <v>25-09</v>
      </c>
      <c r="I186" s="13" t="s">
        <v>779</v>
      </c>
      <c r="J186" s="20" t="str">
        <f>IFERROR(VLOOKUP(Table4[[#This Row],[FromSite-UPS]],Table1[[#All],[Company or Name]:[FromSite3]],15,FALSE),"")</f>
        <v>Larnaca WWTP</v>
      </c>
      <c r="K186" s="20" t="str">
        <f>IFERROR(VLOOKUP(Table4[[#This Row],[FromSite-UPS]],Table1[[#All],[Company or Name]:[FromSite3]],16,FALSE),"")</f>
        <v>Larnaca Airport</v>
      </c>
      <c r="L186" s="20">
        <f>IFERROR(VLOOKUP(Table4[[#This Row],[FromSite-UPS]],Table1[[#All],[Company or Name]:[FromSite3]],14,FALSE),"")</f>
        <v>0.54166666666666663</v>
      </c>
      <c r="M186" s="13" t="s">
        <v>1011</v>
      </c>
      <c r="N186" s="20" t="s">
        <v>134</v>
      </c>
      <c r="O186" s="20" t="s">
        <v>1394</v>
      </c>
      <c r="P186" s="20" t="s">
        <v>134</v>
      </c>
      <c r="Q186" s="20" t="s">
        <v>1532</v>
      </c>
      <c r="R186" s="20" t="s">
        <v>1432</v>
      </c>
      <c r="S186" s="20" t="s">
        <v>125</v>
      </c>
      <c r="T186" s="20" t="s">
        <v>110</v>
      </c>
      <c r="U186" s="20"/>
      <c r="V186" s="20"/>
      <c r="W186" s="20" t="str">
        <f>TEXT(Table4[[#This Row],[Confirmed Sampling Date]], "yyyy") &amp; "_" &amp; TEXT(Table4[[#This Row],[Confirmed Sampling Date]], "mm") &amp; "_" &amp; TEXT(Table4[[#This Row],[Confirmed Sampling Date]], "dd")</f>
        <v>2025_09_02</v>
      </c>
      <c r="X186" s="20" t="str">
        <f t="shared" si="2"/>
        <v>Larnaca</v>
      </c>
      <c r="Y186" s="20" t="str">
        <f>VLOOKUP(Table4[[#This Row],[FromSite-UPS]],Table1[[Company or Name]:[NOTES]],2,FALSE)</f>
        <v>Cyprus</v>
      </c>
      <c r="Z186" s="20">
        <f>IFERROR(WEEKNUM(Table4[[#This Row],[Confirmed Sampling Date]] - 10, 21), "TBD")</f>
        <v>34</v>
      </c>
      <c r="AA186" s="20" t="str">
        <f>_xlfn.XLOOKUP(Table4[[#This Row],[FromSite-UPS]],sites!D:D,sites!W:W,"",0)</f>
        <v>Adamantiou Korai street 12, Larnaca District Local Government Organization offices, Larnaca, 6010, Cyprus</v>
      </c>
      <c r="AB186" s="20" t="str">
        <f>_xlfn.XLOOKUP(Table4[[#This Row],[ToLab]],labs!D:D,labs!P:P,"no adres",0)</f>
        <v>Av. Rovisco Pais 1, Laboratorio de Analises de Agua, Lisbon, 1049-001, Portugal</v>
      </c>
      <c r="AC186" s="20">
        <f>_xlfn.XLOOKUP(Table4[[#This Row],[combi]],AREA!E:E,AREA!F:F,"",0)</f>
        <v>89</v>
      </c>
      <c r="AD186" s="20" t="str">
        <f>_xlfn.XLOOKUP(Table4[[#This Row],[combi]],AREA!E:E,AREA!G:G,"",0)</f>
        <v>Pick-up service of hypothetic package as defined in the Tech. Specs. and delivery to lots
2 and 3 contractors according to Scenario 1</v>
      </c>
      <c r="AE186" s="20" t="s">
        <v>125</v>
      </c>
      <c r="AF186" s="20" t="str">
        <f>_xlfn.XLOOKUP(Table4[[#This Row],[FromSite-UPS]],sites!D:D,sites!AB:AB,"",0)&amp;_xlfn.XLOOKUP(Table4[[#This Row],[ToLab]],labs!D:D,labs!Q:Q,"",0)</f>
        <v>EUEU</v>
      </c>
    </row>
    <row r="187" spans="2:32" ht="15.6" hidden="1" customHeight="1" x14ac:dyDescent="0.25">
      <c r="B187" s="13">
        <v>272</v>
      </c>
      <c r="C187" s="14" t="s">
        <v>53</v>
      </c>
      <c r="D187" s="13">
        <v>1</v>
      </c>
      <c r="E187" s="83">
        <v>45902</v>
      </c>
      <c r="F187" s="83">
        <v>45903</v>
      </c>
      <c r="G187" s="20">
        <f>IFERROR(WEEKNUM(Table4[[#This Row],[Confirmed Pick-up Date]]),"TBD")</f>
        <v>36</v>
      </c>
      <c r="H187" s="20" t="str">
        <f>IFERROR(TEXT(Table4[[#This Row],[Confirmed Pick-up Date]],"yy-mm"),"TBD")</f>
        <v>25-09</v>
      </c>
      <c r="I187" s="13" t="s">
        <v>975</v>
      </c>
      <c r="J187" s="20" t="str">
        <f>IFERROR(VLOOKUP(Table4[[#This Row],[FromSite-UPS]],Table1[[#All],[Company or Name]:[FromSite3]],15,FALSE),"")</f>
        <v>Vilnius WWTP</v>
      </c>
      <c r="K187" s="20" t="str">
        <f>IFERROR(VLOOKUP(Table4[[#This Row],[FromSite-UPS]],Table1[[#All],[Company or Name]:[FromSite3]],16,FALSE),"")</f>
        <v>Vilnius Bus Terminal</v>
      </c>
      <c r="L187" s="20">
        <f>IFERROR(VLOOKUP(Table4[[#This Row],[FromSite-UPS]],Table1[[#All],[Company or Name]:[FromSite3]],14,FALSE),"")</f>
        <v>0.58333333333333337</v>
      </c>
      <c r="M187" s="13" t="s">
        <v>1011</v>
      </c>
      <c r="N187" s="20" t="s">
        <v>134</v>
      </c>
      <c r="O187" s="20" t="s">
        <v>1392</v>
      </c>
      <c r="P187" s="65" t="s">
        <v>134</v>
      </c>
      <c r="Q187" s="65" t="s">
        <v>1540</v>
      </c>
      <c r="R187" s="20" t="s">
        <v>1428</v>
      </c>
      <c r="S187" s="20" t="s">
        <v>125</v>
      </c>
      <c r="T187" s="20" t="s">
        <v>110</v>
      </c>
      <c r="U187" s="20"/>
      <c r="V187" s="20"/>
      <c r="W187" s="20" t="str">
        <f>TEXT(Table4[[#This Row],[Confirmed Sampling Date]], "yyyy") &amp; "_" &amp; TEXT(Table4[[#This Row],[Confirmed Sampling Date]], "mm") &amp; "_" &amp; TEXT(Table4[[#This Row],[Confirmed Sampling Date]], "dd")</f>
        <v>2025_09_02</v>
      </c>
      <c r="X187" s="20" t="str">
        <f t="shared" si="2"/>
        <v>Vilnius</v>
      </c>
      <c r="Y187" s="20" t="str">
        <f>VLOOKUP(Table4[[#This Row],[FromSite-UPS]],Table1[[Company or Name]:[NOTES]],2,FALSE)</f>
        <v>Lithuania</v>
      </c>
      <c r="Z187" s="20">
        <f>IFERROR(WEEKNUM(Table4[[#This Row],[Confirmed Sampling Date]] - 10, 21), "TBD")</f>
        <v>34</v>
      </c>
      <c r="AA187" s="20" t="str">
        <f>_xlfn.XLOOKUP(Table4[[#This Row],[FromSite-UPS]],sites!D:D,sites!W:W,"",0)</f>
        <v>Zolyno 36 gatve, Vilnius, 10210, Lithuania</v>
      </c>
      <c r="AB187" s="20" t="str">
        <f>_xlfn.XLOOKUP(Table4[[#This Row],[ToLab]],labs!D:D,labs!P:P,"no adres",0)</f>
        <v>Av. Rovisco Pais 1, Laboratorio de Analises de Agua, Lisbon, 1049-001, Portugal</v>
      </c>
      <c r="AC187" s="20">
        <f>_xlfn.XLOOKUP(Table4[[#This Row],[combi]],AREA!E:E,AREA!F:F,"",0)</f>
        <v>89</v>
      </c>
      <c r="AD187" s="20" t="str">
        <f>_xlfn.XLOOKUP(Table4[[#This Row],[combi]],AREA!E:E,AREA!G:G,"",0)</f>
        <v>Pick-up service of hypothetic package as defined in the Tech. Specs. and delivery to lots
2 and 3 contractors according to Scenario 1</v>
      </c>
      <c r="AE187" s="20" t="s">
        <v>125</v>
      </c>
      <c r="AF187" s="20" t="str">
        <f>_xlfn.XLOOKUP(Table4[[#This Row],[FromSite-UPS]],sites!D:D,sites!AB:AB,"",0)&amp;_xlfn.XLOOKUP(Table4[[#This Row],[ToLab]],labs!D:D,labs!Q:Q,"",0)</f>
        <v>EUEU</v>
      </c>
    </row>
    <row r="188" spans="2:32" ht="15.6" hidden="1" customHeight="1" x14ac:dyDescent="0.25">
      <c r="B188" s="13">
        <v>283</v>
      </c>
      <c r="C188" s="14" t="s">
        <v>53</v>
      </c>
      <c r="D188" s="13">
        <v>1</v>
      </c>
      <c r="E188" s="83">
        <v>45902</v>
      </c>
      <c r="F188" s="83">
        <v>45903</v>
      </c>
      <c r="G188" s="20">
        <f>IFERROR(WEEKNUM(Table4[[#This Row],[Confirmed Pick-up Date]]),"TBD")</f>
        <v>36</v>
      </c>
      <c r="H188" s="20" t="str">
        <f>IFERROR(TEXT(Table4[[#This Row],[Confirmed Pick-up Date]],"yy-mm"),"TBD")</f>
        <v>25-09</v>
      </c>
      <c r="I188" s="13" t="s">
        <v>975</v>
      </c>
      <c r="J188" s="20" t="str">
        <f>IFERROR(VLOOKUP(Table4[[#This Row],[FromSite-UPS]],Table1[[#All],[Company or Name]:[FromSite3]],15,FALSE),"")</f>
        <v>Vilnius WWTP</v>
      </c>
      <c r="K188" s="20" t="str">
        <f>IFERROR(VLOOKUP(Table4[[#This Row],[FromSite-UPS]],Table1[[#All],[Company or Name]:[FromSite3]],16,FALSE),"")</f>
        <v>Vilnius Bus Terminal</v>
      </c>
      <c r="L188" s="20">
        <f>IFERROR(VLOOKUP(Table4[[#This Row],[FromSite-UPS]],Table1[[#All],[Company or Name]:[FromSite3]],14,FALSE),"")</f>
        <v>0.58333333333333337</v>
      </c>
      <c r="M188" s="13" t="s">
        <v>1011</v>
      </c>
      <c r="N188" s="20" t="s">
        <v>134</v>
      </c>
      <c r="O188" s="20" t="s">
        <v>1391</v>
      </c>
      <c r="P188" s="20" t="s">
        <v>134</v>
      </c>
      <c r="Q188" s="20" t="s">
        <v>1540</v>
      </c>
      <c r="R188" s="20" t="s">
        <v>1427</v>
      </c>
      <c r="S188" s="20" t="s">
        <v>125</v>
      </c>
      <c r="T188" s="20" t="s">
        <v>110</v>
      </c>
      <c r="U188" s="20"/>
      <c r="V188" s="20"/>
      <c r="W188" s="20" t="str">
        <f>TEXT(Table4[[#This Row],[Confirmed Sampling Date]], "yyyy") &amp; "_" &amp; TEXT(Table4[[#This Row],[Confirmed Sampling Date]], "mm") &amp; "_" &amp; TEXT(Table4[[#This Row],[Confirmed Sampling Date]], "dd")</f>
        <v>2025_09_02</v>
      </c>
      <c r="X188" s="20" t="str">
        <f t="shared" si="2"/>
        <v>Vilnius</v>
      </c>
      <c r="Y188" s="20" t="str">
        <f>VLOOKUP(Table4[[#This Row],[FromSite-UPS]],Table1[[Company or Name]:[NOTES]],2,FALSE)</f>
        <v>Lithuania</v>
      </c>
      <c r="Z188" s="20">
        <f>IFERROR(WEEKNUM(Table4[[#This Row],[Confirmed Sampling Date]] - 10, 21), "TBD")</f>
        <v>34</v>
      </c>
      <c r="AA188" s="20" t="str">
        <f>_xlfn.XLOOKUP(Table4[[#This Row],[FromSite-UPS]],sites!D:D,sites!W:W,"",0)</f>
        <v>Zolyno 36 gatve, Vilnius, 10210, Lithuania</v>
      </c>
      <c r="AB188" s="20" t="str">
        <f>_xlfn.XLOOKUP(Table4[[#This Row],[ToLab]],labs!D:D,labs!P:P,"no adres",0)</f>
        <v>Av. Rovisco Pais 1, Laboratorio de Analises de Agua, Lisbon, 1049-001, Portugal</v>
      </c>
      <c r="AC188" s="20">
        <f>_xlfn.XLOOKUP(Table4[[#This Row],[combi]],AREA!E:E,AREA!F:F,"",0)</f>
        <v>89</v>
      </c>
      <c r="AD188" s="20" t="str">
        <f>_xlfn.XLOOKUP(Table4[[#This Row],[combi]],AREA!E:E,AREA!G:G,"",0)</f>
        <v>Pick-up service of hypothetic package as defined in the Tech. Specs. and delivery to lots
2 and 3 contractors according to Scenario 1</v>
      </c>
      <c r="AE188" s="20" t="s">
        <v>125</v>
      </c>
      <c r="AF188" s="20" t="str">
        <f>_xlfn.XLOOKUP(Table4[[#This Row],[FromSite-UPS]],sites!D:D,sites!AB:AB,"",0)&amp;_xlfn.XLOOKUP(Table4[[#This Row],[ToLab]],labs!D:D,labs!Q:Q,"",0)</f>
        <v>EUEU</v>
      </c>
    </row>
    <row r="189" spans="2:32" ht="15.6" hidden="1" customHeight="1" x14ac:dyDescent="0.25">
      <c r="B189" s="13">
        <v>530</v>
      </c>
      <c r="C189" s="14" t="s">
        <v>53</v>
      </c>
      <c r="D189" s="13">
        <v>1</v>
      </c>
      <c r="E189" s="83">
        <v>45901</v>
      </c>
      <c r="F189" s="83">
        <v>45903</v>
      </c>
      <c r="G189" s="20">
        <f>IFERROR(WEEKNUM(Table4[[#This Row],[Confirmed Pick-up Date]]),"TBD")</f>
        <v>36</v>
      </c>
      <c r="H189" s="20" t="str">
        <f>IFERROR(TEXT(Table4[[#This Row],[Confirmed Pick-up Date]],"yy-mm"),"TBD")</f>
        <v>25-09</v>
      </c>
      <c r="I189" s="78" t="s">
        <v>1187</v>
      </c>
      <c r="J189" s="20" t="str">
        <f>IFERROR(VLOOKUP(Table4[[#This Row],[FromSite-UPS]],Table1[[#All],[Company or Name]:[FromSite3]],15,FALSE),"")</f>
        <v>Aachen WWTP</v>
      </c>
      <c r="K189" s="20" t="str">
        <f>IFERROR(VLOOKUP(Table4[[#This Row],[FromSite-UPS]],Table1[[#All],[Company or Name]:[FromSite3]],16,FALSE),"")</f>
        <v>Aachen Hospital</v>
      </c>
      <c r="L189" s="20">
        <f>IFERROR(VLOOKUP(Table4[[#This Row],[FromSite-UPS]],Table1[[#All],[Company or Name]:[FromSite3]],14,FALSE),"")</f>
        <v>0.66666666666666663</v>
      </c>
      <c r="M189" s="13" t="s">
        <v>1011</v>
      </c>
      <c r="N189" s="20" t="s">
        <v>134</v>
      </c>
      <c r="O189" s="20" t="s">
        <v>1400</v>
      </c>
      <c r="P189" s="20" t="s">
        <v>134</v>
      </c>
      <c r="Q189" s="20" t="s">
        <v>1521</v>
      </c>
      <c r="R189" s="20" t="s">
        <v>1423</v>
      </c>
      <c r="S189" s="20" t="s">
        <v>125</v>
      </c>
      <c r="T189" s="20" t="s">
        <v>110</v>
      </c>
      <c r="U189" s="20"/>
      <c r="V189" s="20"/>
      <c r="W189" s="20" t="str">
        <f>TEXT(Table4[[#This Row],[Confirmed Sampling Date]], "yyyy") &amp; "_" &amp; TEXT(Table4[[#This Row],[Confirmed Sampling Date]], "mm") &amp; "_" &amp; TEXT(Table4[[#This Row],[Confirmed Sampling Date]], "dd")</f>
        <v>2025_09_01</v>
      </c>
      <c r="X189" s="20" t="str">
        <f t="shared" si="2"/>
        <v>Aachen</v>
      </c>
      <c r="Y189" s="20" t="str">
        <f>VLOOKUP(Table4[[#This Row],[FromSite-UPS]],Table1[[Company or Name]:[NOTES]],2,FALSE)</f>
        <v>Germany</v>
      </c>
      <c r="Z189" s="20">
        <f>IFERROR(WEEKNUM(Table4[[#This Row],[Confirmed Sampling Date]] - 10, 21), "TBD")</f>
        <v>34</v>
      </c>
      <c r="AA189" s="20" t="str">
        <f>_xlfn.XLOOKUP(Table4[[#This Row],[FromSite-UPS]],sites!D:D,sites!W:W,"",0)</f>
        <v>Krefelder Str. 299, Aachen, 52070, Germany</v>
      </c>
      <c r="AB189" s="20" t="str">
        <f>_xlfn.XLOOKUP(Table4[[#This Row],[ToLab]],labs!D:D,labs!P:P,"no adres",0)</f>
        <v>Av. Rovisco Pais 1, Laboratorio de Analises de Agua, Lisbon, 1049-001, Portugal</v>
      </c>
      <c r="AC189" s="20">
        <f>_xlfn.XLOOKUP(Table4[[#This Row],[combi]],AREA!E:E,AREA!F:F,"",0)</f>
        <v>89</v>
      </c>
      <c r="AD189" s="20" t="str">
        <f>_xlfn.XLOOKUP(Table4[[#This Row],[combi]],AREA!E:E,AREA!G:G,"",0)</f>
        <v>Pick-up service of hypothetic package as defined in the Tech. Specs. and delivery to lots
2 and 3 contractors according to Scenario 1</v>
      </c>
      <c r="AE189" s="20" t="s">
        <v>125</v>
      </c>
      <c r="AF189" s="20" t="str">
        <f>_xlfn.XLOOKUP(Table4[[#This Row],[FromSite-UPS]],sites!D:D,sites!AB:AB,"",0)&amp;_xlfn.XLOOKUP(Table4[[#This Row],[ToLab]],labs!D:D,labs!Q:Q,"",0)</f>
        <v>EUEU</v>
      </c>
    </row>
    <row r="190" spans="2:32" ht="15.6" hidden="1" customHeight="1" x14ac:dyDescent="0.25">
      <c r="B190" s="13">
        <v>595</v>
      </c>
      <c r="C190" s="14" t="s">
        <v>53</v>
      </c>
      <c r="D190" s="13">
        <v>1</v>
      </c>
      <c r="E190" s="83">
        <v>45901</v>
      </c>
      <c r="F190" s="83">
        <v>45903</v>
      </c>
      <c r="G190" s="20">
        <f>IFERROR(WEEKNUM(Table4[[#This Row],[Confirmed Pick-up Date]]),"TBD")</f>
        <v>36</v>
      </c>
      <c r="H190" s="20" t="str">
        <f>IFERROR(TEXT(Table4[[#This Row],[Confirmed Pick-up Date]],"yy-mm"),"TBD")</f>
        <v>25-09</v>
      </c>
      <c r="I190" s="78" t="s">
        <v>1187</v>
      </c>
      <c r="J190" s="20" t="str">
        <f>IFERROR(VLOOKUP(Table4[[#This Row],[FromSite-UPS]],Table1[[#All],[Company or Name]:[FromSite3]],15,FALSE),"")</f>
        <v>Aachen WWTP</v>
      </c>
      <c r="K190" s="20" t="str">
        <f>IFERROR(VLOOKUP(Table4[[#This Row],[FromSite-UPS]],Table1[[#All],[Company or Name]:[FromSite3]],16,FALSE),"")</f>
        <v>Aachen Hospital</v>
      </c>
      <c r="L190" s="20">
        <f>IFERROR(VLOOKUP(Table4[[#This Row],[FromSite-UPS]],Table1[[#All],[Company or Name]:[FromSite3]],14,FALSE),"")</f>
        <v>0.66666666666666663</v>
      </c>
      <c r="M190" s="13" t="s">
        <v>1011</v>
      </c>
      <c r="N190" s="20" t="s">
        <v>134</v>
      </c>
      <c r="O190" s="20" t="s">
        <v>1409</v>
      </c>
      <c r="P190" s="20" t="s">
        <v>134</v>
      </c>
      <c r="Q190" s="20" t="s">
        <v>1521</v>
      </c>
      <c r="R190" s="20" t="s">
        <v>1422</v>
      </c>
      <c r="S190" s="20" t="s">
        <v>125</v>
      </c>
      <c r="T190" s="20" t="s">
        <v>110</v>
      </c>
      <c r="U190" s="20"/>
      <c r="V190" s="20"/>
      <c r="W190" s="20" t="str">
        <f>TEXT(Table4[[#This Row],[Confirmed Sampling Date]], "yyyy") &amp; "_" &amp; TEXT(Table4[[#This Row],[Confirmed Sampling Date]], "mm") &amp; "_" &amp; TEXT(Table4[[#This Row],[Confirmed Sampling Date]], "dd")</f>
        <v>2025_09_01</v>
      </c>
      <c r="X190" s="20" t="str">
        <f t="shared" si="2"/>
        <v>Aachen</v>
      </c>
      <c r="Y190" s="20" t="str">
        <f>VLOOKUP(Table4[[#This Row],[FromSite-UPS]],Table1[[Company or Name]:[NOTES]],2,FALSE)</f>
        <v>Germany</v>
      </c>
      <c r="Z190" s="20">
        <f>IFERROR(WEEKNUM(Table4[[#This Row],[Confirmed Sampling Date]] - 10, 21), "TBD")</f>
        <v>34</v>
      </c>
      <c r="AA190" s="20" t="str">
        <f>_xlfn.XLOOKUP(Table4[[#This Row],[FromSite-UPS]],sites!D:D,sites!W:W,"",0)</f>
        <v>Krefelder Str. 299, Aachen, 52070, Germany</v>
      </c>
      <c r="AB190" s="20" t="str">
        <f>_xlfn.XLOOKUP(Table4[[#This Row],[ToLab]],labs!D:D,labs!P:P,"no adres",0)</f>
        <v>Av. Rovisco Pais 1, Laboratorio de Analises de Agua, Lisbon, 1049-001, Portugal</v>
      </c>
      <c r="AC190" s="20">
        <f>_xlfn.XLOOKUP(Table4[[#This Row],[combi]],AREA!E:E,AREA!F:F,"",0)</f>
        <v>89</v>
      </c>
      <c r="AD190" s="20" t="str">
        <f>_xlfn.XLOOKUP(Table4[[#This Row],[combi]],AREA!E:E,AREA!G:G,"",0)</f>
        <v>Pick-up service of hypothetic package as defined in the Tech. Specs. and delivery to lots
2 and 3 contractors according to Scenario 1</v>
      </c>
      <c r="AE190" s="20" t="s">
        <v>125</v>
      </c>
      <c r="AF190" s="20" t="str">
        <f>_xlfn.XLOOKUP(Table4[[#This Row],[FromSite-UPS]],sites!D:D,sites!AB:AB,"",0)&amp;_xlfn.XLOOKUP(Table4[[#This Row],[ToLab]],labs!D:D,labs!Q:Q,"",0)</f>
        <v>EUEU</v>
      </c>
    </row>
    <row r="191" spans="2:32" ht="15.6" hidden="1" customHeight="1" x14ac:dyDescent="0.25">
      <c r="B191" s="13">
        <v>294</v>
      </c>
      <c r="C191" s="14" t="s">
        <v>53</v>
      </c>
      <c r="D191" s="13">
        <v>1</v>
      </c>
      <c r="E191" s="83">
        <v>45903</v>
      </c>
      <c r="F191" s="83">
        <v>45904</v>
      </c>
      <c r="G191" s="20">
        <f>IFERROR(WEEKNUM(Table4[[#This Row],[Confirmed Pick-up Date]]),"TBD")</f>
        <v>36</v>
      </c>
      <c r="H191" s="20" t="str">
        <f>IFERROR(TEXT(Table4[[#This Row],[Confirmed Pick-up Date]],"yy-mm"),"TBD")</f>
        <v>25-09</v>
      </c>
      <c r="I191" s="13" t="s">
        <v>975</v>
      </c>
      <c r="J191" s="20" t="str">
        <f>IFERROR(VLOOKUP(Table4[[#This Row],[FromSite-UPS]],Table1[[#All],[Company or Name]:[FromSite3]],15,FALSE),"")</f>
        <v>Vilnius WWTP</v>
      </c>
      <c r="K191" s="20" t="str">
        <f>IFERROR(VLOOKUP(Table4[[#This Row],[FromSite-UPS]],Table1[[#All],[Company or Name]:[FromSite3]],16,FALSE),"")</f>
        <v>Vilnius Bus Terminal</v>
      </c>
      <c r="L191" s="20">
        <f>IFERROR(VLOOKUP(Table4[[#This Row],[FromSite-UPS]],Table1[[#All],[Company or Name]:[FromSite3]],14,FALSE),"")</f>
        <v>0.58333333333333337</v>
      </c>
      <c r="M191" s="13" t="s">
        <v>1011</v>
      </c>
      <c r="N191" s="20" t="s">
        <v>134</v>
      </c>
      <c r="O191" s="20" t="s">
        <v>1393</v>
      </c>
      <c r="P191" s="20" t="s">
        <v>134</v>
      </c>
      <c r="Q191" s="20" t="s">
        <v>1541</v>
      </c>
      <c r="R191" s="20" t="s">
        <v>1426</v>
      </c>
      <c r="S191" s="20" t="s">
        <v>125</v>
      </c>
      <c r="T191" s="20" t="s">
        <v>110</v>
      </c>
      <c r="U191" s="20"/>
      <c r="V191" s="20"/>
      <c r="W191" s="20" t="str">
        <f>TEXT(Table4[[#This Row],[Confirmed Sampling Date]], "yyyy") &amp; "_" &amp; TEXT(Table4[[#This Row],[Confirmed Sampling Date]], "mm") &amp; "_" &amp; TEXT(Table4[[#This Row],[Confirmed Sampling Date]], "dd")</f>
        <v>2025_09_03</v>
      </c>
      <c r="X191" s="20" t="str">
        <f t="shared" si="2"/>
        <v>Vilnius</v>
      </c>
      <c r="Y191" s="20" t="str">
        <f>VLOOKUP(Table4[[#This Row],[FromSite-UPS]],Table1[[Company or Name]:[NOTES]],2,FALSE)</f>
        <v>Lithuania</v>
      </c>
      <c r="Z191" s="20">
        <f>IFERROR(WEEKNUM(Table4[[#This Row],[Confirmed Sampling Date]] - 10, 21), "TBD")</f>
        <v>34</v>
      </c>
      <c r="AA191" s="20" t="str">
        <f>_xlfn.XLOOKUP(Table4[[#This Row],[FromSite-UPS]],sites!D:D,sites!W:W,"",0)</f>
        <v>Zolyno 36 gatve, Vilnius, 10210, Lithuania</v>
      </c>
      <c r="AB191" s="20" t="str">
        <f>_xlfn.XLOOKUP(Table4[[#This Row],[ToLab]],labs!D:D,labs!P:P,"no adres",0)</f>
        <v>Av. Rovisco Pais 1, Laboratorio de Analises de Agua, Lisbon, 1049-001, Portugal</v>
      </c>
      <c r="AC191" s="20">
        <f>_xlfn.XLOOKUP(Table4[[#This Row],[combi]],AREA!E:E,AREA!F:F,"",0)</f>
        <v>89</v>
      </c>
      <c r="AD191" s="20" t="str">
        <f>_xlfn.XLOOKUP(Table4[[#This Row],[combi]],AREA!E:E,AREA!G:G,"",0)</f>
        <v>Pick-up service of hypothetic package as defined in the Tech. Specs. and delivery to lots
2 and 3 contractors according to Scenario 1</v>
      </c>
      <c r="AE191" s="20" t="s">
        <v>125</v>
      </c>
      <c r="AF191" s="20" t="str">
        <f>_xlfn.XLOOKUP(Table4[[#This Row],[FromSite-UPS]],sites!D:D,sites!AB:AB,"",0)&amp;_xlfn.XLOOKUP(Table4[[#This Row],[ToLab]],labs!D:D,labs!Q:Q,"",0)</f>
        <v>EUEU</v>
      </c>
    </row>
    <row r="192" spans="2:32" ht="15.6" hidden="1" customHeight="1" x14ac:dyDescent="0.25">
      <c r="B192" s="13">
        <v>304</v>
      </c>
      <c r="C192" s="14" t="s">
        <v>53</v>
      </c>
      <c r="D192" s="13">
        <v>1</v>
      </c>
      <c r="E192" s="79">
        <v>45903</v>
      </c>
      <c r="F192" s="80">
        <v>45904</v>
      </c>
      <c r="G192" s="20">
        <f>IFERROR(WEEKNUM(Table4[[#This Row],[Confirmed Pick-up Date]]),"TBD")</f>
        <v>36</v>
      </c>
      <c r="H192" s="20" t="str">
        <f>IFERROR(TEXT(Table4[[#This Row],[Confirmed Pick-up Date]],"yy-mm"),"TBD")</f>
        <v>25-09</v>
      </c>
      <c r="I192" s="78" t="s">
        <v>1628</v>
      </c>
      <c r="J192" s="20" t="str">
        <f>IFERROR(VLOOKUP(Table4[[#This Row],[FromSite-UPS]],Table1[[#All],[Company or Name]:[FromSite3]],15,FALSE),"")</f>
        <v>Funchal WWTP</v>
      </c>
      <c r="K192" s="20" t="str">
        <f>IFERROR(VLOOKUP(Table4[[#This Row],[FromSite-UPS]],Table1[[#All],[Company or Name]:[FromSite3]],16,FALSE),"")</f>
        <v>Madeira, 10 locations</v>
      </c>
      <c r="L192" s="20">
        <f>IFERROR(VLOOKUP(Table4[[#This Row],[FromSite-UPS]],Table1[[#All],[Company or Name]:[FromSite3]],14,FALSE),"")</f>
        <v>0.70833333333333337</v>
      </c>
      <c r="M192" s="13" t="s">
        <v>1011</v>
      </c>
      <c r="N192" s="20" t="s">
        <v>134</v>
      </c>
      <c r="O192" s="118">
        <v>1794477591</v>
      </c>
      <c r="P192" s="20"/>
      <c r="Q192" s="20"/>
      <c r="R192" s="20" t="s">
        <v>1449</v>
      </c>
      <c r="S192" s="20" t="s">
        <v>125</v>
      </c>
      <c r="T192" s="20" t="s">
        <v>110</v>
      </c>
      <c r="U192" s="20"/>
      <c r="V192" s="20"/>
      <c r="W192" s="20" t="str">
        <f>TEXT(Table4[[#This Row],[Confirmed Sampling Date]], "yyyy") &amp; "_" &amp; TEXT(Table4[[#This Row],[Confirmed Sampling Date]], "mm") &amp; "_" &amp; TEXT(Table4[[#This Row],[Confirmed Sampling Date]], "dd")</f>
        <v>2025_09_03</v>
      </c>
      <c r="X192" s="20" t="str">
        <f t="shared" si="2"/>
        <v>Funchal</v>
      </c>
      <c r="Y192" s="20" t="str">
        <f>VLOOKUP(Table4[[#This Row],[FromSite-UPS]],Table1[[Company or Name]:[NOTES]],2,FALSE)</f>
        <v>Portugal</v>
      </c>
      <c r="Z192" s="20">
        <f>IFERROR(WEEKNUM(Table4[[#This Row],[Confirmed Sampling Date]] - 10, 21), "TBD")</f>
        <v>34</v>
      </c>
      <c r="AA192" s="20" t="str">
        <f>_xlfn.XLOOKUP(Table4[[#This Row],[FromSite-UPS]],sites!D:D,sites!W:W,"",0)</f>
        <v>R. do Matadouro 4, Funchal, 9050-100, Portugal</v>
      </c>
      <c r="AB192" s="20" t="str">
        <f>_xlfn.XLOOKUP(Table4[[#This Row],[ToLab]],labs!D:D,labs!P:P,"no adres",0)</f>
        <v>Av. Rovisco Pais 1, Laboratorio de Analises de Agua, Lisbon, 1049-001, Portugal</v>
      </c>
      <c r="AC192" s="20">
        <f>_xlfn.XLOOKUP(Table4[[#This Row],[combi]],AREA!E:E,AREA!F:F,"",0)</f>
        <v>89</v>
      </c>
      <c r="AD192" s="20" t="str">
        <f>_xlfn.XLOOKUP(Table4[[#This Row],[combi]],AREA!E:E,AREA!G:G,"",0)</f>
        <v>Pick-up service of hypothetic package as defined in the Tech. Specs. and delivery to lots
2 and 3 contractors according to Scenario 1</v>
      </c>
      <c r="AE192" s="20" t="s">
        <v>125</v>
      </c>
      <c r="AF192" s="20" t="str">
        <f>_xlfn.XLOOKUP(Table4[[#This Row],[FromSite-UPS]],sites!D:D,sites!AB:AB,"",0)&amp;_xlfn.XLOOKUP(Table4[[#This Row],[ToLab]],labs!D:D,labs!Q:Q,"",0)</f>
        <v>EUEU</v>
      </c>
    </row>
    <row r="193" spans="2:32" ht="15.6" hidden="1" customHeight="1" x14ac:dyDescent="0.25">
      <c r="B193" s="13">
        <v>314</v>
      </c>
      <c r="C193" s="14" t="s">
        <v>53</v>
      </c>
      <c r="D193" s="13">
        <v>1</v>
      </c>
      <c r="E193" s="79">
        <v>45903</v>
      </c>
      <c r="F193" s="80">
        <v>45904</v>
      </c>
      <c r="G193" s="20">
        <f>IFERROR(WEEKNUM(Table4[[#This Row],[Confirmed Pick-up Date]]),"TBD")</f>
        <v>36</v>
      </c>
      <c r="H193" s="20" t="str">
        <f>IFERROR(TEXT(Table4[[#This Row],[Confirmed Pick-up Date]],"yy-mm"),"TBD")</f>
        <v>25-09</v>
      </c>
      <c r="I193" s="78" t="s">
        <v>1628</v>
      </c>
      <c r="J193" s="20" t="str">
        <f>IFERROR(VLOOKUP(Table4[[#This Row],[FromSite-UPS]],Table1[[#All],[Company or Name]:[FromSite3]],15,FALSE),"")</f>
        <v>Funchal WWTP</v>
      </c>
      <c r="K193" s="20" t="str">
        <f>IFERROR(VLOOKUP(Table4[[#This Row],[FromSite-UPS]],Table1[[#All],[Company or Name]:[FromSite3]],16,FALSE),"")</f>
        <v>Madeira, 10 locations</v>
      </c>
      <c r="L193" s="20">
        <f>IFERROR(VLOOKUP(Table4[[#This Row],[FromSite-UPS]],Table1[[#All],[Company or Name]:[FromSite3]],14,FALSE),"")</f>
        <v>0.70833333333333337</v>
      </c>
      <c r="M193" s="13" t="s">
        <v>1011</v>
      </c>
      <c r="N193" s="20" t="s">
        <v>134</v>
      </c>
      <c r="O193" s="118">
        <v>1794477591</v>
      </c>
      <c r="P193" s="20"/>
      <c r="Q193" s="20" t="s">
        <v>1857</v>
      </c>
      <c r="R193" s="20" t="s">
        <v>1450</v>
      </c>
      <c r="S193" s="20" t="s">
        <v>125</v>
      </c>
      <c r="T193" s="20" t="s">
        <v>110</v>
      </c>
      <c r="U193" s="20"/>
      <c r="V193" s="20"/>
      <c r="W193" s="20" t="str">
        <f>TEXT(Table4[[#This Row],[Confirmed Sampling Date]], "yyyy") &amp; "_" &amp; TEXT(Table4[[#This Row],[Confirmed Sampling Date]], "mm") &amp; "_" &amp; TEXT(Table4[[#This Row],[Confirmed Sampling Date]], "dd")</f>
        <v>2025_09_03</v>
      </c>
      <c r="X193" s="20" t="str">
        <f t="shared" si="2"/>
        <v>Funchal</v>
      </c>
      <c r="Y193" s="20" t="str">
        <f>VLOOKUP(Table4[[#This Row],[FromSite-UPS]],Table1[[Company or Name]:[NOTES]],2,FALSE)</f>
        <v>Portugal</v>
      </c>
      <c r="Z193" s="20">
        <f>IFERROR(WEEKNUM(Table4[[#This Row],[Confirmed Sampling Date]] - 10, 21), "TBD")</f>
        <v>34</v>
      </c>
      <c r="AA193" s="20" t="str">
        <f>_xlfn.XLOOKUP(Table4[[#This Row],[FromSite-UPS]],sites!D:D,sites!W:W,"",0)</f>
        <v>R. do Matadouro 4, Funchal, 9050-100, Portugal</v>
      </c>
      <c r="AB193" s="20" t="str">
        <f>_xlfn.XLOOKUP(Table4[[#This Row],[ToLab]],labs!D:D,labs!P:P,"no adres",0)</f>
        <v>Av. Rovisco Pais 1, Laboratorio de Analises de Agua, Lisbon, 1049-001, Portugal</v>
      </c>
      <c r="AC193" s="20">
        <f>_xlfn.XLOOKUP(Table4[[#This Row],[combi]],AREA!E:E,AREA!F:F,"",0)</f>
        <v>89</v>
      </c>
      <c r="AD193" s="20" t="str">
        <f>_xlfn.XLOOKUP(Table4[[#This Row],[combi]],AREA!E:E,AREA!G:G,"",0)</f>
        <v>Pick-up service of hypothetic package as defined in the Tech. Specs. and delivery to lots
2 and 3 contractors according to Scenario 1</v>
      </c>
      <c r="AE193" s="20" t="s">
        <v>125</v>
      </c>
      <c r="AF193" s="20" t="str">
        <f>_xlfn.XLOOKUP(Table4[[#This Row],[FromSite-UPS]],sites!D:D,sites!AB:AB,"",0)&amp;_xlfn.XLOOKUP(Table4[[#This Row],[ToLab]],labs!D:D,labs!Q:Q,"",0)</f>
        <v>EUEU</v>
      </c>
    </row>
    <row r="194" spans="2:32" ht="15.6" hidden="1" customHeight="1" x14ac:dyDescent="0.25">
      <c r="B194" s="13">
        <v>324</v>
      </c>
      <c r="C194" s="14" t="s">
        <v>53</v>
      </c>
      <c r="D194" s="13">
        <v>1</v>
      </c>
      <c r="E194" s="79">
        <v>45903</v>
      </c>
      <c r="F194" s="80">
        <v>45904</v>
      </c>
      <c r="G194" s="20">
        <f>IFERROR(WEEKNUM(Table4[[#This Row],[Confirmed Pick-up Date]]),"TBD")</f>
        <v>36</v>
      </c>
      <c r="H194" s="20" t="str">
        <f>IFERROR(TEXT(Table4[[#This Row],[Confirmed Pick-up Date]],"yy-mm"),"TBD")</f>
        <v>25-09</v>
      </c>
      <c r="I194" s="78" t="s">
        <v>1628</v>
      </c>
      <c r="J194" s="20" t="str">
        <f>IFERROR(VLOOKUP(Table4[[#This Row],[FromSite-UPS]],Table1[[#All],[Company or Name]:[FromSite3]],15,FALSE),"")</f>
        <v>Funchal WWTP</v>
      </c>
      <c r="K194" s="20" t="str">
        <f>IFERROR(VLOOKUP(Table4[[#This Row],[FromSite-UPS]],Table1[[#All],[Company or Name]:[FromSite3]],16,FALSE),"")</f>
        <v>Madeira, 10 locations</v>
      </c>
      <c r="L194" s="20">
        <f>IFERROR(VLOOKUP(Table4[[#This Row],[FromSite-UPS]],Table1[[#All],[Company or Name]:[FromSite3]],14,FALSE),"")</f>
        <v>0.70833333333333337</v>
      </c>
      <c r="M194" s="13" t="s">
        <v>1011</v>
      </c>
      <c r="N194" s="20" t="s">
        <v>134</v>
      </c>
      <c r="O194" s="118">
        <v>1794477591</v>
      </c>
      <c r="P194" s="65"/>
      <c r="Q194" s="65"/>
      <c r="R194" s="20" t="s">
        <v>1451</v>
      </c>
      <c r="S194" s="20" t="s">
        <v>125</v>
      </c>
      <c r="T194" s="20" t="s">
        <v>110</v>
      </c>
      <c r="U194" s="20"/>
      <c r="V194" s="20"/>
      <c r="W194" s="20" t="str">
        <f>TEXT(Table4[[#This Row],[Confirmed Sampling Date]], "yyyy") &amp; "_" &amp; TEXT(Table4[[#This Row],[Confirmed Sampling Date]], "mm") &amp; "_" &amp; TEXT(Table4[[#This Row],[Confirmed Sampling Date]], "dd")</f>
        <v>2025_09_03</v>
      </c>
      <c r="X194" s="20" t="str">
        <f t="shared" si="2"/>
        <v>Funchal</v>
      </c>
      <c r="Y194" s="20" t="str">
        <f>VLOOKUP(Table4[[#This Row],[FromSite-UPS]],Table1[[Company or Name]:[NOTES]],2,FALSE)</f>
        <v>Portugal</v>
      </c>
      <c r="Z194" s="20">
        <f>IFERROR(WEEKNUM(Table4[[#This Row],[Confirmed Sampling Date]] - 10, 21), "TBD")</f>
        <v>34</v>
      </c>
      <c r="AA194" s="20" t="str">
        <f>_xlfn.XLOOKUP(Table4[[#This Row],[FromSite-UPS]],sites!D:D,sites!W:W,"",0)</f>
        <v>R. do Matadouro 4, Funchal, 9050-100, Portugal</v>
      </c>
      <c r="AB194" s="20" t="str">
        <f>_xlfn.XLOOKUP(Table4[[#This Row],[ToLab]],labs!D:D,labs!P:P,"no adres",0)</f>
        <v>Av. Rovisco Pais 1, Laboratorio de Analises de Agua, Lisbon, 1049-001, Portugal</v>
      </c>
      <c r="AC194" s="20">
        <f>_xlfn.XLOOKUP(Table4[[#This Row],[combi]],AREA!E:E,AREA!F:F,"",0)</f>
        <v>89</v>
      </c>
      <c r="AD194" s="20" t="str">
        <f>_xlfn.XLOOKUP(Table4[[#This Row],[combi]],AREA!E:E,AREA!G:G,"",0)</f>
        <v>Pick-up service of hypothetic package as defined in the Tech. Specs. and delivery to lots
2 and 3 contractors according to Scenario 1</v>
      </c>
      <c r="AE194" s="20" t="s">
        <v>125</v>
      </c>
      <c r="AF194" s="20" t="str">
        <f>_xlfn.XLOOKUP(Table4[[#This Row],[FromSite-UPS]],sites!D:D,sites!AB:AB,"",0)&amp;_xlfn.XLOOKUP(Table4[[#This Row],[ToLab]],labs!D:D,labs!Q:Q,"",0)</f>
        <v>EUEU</v>
      </c>
    </row>
    <row r="195" spans="2:32" ht="15.6" hidden="1" customHeight="1" x14ac:dyDescent="0.25">
      <c r="B195" s="13">
        <v>334</v>
      </c>
      <c r="C195" s="14" t="s">
        <v>53</v>
      </c>
      <c r="D195" s="13">
        <v>1</v>
      </c>
      <c r="E195" s="79">
        <v>45903</v>
      </c>
      <c r="F195" s="81">
        <v>45904</v>
      </c>
      <c r="G195" s="20">
        <f>IFERROR(WEEKNUM(Table4[[#This Row],[Confirmed Pick-up Date]]),"TBD")</f>
        <v>36</v>
      </c>
      <c r="H195" s="20" t="str">
        <f>IFERROR(TEXT(Table4[[#This Row],[Confirmed Pick-up Date]],"yy-mm"),"TBD")</f>
        <v>25-09</v>
      </c>
      <c r="I195" s="67" t="s">
        <v>1628</v>
      </c>
      <c r="J195" s="20" t="str">
        <f>IFERROR(VLOOKUP(Table4[[#This Row],[FromSite-UPS]],Table1[[#All],[Company or Name]:[FromSite3]],15,FALSE),"")</f>
        <v>Funchal WWTP</v>
      </c>
      <c r="K195" s="20" t="str">
        <f>IFERROR(VLOOKUP(Table4[[#This Row],[FromSite-UPS]],Table1[[#All],[Company or Name]:[FromSite3]],16,FALSE),"")</f>
        <v>Madeira, 10 locations</v>
      </c>
      <c r="L195" s="20">
        <f>IFERROR(VLOOKUP(Table4[[#This Row],[FromSite-UPS]],Table1[[#All],[Company or Name]:[FromSite3]],14,FALSE),"")</f>
        <v>0.70833333333333337</v>
      </c>
      <c r="M195" s="13" t="s">
        <v>1011</v>
      </c>
      <c r="N195" s="20" t="s">
        <v>134</v>
      </c>
      <c r="O195" s="118">
        <v>1794477591</v>
      </c>
      <c r="P195" s="65"/>
      <c r="Q195" s="65"/>
      <c r="R195" s="20" t="s">
        <v>1452</v>
      </c>
      <c r="S195" s="20" t="s">
        <v>125</v>
      </c>
      <c r="T195" s="20" t="s">
        <v>110</v>
      </c>
      <c r="U195" s="20"/>
      <c r="V195" s="20"/>
      <c r="W195" s="20" t="str">
        <f>TEXT(Table4[[#This Row],[Confirmed Sampling Date]], "yyyy") &amp; "_" &amp; TEXT(Table4[[#This Row],[Confirmed Sampling Date]], "mm") &amp; "_" &amp; TEXT(Table4[[#This Row],[Confirmed Sampling Date]], "dd")</f>
        <v>2025_09_03</v>
      </c>
      <c r="X195" s="20" t="str">
        <f t="shared" si="2"/>
        <v>Funchal</v>
      </c>
      <c r="Y195" s="20" t="str">
        <f>VLOOKUP(Table4[[#This Row],[FromSite-UPS]],Table1[[Company or Name]:[NOTES]],2,FALSE)</f>
        <v>Portugal</v>
      </c>
      <c r="Z195" s="20">
        <f>IFERROR(WEEKNUM(Table4[[#This Row],[Confirmed Sampling Date]] - 10, 21), "TBD")</f>
        <v>34</v>
      </c>
      <c r="AA195" s="20" t="str">
        <f>_xlfn.XLOOKUP(Table4[[#This Row],[FromSite-UPS]],sites!D:D,sites!W:W,"",0)</f>
        <v>R. do Matadouro 4, Funchal, 9050-100, Portugal</v>
      </c>
      <c r="AB195" s="20" t="str">
        <f>_xlfn.XLOOKUP(Table4[[#This Row],[ToLab]],labs!D:D,labs!P:P,"no adres",0)</f>
        <v>Av. Rovisco Pais 1, Laboratorio de Analises de Agua, Lisbon, 1049-001, Portugal</v>
      </c>
      <c r="AC195" s="20">
        <f>_xlfn.XLOOKUP(Table4[[#This Row],[combi]],AREA!E:E,AREA!F:F,"",0)</f>
        <v>89</v>
      </c>
      <c r="AD195" s="20" t="str">
        <f>_xlfn.XLOOKUP(Table4[[#This Row],[combi]],AREA!E:E,AREA!G:G,"",0)</f>
        <v>Pick-up service of hypothetic package as defined in the Tech. Specs. and delivery to lots
2 and 3 contractors according to Scenario 1</v>
      </c>
      <c r="AE195" s="20" t="s">
        <v>125</v>
      </c>
      <c r="AF195" s="20" t="str">
        <f>_xlfn.XLOOKUP(Table4[[#This Row],[FromSite-UPS]],sites!D:D,sites!AB:AB,"",0)&amp;_xlfn.XLOOKUP(Table4[[#This Row],[ToLab]],labs!D:D,labs!Q:Q,"",0)</f>
        <v>EUEU</v>
      </c>
    </row>
    <row r="196" spans="2:32" ht="15.6" hidden="1" customHeight="1" x14ac:dyDescent="0.25">
      <c r="B196" s="13">
        <v>344</v>
      </c>
      <c r="C196" s="14" t="s">
        <v>53</v>
      </c>
      <c r="D196" s="13">
        <v>1</v>
      </c>
      <c r="E196" s="79">
        <v>45903</v>
      </c>
      <c r="F196" s="81">
        <v>45904</v>
      </c>
      <c r="G196" s="20">
        <f>IFERROR(WEEKNUM(Table4[[#This Row],[Confirmed Pick-up Date]]),"TBD")</f>
        <v>36</v>
      </c>
      <c r="H196" s="20" t="str">
        <f>IFERROR(TEXT(Table4[[#This Row],[Confirmed Pick-up Date]],"yy-mm"),"TBD")</f>
        <v>25-09</v>
      </c>
      <c r="I196" s="78" t="s">
        <v>1628</v>
      </c>
      <c r="J196" s="20" t="str">
        <f>IFERROR(VLOOKUP(Table4[[#This Row],[FromSite-UPS]],Table1[[#All],[Company or Name]:[FromSite3]],15,FALSE),"")</f>
        <v>Funchal WWTP</v>
      </c>
      <c r="K196" s="20" t="str">
        <f>IFERROR(VLOOKUP(Table4[[#This Row],[FromSite-UPS]],Table1[[#All],[Company or Name]:[FromSite3]],16,FALSE),"")</f>
        <v>Madeira, 10 locations</v>
      </c>
      <c r="L196" s="20">
        <f>IFERROR(VLOOKUP(Table4[[#This Row],[FromSite-UPS]],Table1[[#All],[Company or Name]:[FromSite3]],14,FALSE),"")</f>
        <v>0.70833333333333337</v>
      </c>
      <c r="M196" s="13" t="s">
        <v>1011</v>
      </c>
      <c r="N196" s="20" t="s">
        <v>134</v>
      </c>
      <c r="O196" s="118">
        <v>1794477591</v>
      </c>
      <c r="P196" s="65"/>
      <c r="Q196" s="65"/>
      <c r="R196" s="20" t="s">
        <v>1453</v>
      </c>
      <c r="S196" s="20" t="s">
        <v>125</v>
      </c>
      <c r="T196" s="20" t="s">
        <v>110</v>
      </c>
      <c r="U196" s="20"/>
      <c r="V196" s="20"/>
      <c r="W196" s="20" t="str">
        <f>TEXT(Table4[[#This Row],[Confirmed Sampling Date]], "yyyy") &amp; "_" &amp; TEXT(Table4[[#This Row],[Confirmed Sampling Date]], "mm") &amp; "_" &amp; TEXT(Table4[[#This Row],[Confirmed Sampling Date]], "dd")</f>
        <v>2025_09_03</v>
      </c>
      <c r="X196" s="20" t="str">
        <f t="shared" si="2"/>
        <v>Funchal</v>
      </c>
      <c r="Y196" s="20" t="str">
        <f>VLOOKUP(Table4[[#This Row],[FromSite-UPS]],Table1[[Company or Name]:[NOTES]],2,FALSE)</f>
        <v>Portugal</v>
      </c>
      <c r="Z196" s="20">
        <f>IFERROR(WEEKNUM(Table4[[#This Row],[Confirmed Sampling Date]] - 10, 21), "TBD")</f>
        <v>34</v>
      </c>
      <c r="AA196" s="20" t="str">
        <f>_xlfn.XLOOKUP(Table4[[#This Row],[FromSite-UPS]],sites!D:D,sites!W:W,"",0)</f>
        <v>R. do Matadouro 4, Funchal, 9050-100, Portugal</v>
      </c>
      <c r="AB196" s="20" t="str">
        <f>_xlfn.XLOOKUP(Table4[[#This Row],[ToLab]],labs!D:D,labs!P:P,"no adres",0)</f>
        <v>Av. Rovisco Pais 1, Laboratorio de Analises de Agua, Lisbon, 1049-001, Portugal</v>
      </c>
      <c r="AC196" s="20">
        <f>_xlfn.XLOOKUP(Table4[[#This Row],[combi]],AREA!E:E,AREA!F:F,"",0)</f>
        <v>89</v>
      </c>
      <c r="AD196" s="20" t="str">
        <f>_xlfn.XLOOKUP(Table4[[#This Row],[combi]],AREA!E:E,AREA!G:G,"",0)</f>
        <v>Pick-up service of hypothetic package as defined in the Tech. Specs. and delivery to lots
2 and 3 contractors according to Scenario 1</v>
      </c>
      <c r="AE196" s="20" t="s">
        <v>125</v>
      </c>
      <c r="AF196" s="20" t="str">
        <f>_xlfn.XLOOKUP(Table4[[#This Row],[FromSite-UPS]],sites!D:D,sites!AB:AB,"",0)&amp;_xlfn.XLOOKUP(Table4[[#This Row],[ToLab]],labs!D:D,labs!Q:Q,"",0)</f>
        <v>EUEU</v>
      </c>
    </row>
    <row r="197" spans="2:32" ht="15.6" hidden="1" customHeight="1" x14ac:dyDescent="0.25">
      <c r="B197" s="13">
        <v>354</v>
      </c>
      <c r="C197" s="14" t="s">
        <v>53</v>
      </c>
      <c r="D197" s="13">
        <v>1</v>
      </c>
      <c r="E197" s="79">
        <v>45903</v>
      </c>
      <c r="F197" s="81">
        <v>45904</v>
      </c>
      <c r="G197" s="20">
        <f>IFERROR(WEEKNUM(Table4[[#This Row],[Confirmed Pick-up Date]]),"TBD")</f>
        <v>36</v>
      </c>
      <c r="H197" s="20" t="str">
        <f>IFERROR(TEXT(Table4[[#This Row],[Confirmed Pick-up Date]],"yy-mm"),"TBD")</f>
        <v>25-09</v>
      </c>
      <c r="I197" s="78" t="s">
        <v>1628</v>
      </c>
      <c r="J197" s="20" t="str">
        <f>IFERROR(VLOOKUP(Table4[[#This Row],[FromSite-UPS]],Table1[[#All],[Company or Name]:[FromSite3]],15,FALSE),"")</f>
        <v>Funchal WWTP</v>
      </c>
      <c r="K197" s="20" t="str">
        <f>IFERROR(VLOOKUP(Table4[[#This Row],[FromSite-UPS]],Table1[[#All],[Company or Name]:[FromSite3]],16,FALSE),"")</f>
        <v>Madeira, 10 locations</v>
      </c>
      <c r="L197" s="20">
        <f>IFERROR(VLOOKUP(Table4[[#This Row],[FromSite-UPS]],Table1[[#All],[Company or Name]:[FromSite3]],14,FALSE),"")</f>
        <v>0.70833333333333337</v>
      </c>
      <c r="M197" s="13" t="s">
        <v>1011</v>
      </c>
      <c r="N197" s="20" t="s">
        <v>134</v>
      </c>
      <c r="O197" s="118">
        <v>1794477591</v>
      </c>
      <c r="P197" s="65"/>
      <c r="Q197" s="65"/>
      <c r="R197" s="20" t="s">
        <v>1454</v>
      </c>
      <c r="S197" s="20" t="s">
        <v>125</v>
      </c>
      <c r="T197" s="20" t="s">
        <v>110</v>
      </c>
      <c r="U197" s="20"/>
      <c r="V197" s="20"/>
      <c r="W197" s="20" t="str">
        <f>TEXT(Table4[[#This Row],[Confirmed Sampling Date]], "yyyy") &amp; "_" &amp; TEXT(Table4[[#This Row],[Confirmed Sampling Date]], "mm") &amp; "_" &amp; TEXT(Table4[[#This Row],[Confirmed Sampling Date]], "dd")</f>
        <v>2025_09_03</v>
      </c>
      <c r="X197" s="20" t="str">
        <f t="shared" ref="X197:X260" si="3">IFERROR(LEFT(J197, FIND(" ", J197) - 1), J197)</f>
        <v>Funchal</v>
      </c>
      <c r="Y197" s="20" t="str">
        <f>VLOOKUP(Table4[[#This Row],[FromSite-UPS]],Table1[[Company or Name]:[NOTES]],2,FALSE)</f>
        <v>Portugal</v>
      </c>
      <c r="Z197" s="20">
        <f>IFERROR(WEEKNUM(Table4[[#This Row],[Confirmed Sampling Date]] - 10, 21), "TBD")</f>
        <v>34</v>
      </c>
      <c r="AA197" s="20" t="str">
        <f>_xlfn.XLOOKUP(Table4[[#This Row],[FromSite-UPS]],sites!D:D,sites!W:W,"",0)</f>
        <v>R. do Matadouro 4, Funchal, 9050-100, Portugal</v>
      </c>
      <c r="AB197" s="20" t="str">
        <f>_xlfn.XLOOKUP(Table4[[#This Row],[ToLab]],labs!D:D,labs!P:P,"no adres",0)</f>
        <v>Av. Rovisco Pais 1, Laboratorio de Analises de Agua, Lisbon, 1049-001, Portugal</v>
      </c>
      <c r="AC197" s="20">
        <f>_xlfn.XLOOKUP(Table4[[#This Row],[combi]],AREA!E:E,AREA!F:F,"",0)</f>
        <v>89</v>
      </c>
      <c r="AD197" s="20" t="str">
        <f>_xlfn.XLOOKUP(Table4[[#This Row],[combi]],AREA!E:E,AREA!G:G,"",0)</f>
        <v>Pick-up service of hypothetic package as defined in the Tech. Specs. and delivery to lots
2 and 3 contractors according to Scenario 1</v>
      </c>
      <c r="AE197" s="20" t="s">
        <v>125</v>
      </c>
      <c r="AF197" s="20" t="str">
        <f>_xlfn.XLOOKUP(Table4[[#This Row],[FromSite-UPS]],sites!D:D,sites!AB:AB,"",0)&amp;_xlfn.XLOOKUP(Table4[[#This Row],[ToLab]],labs!D:D,labs!Q:Q,"",0)</f>
        <v>EUEU</v>
      </c>
    </row>
    <row r="198" spans="2:32" ht="15.6" hidden="1" customHeight="1" x14ac:dyDescent="0.25">
      <c r="B198" s="13">
        <v>364</v>
      </c>
      <c r="C198" s="14" t="s">
        <v>53</v>
      </c>
      <c r="D198" s="13">
        <v>1</v>
      </c>
      <c r="E198" s="79">
        <v>45903</v>
      </c>
      <c r="F198" s="81">
        <v>45904</v>
      </c>
      <c r="G198" s="20">
        <f>IFERROR(WEEKNUM(Table4[[#This Row],[Confirmed Pick-up Date]]),"TBD")</f>
        <v>36</v>
      </c>
      <c r="H198" s="20" t="str">
        <f>IFERROR(TEXT(Table4[[#This Row],[Confirmed Pick-up Date]],"yy-mm"),"TBD")</f>
        <v>25-09</v>
      </c>
      <c r="I198" s="67" t="s">
        <v>1628</v>
      </c>
      <c r="J198" s="20" t="str">
        <f>IFERROR(VLOOKUP(Table4[[#This Row],[FromSite-UPS]],Table1[[#All],[Company or Name]:[FromSite3]],15,FALSE),"")</f>
        <v>Funchal WWTP</v>
      </c>
      <c r="K198" s="20" t="str">
        <f>IFERROR(VLOOKUP(Table4[[#This Row],[FromSite-UPS]],Table1[[#All],[Company or Name]:[FromSite3]],16,FALSE),"")</f>
        <v>Madeira, 10 locations</v>
      </c>
      <c r="L198" s="20">
        <f>IFERROR(VLOOKUP(Table4[[#This Row],[FromSite-UPS]],Table1[[#All],[Company or Name]:[FromSite3]],14,FALSE),"")</f>
        <v>0.70833333333333337</v>
      </c>
      <c r="M198" s="13" t="s">
        <v>1011</v>
      </c>
      <c r="N198" s="20" t="s">
        <v>134</v>
      </c>
      <c r="O198" s="118">
        <v>1794477591</v>
      </c>
      <c r="P198" s="20"/>
      <c r="Q198" s="20"/>
      <c r="R198" s="20" t="s">
        <v>1455</v>
      </c>
      <c r="S198" s="20" t="s">
        <v>125</v>
      </c>
      <c r="T198" s="20" t="s">
        <v>110</v>
      </c>
      <c r="U198" s="20"/>
      <c r="V198" s="20"/>
      <c r="W198" s="20" t="str">
        <f>TEXT(Table4[[#This Row],[Confirmed Sampling Date]], "yyyy") &amp; "_" &amp; TEXT(Table4[[#This Row],[Confirmed Sampling Date]], "mm") &amp; "_" &amp; TEXT(Table4[[#This Row],[Confirmed Sampling Date]], "dd")</f>
        <v>2025_09_03</v>
      </c>
      <c r="X198" s="20" t="str">
        <f t="shared" si="3"/>
        <v>Funchal</v>
      </c>
      <c r="Y198" s="20" t="str">
        <f>VLOOKUP(Table4[[#This Row],[FromSite-UPS]],Table1[[Company or Name]:[NOTES]],2,FALSE)</f>
        <v>Portugal</v>
      </c>
      <c r="Z198" s="20">
        <f>IFERROR(WEEKNUM(Table4[[#This Row],[Confirmed Sampling Date]] - 10, 21), "TBD")</f>
        <v>34</v>
      </c>
      <c r="AA198" s="20" t="str">
        <f>_xlfn.XLOOKUP(Table4[[#This Row],[FromSite-UPS]],sites!D:D,sites!W:W,"",0)</f>
        <v>R. do Matadouro 4, Funchal, 9050-100, Portugal</v>
      </c>
      <c r="AB198" s="20" t="str">
        <f>_xlfn.XLOOKUP(Table4[[#This Row],[ToLab]],labs!D:D,labs!P:P,"no adres",0)</f>
        <v>Av. Rovisco Pais 1, Laboratorio de Analises de Agua, Lisbon, 1049-001, Portugal</v>
      </c>
      <c r="AC198" s="20">
        <f>_xlfn.XLOOKUP(Table4[[#This Row],[combi]],AREA!E:E,AREA!F:F,"",0)</f>
        <v>89</v>
      </c>
      <c r="AD198" s="20" t="str">
        <f>_xlfn.XLOOKUP(Table4[[#This Row],[combi]],AREA!E:E,AREA!G:G,"",0)</f>
        <v>Pick-up service of hypothetic package as defined in the Tech. Specs. and delivery to lots
2 and 3 contractors according to Scenario 1</v>
      </c>
      <c r="AE198" s="20" t="s">
        <v>125</v>
      </c>
      <c r="AF198" s="20" t="str">
        <f>_xlfn.XLOOKUP(Table4[[#This Row],[FromSite-UPS]],sites!D:D,sites!AB:AB,"",0)&amp;_xlfn.XLOOKUP(Table4[[#This Row],[ToLab]],labs!D:D,labs!Q:Q,"",0)</f>
        <v>EUEU</v>
      </c>
    </row>
    <row r="199" spans="2:32" ht="15.6" hidden="1" customHeight="1" x14ac:dyDescent="0.25">
      <c r="B199" s="13">
        <v>374</v>
      </c>
      <c r="C199" s="14" t="s">
        <v>53</v>
      </c>
      <c r="D199" s="13">
        <v>1</v>
      </c>
      <c r="E199" s="79">
        <v>45903</v>
      </c>
      <c r="F199" s="81">
        <v>45904</v>
      </c>
      <c r="G199" s="20">
        <f>IFERROR(WEEKNUM(Table4[[#This Row],[Confirmed Pick-up Date]]),"TBD")</f>
        <v>36</v>
      </c>
      <c r="H199" s="20" t="str">
        <f>IFERROR(TEXT(Table4[[#This Row],[Confirmed Pick-up Date]],"yy-mm"),"TBD")</f>
        <v>25-09</v>
      </c>
      <c r="I199" s="67" t="s">
        <v>1628</v>
      </c>
      <c r="J199" s="20" t="str">
        <f>IFERROR(VLOOKUP(Table4[[#This Row],[FromSite-UPS]],Table1[[#All],[Company or Name]:[FromSite3]],15,FALSE),"")</f>
        <v>Funchal WWTP</v>
      </c>
      <c r="K199" s="20" t="str">
        <f>IFERROR(VLOOKUP(Table4[[#This Row],[FromSite-UPS]],Table1[[#All],[Company or Name]:[FromSite3]],16,FALSE),"")</f>
        <v>Madeira, 10 locations</v>
      </c>
      <c r="L199" s="20">
        <f>IFERROR(VLOOKUP(Table4[[#This Row],[FromSite-UPS]],Table1[[#All],[Company or Name]:[FromSite3]],14,FALSE),"")</f>
        <v>0.70833333333333337</v>
      </c>
      <c r="M199" s="13" t="s">
        <v>1011</v>
      </c>
      <c r="N199" s="20" t="s">
        <v>134</v>
      </c>
      <c r="O199" s="118">
        <v>1794477591</v>
      </c>
      <c r="P199" s="20"/>
      <c r="Q199" s="20"/>
      <c r="R199" s="20" t="s">
        <v>1456</v>
      </c>
      <c r="S199" s="20" t="s">
        <v>125</v>
      </c>
      <c r="T199" s="20" t="s">
        <v>110</v>
      </c>
      <c r="U199" s="20"/>
      <c r="V199" s="20"/>
      <c r="W199" s="20" t="str">
        <f>TEXT(Table4[[#This Row],[Confirmed Sampling Date]], "yyyy") &amp; "_" &amp; TEXT(Table4[[#This Row],[Confirmed Sampling Date]], "mm") &amp; "_" &amp; TEXT(Table4[[#This Row],[Confirmed Sampling Date]], "dd")</f>
        <v>2025_09_03</v>
      </c>
      <c r="X199" s="20" t="str">
        <f t="shared" si="3"/>
        <v>Funchal</v>
      </c>
      <c r="Y199" s="20" t="str">
        <f>VLOOKUP(Table4[[#This Row],[FromSite-UPS]],Table1[[Company or Name]:[NOTES]],2,FALSE)</f>
        <v>Portugal</v>
      </c>
      <c r="Z199" s="20">
        <f>IFERROR(WEEKNUM(Table4[[#This Row],[Confirmed Sampling Date]] - 10, 21), "TBD")</f>
        <v>34</v>
      </c>
      <c r="AA199" s="20" t="str">
        <f>_xlfn.XLOOKUP(Table4[[#This Row],[FromSite-UPS]],sites!D:D,sites!W:W,"",0)</f>
        <v>R. do Matadouro 4, Funchal, 9050-100, Portugal</v>
      </c>
      <c r="AB199" s="20" t="str">
        <f>_xlfn.XLOOKUP(Table4[[#This Row],[ToLab]],labs!D:D,labs!P:P,"no adres",0)</f>
        <v>Av. Rovisco Pais 1, Laboratorio de Analises de Agua, Lisbon, 1049-001, Portugal</v>
      </c>
      <c r="AC199" s="20">
        <f>_xlfn.XLOOKUP(Table4[[#This Row],[combi]],AREA!E:E,AREA!F:F,"",0)</f>
        <v>89</v>
      </c>
      <c r="AD199" s="20" t="str">
        <f>_xlfn.XLOOKUP(Table4[[#This Row],[combi]],AREA!E:E,AREA!G:G,"",0)</f>
        <v>Pick-up service of hypothetic package as defined in the Tech. Specs. and delivery to lots
2 and 3 contractors according to Scenario 1</v>
      </c>
      <c r="AE199" s="20" t="s">
        <v>125</v>
      </c>
      <c r="AF199" s="20" t="str">
        <f>_xlfn.XLOOKUP(Table4[[#This Row],[FromSite-UPS]],sites!D:D,sites!AB:AB,"",0)&amp;_xlfn.XLOOKUP(Table4[[#This Row],[ToLab]],labs!D:D,labs!Q:Q,"",0)</f>
        <v>EUEU</v>
      </c>
    </row>
    <row r="200" spans="2:32" ht="15.6" hidden="1" customHeight="1" x14ac:dyDescent="0.25">
      <c r="B200" s="13">
        <v>384</v>
      </c>
      <c r="C200" s="14" t="s">
        <v>53</v>
      </c>
      <c r="D200" s="13">
        <v>1</v>
      </c>
      <c r="E200" s="79">
        <v>45903</v>
      </c>
      <c r="F200" s="80">
        <v>45904</v>
      </c>
      <c r="G200" s="20">
        <f>IFERROR(WEEKNUM(Table4[[#This Row],[Confirmed Pick-up Date]]),"TBD")</f>
        <v>36</v>
      </c>
      <c r="H200" s="20" t="str">
        <f>IFERROR(TEXT(Table4[[#This Row],[Confirmed Pick-up Date]],"yy-mm"),"TBD")</f>
        <v>25-09</v>
      </c>
      <c r="I200" s="78" t="s">
        <v>1628</v>
      </c>
      <c r="J200" s="20" t="str">
        <f>IFERROR(VLOOKUP(Table4[[#This Row],[FromSite-UPS]],Table1[[#All],[Company or Name]:[FromSite3]],15,FALSE),"")</f>
        <v>Funchal WWTP</v>
      </c>
      <c r="K200" s="20" t="str">
        <f>IFERROR(VLOOKUP(Table4[[#This Row],[FromSite-UPS]],Table1[[#All],[Company or Name]:[FromSite3]],16,FALSE),"")</f>
        <v>Madeira, 10 locations</v>
      </c>
      <c r="L200" s="20">
        <f>IFERROR(VLOOKUP(Table4[[#This Row],[FromSite-UPS]],Table1[[#All],[Company or Name]:[FromSite3]],14,FALSE),"")</f>
        <v>0.70833333333333337</v>
      </c>
      <c r="M200" s="13" t="s">
        <v>1011</v>
      </c>
      <c r="N200" s="20" t="s">
        <v>134</v>
      </c>
      <c r="O200" s="118">
        <v>1794477591</v>
      </c>
      <c r="P200" s="65"/>
      <c r="Q200" s="65"/>
      <c r="R200" s="20" t="s">
        <v>1457</v>
      </c>
      <c r="S200" s="20" t="s">
        <v>125</v>
      </c>
      <c r="T200" s="20" t="s">
        <v>110</v>
      </c>
      <c r="U200" s="20"/>
      <c r="V200" s="20"/>
      <c r="W200" s="20" t="str">
        <f>TEXT(Table4[[#This Row],[Confirmed Sampling Date]], "yyyy") &amp; "_" &amp; TEXT(Table4[[#This Row],[Confirmed Sampling Date]], "mm") &amp; "_" &amp; TEXT(Table4[[#This Row],[Confirmed Sampling Date]], "dd")</f>
        <v>2025_09_03</v>
      </c>
      <c r="X200" s="20" t="str">
        <f t="shared" si="3"/>
        <v>Funchal</v>
      </c>
      <c r="Y200" s="20" t="str">
        <f>VLOOKUP(Table4[[#This Row],[FromSite-UPS]],Table1[[Company or Name]:[NOTES]],2,FALSE)</f>
        <v>Portugal</v>
      </c>
      <c r="Z200" s="20">
        <f>IFERROR(WEEKNUM(Table4[[#This Row],[Confirmed Sampling Date]] - 10, 21), "TBD")</f>
        <v>34</v>
      </c>
      <c r="AA200" s="20" t="str">
        <f>_xlfn.XLOOKUP(Table4[[#This Row],[FromSite-UPS]],sites!D:D,sites!W:W,"",0)</f>
        <v>R. do Matadouro 4, Funchal, 9050-100, Portugal</v>
      </c>
      <c r="AB200" s="20" t="str">
        <f>_xlfn.XLOOKUP(Table4[[#This Row],[ToLab]],labs!D:D,labs!P:P,"no adres",0)</f>
        <v>Av. Rovisco Pais 1, Laboratorio de Analises de Agua, Lisbon, 1049-001, Portugal</v>
      </c>
      <c r="AC200" s="20">
        <f>_xlfn.XLOOKUP(Table4[[#This Row],[combi]],AREA!E:E,AREA!F:F,"",0)</f>
        <v>89</v>
      </c>
      <c r="AD200" s="20" t="str">
        <f>_xlfn.XLOOKUP(Table4[[#This Row],[combi]],AREA!E:E,AREA!G:G,"",0)</f>
        <v>Pick-up service of hypothetic package as defined in the Tech. Specs. and delivery to lots
2 and 3 contractors according to Scenario 1</v>
      </c>
      <c r="AE200" s="20" t="s">
        <v>125</v>
      </c>
      <c r="AF200" s="20" t="str">
        <f>_xlfn.XLOOKUP(Table4[[#This Row],[FromSite-UPS]],sites!D:D,sites!AB:AB,"",0)&amp;_xlfn.XLOOKUP(Table4[[#This Row],[ToLab]],labs!D:D,labs!Q:Q,"",0)</f>
        <v>EUEU</v>
      </c>
    </row>
    <row r="201" spans="2:32" ht="15.6" hidden="1" customHeight="1" x14ac:dyDescent="0.25">
      <c r="B201" s="13">
        <v>394</v>
      </c>
      <c r="C201" s="14" t="s">
        <v>53</v>
      </c>
      <c r="D201" s="13">
        <v>1</v>
      </c>
      <c r="E201" s="79">
        <v>45903</v>
      </c>
      <c r="F201" s="80">
        <v>45904</v>
      </c>
      <c r="G201" s="20">
        <f>IFERROR(WEEKNUM(Table4[[#This Row],[Confirmed Pick-up Date]]),"TBD")</f>
        <v>36</v>
      </c>
      <c r="H201" s="20" t="str">
        <f>IFERROR(TEXT(Table4[[#This Row],[Confirmed Pick-up Date]],"yy-mm"),"TBD")</f>
        <v>25-09</v>
      </c>
      <c r="I201" s="78" t="s">
        <v>1628</v>
      </c>
      <c r="J201" s="20" t="str">
        <f>IFERROR(VLOOKUP(Table4[[#This Row],[FromSite-UPS]],Table1[[#All],[Company or Name]:[FromSite3]],15,FALSE),"")</f>
        <v>Funchal WWTP</v>
      </c>
      <c r="K201" s="20" t="str">
        <f>IFERROR(VLOOKUP(Table4[[#This Row],[FromSite-UPS]],Table1[[#All],[Company or Name]:[FromSite3]],16,FALSE),"")</f>
        <v>Madeira, 10 locations</v>
      </c>
      <c r="L201" s="20">
        <f>IFERROR(VLOOKUP(Table4[[#This Row],[FromSite-UPS]],Table1[[#All],[Company or Name]:[FromSite3]],14,FALSE),"")</f>
        <v>0.70833333333333337</v>
      </c>
      <c r="M201" s="13" t="s">
        <v>1011</v>
      </c>
      <c r="N201" s="20" t="s">
        <v>134</v>
      </c>
      <c r="O201" s="118">
        <v>1794477591</v>
      </c>
      <c r="P201" s="65"/>
      <c r="Q201" s="65"/>
      <c r="R201" s="20" t="s">
        <v>1458</v>
      </c>
      <c r="S201" s="20" t="s">
        <v>125</v>
      </c>
      <c r="T201" s="20" t="s">
        <v>110</v>
      </c>
      <c r="U201" s="20"/>
      <c r="V201" s="20"/>
      <c r="W201" s="20" t="str">
        <f>TEXT(Table4[[#This Row],[Confirmed Sampling Date]], "yyyy") &amp; "_" &amp; TEXT(Table4[[#This Row],[Confirmed Sampling Date]], "mm") &amp; "_" &amp; TEXT(Table4[[#This Row],[Confirmed Sampling Date]], "dd")</f>
        <v>2025_09_03</v>
      </c>
      <c r="X201" s="20" t="str">
        <f t="shared" si="3"/>
        <v>Funchal</v>
      </c>
      <c r="Y201" s="20" t="str">
        <f>VLOOKUP(Table4[[#This Row],[FromSite-UPS]],Table1[[Company or Name]:[NOTES]],2,FALSE)</f>
        <v>Portugal</v>
      </c>
      <c r="Z201" s="20">
        <f>IFERROR(WEEKNUM(Table4[[#This Row],[Confirmed Sampling Date]] - 10, 21), "TBD")</f>
        <v>34</v>
      </c>
      <c r="AA201" s="20" t="str">
        <f>_xlfn.XLOOKUP(Table4[[#This Row],[FromSite-UPS]],sites!D:D,sites!W:W,"",0)</f>
        <v>R. do Matadouro 4, Funchal, 9050-100, Portugal</v>
      </c>
      <c r="AB201" s="20" t="str">
        <f>_xlfn.XLOOKUP(Table4[[#This Row],[ToLab]],labs!D:D,labs!P:P,"no adres",0)</f>
        <v>Av. Rovisco Pais 1, Laboratorio de Analises de Agua, Lisbon, 1049-001, Portugal</v>
      </c>
      <c r="AC201" s="20">
        <f>_xlfn.XLOOKUP(Table4[[#This Row],[combi]],AREA!E:E,AREA!F:F,"",0)</f>
        <v>89</v>
      </c>
      <c r="AD201" s="20" t="str">
        <f>_xlfn.XLOOKUP(Table4[[#This Row],[combi]],AREA!E:E,AREA!G:G,"",0)</f>
        <v>Pick-up service of hypothetic package as defined in the Tech. Specs. and delivery to lots
2 and 3 contractors according to Scenario 1</v>
      </c>
      <c r="AE201" s="20" t="s">
        <v>125</v>
      </c>
      <c r="AF201" s="20" t="str">
        <f>_xlfn.XLOOKUP(Table4[[#This Row],[FromSite-UPS]],sites!D:D,sites!AB:AB,"",0)&amp;_xlfn.XLOOKUP(Table4[[#This Row],[ToLab]],labs!D:D,labs!Q:Q,"",0)</f>
        <v>EUEU</v>
      </c>
    </row>
    <row r="202" spans="2:32" ht="15.6" hidden="1" customHeight="1" x14ac:dyDescent="0.25">
      <c r="B202" s="13">
        <v>404</v>
      </c>
      <c r="C202" s="14" t="s">
        <v>53</v>
      </c>
      <c r="D202" s="13">
        <v>1</v>
      </c>
      <c r="E202" s="79">
        <v>45903</v>
      </c>
      <c r="F202" s="80">
        <v>45904</v>
      </c>
      <c r="G202" s="20">
        <f>IFERROR(WEEKNUM(Table4[[#This Row],[Confirmed Pick-up Date]]),"TBD")</f>
        <v>36</v>
      </c>
      <c r="H202" s="20" t="str">
        <f>IFERROR(TEXT(Table4[[#This Row],[Confirmed Pick-up Date]],"yy-mm"),"TBD")</f>
        <v>25-09</v>
      </c>
      <c r="I202" s="78" t="s">
        <v>1628</v>
      </c>
      <c r="J202" s="20" t="str">
        <f>IFERROR(VLOOKUP(Table4[[#This Row],[FromSite-UPS]],Table1[[#All],[Company or Name]:[FromSite3]],15,FALSE),"")</f>
        <v>Funchal WWTP</v>
      </c>
      <c r="K202" s="20" t="str">
        <f>IFERROR(VLOOKUP(Table4[[#This Row],[FromSite-UPS]],Table1[[#All],[Company or Name]:[FromSite3]],16,FALSE),"")</f>
        <v>Madeira, 10 locations</v>
      </c>
      <c r="L202" s="20">
        <f>IFERROR(VLOOKUP(Table4[[#This Row],[FromSite-UPS]],Table1[[#All],[Company or Name]:[FromSite3]],14,FALSE),"")</f>
        <v>0.70833333333333337</v>
      </c>
      <c r="M202" s="13" t="s">
        <v>1011</v>
      </c>
      <c r="N202" s="20" t="s">
        <v>134</v>
      </c>
      <c r="O202" s="118">
        <v>1794477591</v>
      </c>
      <c r="P202" s="65"/>
      <c r="Q202" s="65"/>
      <c r="R202" s="20" t="s">
        <v>1459</v>
      </c>
      <c r="S202" s="20" t="s">
        <v>125</v>
      </c>
      <c r="T202" s="20" t="s">
        <v>110</v>
      </c>
      <c r="U202" s="20"/>
      <c r="V202" s="20"/>
      <c r="W202" s="20" t="str">
        <f>TEXT(Table4[[#This Row],[Confirmed Sampling Date]], "yyyy") &amp; "_" &amp; TEXT(Table4[[#This Row],[Confirmed Sampling Date]], "mm") &amp; "_" &amp; TEXT(Table4[[#This Row],[Confirmed Sampling Date]], "dd")</f>
        <v>2025_09_03</v>
      </c>
      <c r="X202" s="20" t="str">
        <f t="shared" si="3"/>
        <v>Funchal</v>
      </c>
      <c r="Y202" s="20" t="str">
        <f>VLOOKUP(Table4[[#This Row],[FromSite-UPS]],Table1[[Company or Name]:[NOTES]],2,FALSE)</f>
        <v>Portugal</v>
      </c>
      <c r="Z202" s="20">
        <f>IFERROR(WEEKNUM(Table4[[#This Row],[Confirmed Sampling Date]] - 10, 21), "TBD")</f>
        <v>34</v>
      </c>
      <c r="AA202" s="20" t="str">
        <f>_xlfn.XLOOKUP(Table4[[#This Row],[FromSite-UPS]],sites!D:D,sites!W:W,"",0)</f>
        <v>R. do Matadouro 4, Funchal, 9050-100, Portugal</v>
      </c>
      <c r="AB202" s="20" t="str">
        <f>_xlfn.XLOOKUP(Table4[[#This Row],[ToLab]],labs!D:D,labs!P:P,"no adres",0)</f>
        <v>Av. Rovisco Pais 1, Laboratorio de Analises de Agua, Lisbon, 1049-001, Portugal</v>
      </c>
      <c r="AC202" s="20">
        <f>_xlfn.XLOOKUP(Table4[[#This Row],[combi]],AREA!E:E,AREA!F:F,"",0)</f>
        <v>89</v>
      </c>
      <c r="AD202" s="20" t="str">
        <f>_xlfn.XLOOKUP(Table4[[#This Row],[combi]],AREA!E:E,AREA!G:G,"",0)</f>
        <v>Pick-up service of hypothetic package as defined in the Tech. Specs. and delivery to lots
2 and 3 contractors according to Scenario 1</v>
      </c>
      <c r="AE202" s="20" t="s">
        <v>125</v>
      </c>
      <c r="AF202" s="20" t="str">
        <f>_xlfn.XLOOKUP(Table4[[#This Row],[FromSite-UPS]],sites!D:D,sites!AB:AB,"",0)&amp;_xlfn.XLOOKUP(Table4[[#This Row],[ToLab]],labs!D:D,labs!Q:Q,"",0)</f>
        <v>EUEU</v>
      </c>
    </row>
    <row r="203" spans="2:32" ht="15.6" hidden="1" customHeight="1" x14ac:dyDescent="0.25">
      <c r="B203" s="13">
        <v>414</v>
      </c>
      <c r="C203" s="14" t="s">
        <v>53</v>
      </c>
      <c r="D203" s="13">
        <v>1</v>
      </c>
      <c r="E203" s="79">
        <v>45903</v>
      </c>
      <c r="F203" s="80">
        <v>45904</v>
      </c>
      <c r="G203" s="20">
        <f>IFERROR(WEEKNUM(Table4[[#This Row],[Confirmed Pick-up Date]]),"TBD")</f>
        <v>36</v>
      </c>
      <c r="H203" s="20" t="str">
        <f>IFERROR(TEXT(Table4[[#This Row],[Confirmed Pick-up Date]],"yy-mm"),"TBD")</f>
        <v>25-09</v>
      </c>
      <c r="I203" s="78" t="s">
        <v>1628</v>
      </c>
      <c r="J203" s="20" t="str">
        <f>IFERROR(VLOOKUP(Table4[[#This Row],[FromSite-UPS]],Table1[[#All],[Company or Name]:[FromSite3]],15,FALSE),"")</f>
        <v>Funchal WWTP</v>
      </c>
      <c r="K203" s="20" t="str">
        <f>IFERROR(VLOOKUP(Table4[[#This Row],[FromSite-UPS]],Table1[[#All],[Company or Name]:[FromSite3]],16,FALSE),"")</f>
        <v>Madeira, 10 locations</v>
      </c>
      <c r="L203" s="20">
        <f>IFERROR(VLOOKUP(Table4[[#This Row],[FromSite-UPS]],Table1[[#All],[Company or Name]:[FromSite3]],14,FALSE),"")</f>
        <v>0.70833333333333337</v>
      </c>
      <c r="M203" s="13" t="s">
        <v>1011</v>
      </c>
      <c r="N203" s="20" t="s">
        <v>134</v>
      </c>
      <c r="O203" s="118">
        <v>1794477591</v>
      </c>
      <c r="P203" s="65"/>
      <c r="Q203" s="65"/>
      <c r="R203" s="20" t="s">
        <v>1460</v>
      </c>
      <c r="S203" s="20" t="s">
        <v>125</v>
      </c>
      <c r="T203" s="20" t="s">
        <v>110</v>
      </c>
      <c r="U203" s="20"/>
      <c r="V203" s="20"/>
      <c r="W203" s="20" t="str">
        <f>TEXT(Table4[[#This Row],[Confirmed Sampling Date]], "yyyy") &amp; "_" &amp; TEXT(Table4[[#This Row],[Confirmed Sampling Date]], "mm") &amp; "_" &amp; TEXT(Table4[[#This Row],[Confirmed Sampling Date]], "dd")</f>
        <v>2025_09_03</v>
      </c>
      <c r="X203" s="20" t="str">
        <f t="shared" si="3"/>
        <v>Funchal</v>
      </c>
      <c r="Y203" s="20" t="str">
        <f>VLOOKUP(Table4[[#This Row],[FromSite-UPS]],Table1[[Company or Name]:[NOTES]],2,FALSE)</f>
        <v>Portugal</v>
      </c>
      <c r="Z203" s="20">
        <f>IFERROR(WEEKNUM(Table4[[#This Row],[Confirmed Sampling Date]] - 10, 21), "TBD")</f>
        <v>34</v>
      </c>
      <c r="AA203" s="20" t="str">
        <f>_xlfn.XLOOKUP(Table4[[#This Row],[FromSite-UPS]],sites!D:D,sites!W:W,"",0)</f>
        <v>R. do Matadouro 4, Funchal, 9050-100, Portugal</v>
      </c>
      <c r="AB203" s="20" t="str">
        <f>_xlfn.XLOOKUP(Table4[[#This Row],[ToLab]],labs!D:D,labs!P:P,"no adres",0)</f>
        <v>Av. Rovisco Pais 1, Laboratorio de Analises de Agua, Lisbon, 1049-001, Portugal</v>
      </c>
      <c r="AC203" s="20">
        <f>_xlfn.XLOOKUP(Table4[[#This Row],[combi]],AREA!E:E,AREA!F:F,"",0)</f>
        <v>89</v>
      </c>
      <c r="AD203" s="20" t="str">
        <f>_xlfn.XLOOKUP(Table4[[#This Row],[combi]],AREA!E:E,AREA!G:G,"",0)</f>
        <v>Pick-up service of hypothetic package as defined in the Tech. Specs. and delivery to lots
2 and 3 contractors according to Scenario 1</v>
      </c>
      <c r="AE203" s="20" t="s">
        <v>125</v>
      </c>
      <c r="AF203" s="20" t="str">
        <f>_xlfn.XLOOKUP(Table4[[#This Row],[FromSite-UPS]],sites!D:D,sites!AB:AB,"",0)&amp;_xlfn.XLOOKUP(Table4[[#This Row],[ToLab]],labs!D:D,labs!Q:Q,"",0)</f>
        <v>EUEU</v>
      </c>
    </row>
    <row r="204" spans="2:32" ht="15.6" hidden="1" customHeight="1" x14ac:dyDescent="0.25">
      <c r="B204" s="13">
        <v>424</v>
      </c>
      <c r="C204" s="14" t="s">
        <v>53</v>
      </c>
      <c r="D204" s="13">
        <v>1</v>
      </c>
      <c r="E204" s="79">
        <v>45903</v>
      </c>
      <c r="F204" s="80">
        <v>45904</v>
      </c>
      <c r="G204" s="20">
        <f>IFERROR(WEEKNUM(Table4[[#This Row],[Confirmed Pick-up Date]]),"TBD")</f>
        <v>36</v>
      </c>
      <c r="H204" s="20" t="str">
        <f>IFERROR(TEXT(Table4[[#This Row],[Confirmed Pick-up Date]],"yy-mm"),"TBD")</f>
        <v>25-09</v>
      </c>
      <c r="I204" s="78" t="s">
        <v>1628</v>
      </c>
      <c r="J204" s="20" t="str">
        <f>IFERROR(VLOOKUP(Table4[[#This Row],[FromSite-UPS]],Table1[[#All],[Company or Name]:[FromSite3]],15,FALSE),"")</f>
        <v>Funchal WWTP</v>
      </c>
      <c r="K204" s="20" t="str">
        <f>IFERROR(VLOOKUP(Table4[[#This Row],[FromSite-UPS]],Table1[[#All],[Company or Name]:[FromSite3]],16,FALSE),"")</f>
        <v>Madeira, 10 locations</v>
      </c>
      <c r="L204" s="20">
        <f>IFERROR(VLOOKUP(Table4[[#This Row],[FromSite-UPS]],Table1[[#All],[Company or Name]:[FromSite3]],14,FALSE),"")</f>
        <v>0.70833333333333337</v>
      </c>
      <c r="M204" s="13" t="s">
        <v>1011</v>
      </c>
      <c r="N204" s="20" t="s">
        <v>134</v>
      </c>
      <c r="O204" s="118">
        <v>1794477591</v>
      </c>
      <c r="P204" s="20"/>
      <c r="Q204" s="20"/>
      <c r="R204" s="20" t="s">
        <v>1461</v>
      </c>
      <c r="S204" s="20" t="s">
        <v>125</v>
      </c>
      <c r="T204" s="20" t="s">
        <v>110</v>
      </c>
      <c r="U204" s="20"/>
      <c r="V204" s="20"/>
      <c r="W204" s="20" t="str">
        <f>TEXT(Table4[[#This Row],[Confirmed Sampling Date]], "yyyy") &amp; "_" &amp; TEXT(Table4[[#This Row],[Confirmed Sampling Date]], "mm") &amp; "_" &amp; TEXT(Table4[[#This Row],[Confirmed Sampling Date]], "dd")</f>
        <v>2025_09_03</v>
      </c>
      <c r="X204" s="20" t="str">
        <f t="shared" si="3"/>
        <v>Funchal</v>
      </c>
      <c r="Y204" s="20" t="str">
        <f>VLOOKUP(Table4[[#This Row],[FromSite-UPS]],Table1[[Company or Name]:[NOTES]],2,FALSE)</f>
        <v>Portugal</v>
      </c>
      <c r="Z204" s="20">
        <f>IFERROR(WEEKNUM(Table4[[#This Row],[Confirmed Sampling Date]] - 10, 21), "TBD")</f>
        <v>34</v>
      </c>
      <c r="AA204" s="20" t="str">
        <f>_xlfn.XLOOKUP(Table4[[#This Row],[FromSite-UPS]],sites!D:D,sites!W:W,"",0)</f>
        <v>R. do Matadouro 4, Funchal, 9050-100, Portugal</v>
      </c>
      <c r="AB204" s="20" t="str">
        <f>_xlfn.XLOOKUP(Table4[[#This Row],[ToLab]],labs!D:D,labs!P:P,"no adres",0)</f>
        <v>Av. Rovisco Pais 1, Laboratorio de Analises de Agua, Lisbon, 1049-001, Portugal</v>
      </c>
      <c r="AC204" s="20">
        <f>_xlfn.XLOOKUP(Table4[[#This Row],[combi]],AREA!E:E,AREA!F:F,"",0)</f>
        <v>89</v>
      </c>
      <c r="AD204" s="20" t="str">
        <f>_xlfn.XLOOKUP(Table4[[#This Row],[combi]],AREA!E:E,AREA!G:G,"",0)</f>
        <v>Pick-up service of hypothetic package as defined in the Tech. Specs. and delivery to lots
2 and 3 contractors according to Scenario 1</v>
      </c>
      <c r="AE204" s="20" t="s">
        <v>125</v>
      </c>
      <c r="AF204" s="20" t="str">
        <f>_xlfn.XLOOKUP(Table4[[#This Row],[FromSite-UPS]],sites!D:D,sites!AB:AB,"",0)&amp;_xlfn.XLOOKUP(Table4[[#This Row],[ToLab]],labs!D:D,labs!Q:Q,"",0)</f>
        <v>EUEU</v>
      </c>
    </row>
    <row r="205" spans="2:32" ht="15.6" hidden="1" customHeight="1" x14ac:dyDescent="0.25">
      <c r="B205" s="13">
        <v>434</v>
      </c>
      <c r="C205" s="14" t="s">
        <v>53</v>
      </c>
      <c r="D205" s="13">
        <v>1</v>
      </c>
      <c r="E205" s="79">
        <v>45903</v>
      </c>
      <c r="F205" s="80">
        <v>45904</v>
      </c>
      <c r="G205" s="20">
        <f>IFERROR(WEEKNUM(Table4[[#This Row],[Confirmed Pick-up Date]]),"TBD")</f>
        <v>36</v>
      </c>
      <c r="H205" s="20" t="str">
        <f>IFERROR(TEXT(Table4[[#This Row],[Confirmed Pick-up Date]],"yy-mm"),"TBD")</f>
        <v>25-09</v>
      </c>
      <c r="I205" s="78" t="s">
        <v>1628</v>
      </c>
      <c r="J205" s="20" t="str">
        <f>IFERROR(VLOOKUP(Table4[[#This Row],[FromSite-UPS]],Table1[[#All],[Company or Name]:[FromSite3]],15,FALSE),"")</f>
        <v>Funchal WWTP</v>
      </c>
      <c r="K205" s="20" t="str">
        <f>IFERROR(VLOOKUP(Table4[[#This Row],[FromSite-UPS]],Table1[[#All],[Company or Name]:[FromSite3]],16,FALSE),"")</f>
        <v>Madeira, 10 locations</v>
      </c>
      <c r="L205" s="20">
        <f>IFERROR(VLOOKUP(Table4[[#This Row],[FromSite-UPS]],Table1[[#All],[Company or Name]:[FromSite3]],14,FALSE),"")</f>
        <v>0.70833333333333337</v>
      </c>
      <c r="M205" s="13" t="s">
        <v>1011</v>
      </c>
      <c r="N205" s="20" t="s">
        <v>134</v>
      </c>
      <c r="O205" s="118">
        <v>1794477591</v>
      </c>
      <c r="P205" s="20"/>
      <c r="Q205" s="20"/>
      <c r="R205" s="20" t="s">
        <v>1462</v>
      </c>
      <c r="S205" s="20" t="s">
        <v>125</v>
      </c>
      <c r="T205" s="20" t="s">
        <v>110</v>
      </c>
      <c r="U205" s="20"/>
      <c r="V205" s="20"/>
      <c r="W205" s="20" t="str">
        <f>TEXT(Table4[[#This Row],[Confirmed Sampling Date]], "yyyy") &amp; "_" &amp; TEXT(Table4[[#This Row],[Confirmed Sampling Date]], "mm") &amp; "_" &amp; TEXT(Table4[[#This Row],[Confirmed Sampling Date]], "dd")</f>
        <v>2025_09_03</v>
      </c>
      <c r="X205" s="20" t="str">
        <f t="shared" si="3"/>
        <v>Funchal</v>
      </c>
      <c r="Y205" s="20" t="str">
        <f>VLOOKUP(Table4[[#This Row],[FromSite-UPS]],Table1[[Company or Name]:[NOTES]],2,FALSE)</f>
        <v>Portugal</v>
      </c>
      <c r="Z205" s="20">
        <f>IFERROR(WEEKNUM(Table4[[#This Row],[Confirmed Sampling Date]] - 10, 21), "TBD")</f>
        <v>34</v>
      </c>
      <c r="AA205" s="20" t="str">
        <f>_xlfn.XLOOKUP(Table4[[#This Row],[FromSite-UPS]],sites!D:D,sites!W:W,"",0)</f>
        <v>R. do Matadouro 4, Funchal, 9050-100, Portugal</v>
      </c>
      <c r="AB205" s="20" t="str">
        <f>_xlfn.XLOOKUP(Table4[[#This Row],[ToLab]],labs!D:D,labs!P:P,"no adres",0)</f>
        <v>Av. Rovisco Pais 1, Laboratorio de Analises de Agua, Lisbon, 1049-001, Portugal</v>
      </c>
      <c r="AC205" s="20">
        <f>_xlfn.XLOOKUP(Table4[[#This Row],[combi]],AREA!E:E,AREA!F:F,"",0)</f>
        <v>89</v>
      </c>
      <c r="AD205" s="20" t="str">
        <f>_xlfn.XLOOKUP(Table4[[#This Row],[combi]],AREA!E:E,AREA!G:G,"",0)</f>
        <v>Pick-up service of hypothetic package as defined in the Tech. Specs. and delivery to lots
2 and 3 contractors according to Scenario 1</v>
      </c>
      <c r="AE205" s="20" t="s">
        <v>125</v>
      </c>
      <c r="AF205" s="20" t="str">
        <f>_xlfn.XLOOKUP(Table4[[#This Row],[FromSite-UPS]],sites!D:D,sites!AB:AB,"",0)&amp;_xlfn.XLOOKUP(Table4[[#This Row],[ToLab]],labs!D:D,labs!Q:Q,"",0)</f>
        <v>EUEU</v>
      </c>
    </row>
    <row r="206" spans="2:32" ht="15.6" hidden="1" customHeight="1" x14ac:dyDescent="0.25">
      <c r="B206" s="13">
        <v>444</v>
      </c>
      <c r="C206" s="14" t="s">
        <v>53</v>
      </c>
      <c r="D206" s="13">
        <v>1</v>
      </c>
      <c r="E206" s="79">
        <v>45903</v>
      </c>
      <c r="F206" s="80">
        <v>45904</v>
      </c>
      <c r="G206" s="20">
        <f>IFERROR(WEEKNUM(Table4[[#This Row],[Confirmed Pick-up Date]]),"TBD")</f>
        <v>36</v>
      </c>
      <c r="H206" s="20" t="str">
        <f>IFERROR(TEXT(Table4[[#This Row],[Confirmed Pick-up Date]],"yy-mm"),"TBD")</f>
        <v>25-09</v>
      </c>
      <c r="I206" s="78" t="s">
        <v>1628</v>
      </c>
      <c r="J206" s="20" t="str">
        <f>IFERROR(VLOOKUP(Table4[[#This Row],[FromSite-UPS]],Table1[[#All],[Company or Name]:[FromSite3]],15,FALSE),"")</f>
        <v>Funchal WWTP</v>
      </c>
      <c r="K206" s="20" t="str">
        <f>IFERROR(VLOOKUP(Table4[[#This Row],[FromSite-UPS]],Table1[[#All],[Company or Name]:[FromSite3]],16,FALSE),"")</f>
        <v>Madeira, 10 locations</v>
      </c>
      <c r="L206" s="20">
        <f>IFERROR(VLOOKUP(Table4[[#This Row],[FromSite-UPS]],Table1[[#All],[Company or Name]:[FromSite3]],14,FALSE),"")</f>
        <v>0.70833333333333337</v>
      </c>
      <c r="M206" s="13" t="s">
        <v>1011</v>
      </c>
      <c r="N206" s="20" t="s">
        <v>134</v>
      </c>
      <c r="O206" s="118">
        <v>1794477591</v>
      </c>
      <c r="P206" s="65"/>
      <c r="Q206" s="65"/>
      <c r="R206" s="20" t="s">
        <v>1463</v>
      </c>
      <c r="S206" s="20" t="s">
        <v>125</v>
      </c>
      <c r="T206" s="20" t="s">
        <v>110</v>
      </c>
      <c r="U206" s="20"/>
      <c r="V206" s="20"/>
      <c r="W206" s="20" t="str">
        <f>TEXT(Table4[[#This Row],[Confirmed Sampling Date]], "yyyy") &amp; "_" &amp; TEXT(Table4[[#This Row],[Confirmed Sampling Date]], "mm") &amp; "_" &amp; TEXT(Table4[[#This Row],[Confirmed Sampling Date]], "dd")</f>
        <v>2025_09_03</v>
      </c>
      <c r="X206" s="20" t="str">
        <f t="shared" si="3"/>
        <v>Funchal</v>
      </c>
      <c r="Y206" s="20" t="str">
        <f>VLOOKUP(Table4[[#This Row],[FromSite-UPS]],Table1[[Company or Name]:[NOTES]],2,FALSE)</f>
        <v>Portugal</v>
      </c>
      <c r="Z206" s="20">
        <f>IFERROR(WEEKNUM(Table4[[#This Row],[Confirmed Sampling Date]] - 10, 21), "TBD")</f>
        <v>34</v>
      </c>
      <c r="AA206" s="20" t="str">
        <f>_xlfn.XLOOKUP(Table4[[#This Row],[FromSite-UPS]],sites!D:D,sites!W:W,"",0)</f>
        <v>R. do Matadouro 4, Funchal, 9050-100, Portugal</v>
      </c>
      <c r="AB206" s="20" t="str">
        <f>_xlfn.XLOOKUP(Table4[[#This Row],[ToLab]],labs!D:D,labs!P:P,"no adres",0)</f>
        <v>Av. Rovisco Pais 1, Laboratorio de Analises de Agua, Lisbon, 1049-001, Portugal</v>
      </c>
      <c r="AC206" s="20">
        <f>_xlfn.XLOOKUP(Table4[[#This Row],[combi]],AREA!E:E,AREA!F:F,"",0)</f>
        <v>89</v>
      </c>
      <c r="AD206" s="20" t="str">
        <f>_xlfn.XLOOKUP(Table4[[#This Row],[combi]],AREA!E:E,AREA!G:G,"",0)</f>
        <v>Pick-up service of hypothetic package as defined in the Tech. Specs. and delivery to lots
2 and 3 contractors according to Scenario 1</v>
      </c>
      <c r="AE206" s="20" t="s">
        <v>125</v>
      </c>
      <c r="AF206" s="20" t="str">
        <f>_xlfn.XLOOKUP(Table4[[#This Row],[FromSite-UPS]],sites!D:D,sites!AB:AB,"",0)&amp;_xlfn.XLOOKUP(Table4[[#This Row],[ToLab]],labs!D:D,labs!Q:Q,"",0)</f>
        <v>EUEU</v>
      </c>
    </row>
    <row r="207" spans="2:32" ht="15.6" hidden="1" customHeight="1" x14ac:dyDescent="0.25">
      <c r="B207" s="13">
        <v>454</v>
      </c>
      <c r="C207" s="14" t="s">
        <v>53</v>
      </c>
      <c r="D207" s="13">
        <v>1</v>
      </c>
      <c r="E207" s="79">
        <v>45903</v>
      </c>
      <c r="F207" s="80">
        <v>45904</v>
      </c>
      <c r="G207" s="20">
        <f>IFERROR(WEEKNUM(Table4[[#This Row],[Confirmed Pick-up Date]]),"TBD")</f>
        <v>36</v>
      </c>
      <c r="H207" s="20" t="str">
        <f>IFERROR(TEXT(Table4[[#This Row],[Confirmed Pick-up Date]],"yy-mm"),"TBD")</f>
        <v>25-09</v>
      </c>
      <c r="I207" s="78" t="s">
        <v>1628</v>
      </c>
      <c r="J207" s="20" t="str">
        <f>IFERROR(VLOOKUP(Table4[[#This Row],[FromSite-UPS]],Table1[[#All],[Company or Name]:[FromSite3]],15,FALSE),"")</f>
        <v>Funchal WWTP</v>
      </c>
      <c r="K207" s="20" t="str">
        <f>IFERROR(VLOOKUP(Table4[[#This Row],[FromSite-UPS]],Table1[[#All],[Company or Name]:[FromSite3]],16,FALSE),"")</f>
        <v>Madeira, 10 locations</v>
      </c>
      <c r="L207" s="20">
        <f>IFERROR(VLOOKUP(Table4[[#This Row],[FromSite-UPS]],Table1[[#All],[Company or Name]:[FromSite3]],14,FALSE),"")</f>
        <v>0.70833333333333337</v>
      </c>
      <c r="M207" s="13" t="s">
        <v>1011</v>
      </c>
      <c r="N207" s="20" t="s">
        <v>134</v>
      </c>
      <c r="O207" s="118">
        <v>1794477591</v>
      </c>
      <c r="P207" s="65"/>
      <c r="Q207" s="65"/>
      <c r="R207" s="20" t="s">
        <v>1464</v>
      </c>
      <c r="S207" s="20" t="s">
        <v>125</v>
      </c>
      <c r="T207" s="20" t="s">
        <v>110</v>
      </c>
      <c r="U207" s="20"/>
      <c r="V207" s="20"/>
      <c r="W207" s="20" t="str">
        <f>TEXT(Table4[[#This Row],[Confirmed Sampling Date]], "yyyy") &amp; "_" &amp; TEXT(Table4[[#This Row],[Confirmed Sampling Date]], "mm") &amp; "_" &amp; TEXT(Table4[[#This Row],[Confirmed Sampling Date]], "dd")</f>
        <v>2025_09_03</v>
      </c>
      <c r="X207" s="20" t="str">
        <f t="shared" si="3"/>
        <v>Funchal</v>
      </c>
      <c r="Y207" s="20" t="str">
        <f>VLOOKUP(Table4[[#This Row],[FromSite-UPS]],Table1[[Company or Name]:[NOTES]],2,FALSE)</f>
        <v>Portugal</v>
      </c>
      <c r="Z207" s="20">
        <f>IFERROR(WEEKNUM(Table4[[#This Row],[Confirmed Sampling Date]] - 10, 21), "TBD")</f>
        <v>34</v>
      </c>
      <c r="AA207" s="20" t="str">
        <f>_xlfn.XLOOKUP(Table4[[#This Row],[FromSite-UPS]],sites!D:D,sites!W:W,"",0)</f>
        <v>R. do Matadouro 4, Funchal, 9050-100, Portugal</v>
      </c>
      <c r="AB207" s="20" t="str">
        <f>_xlfn.XLOOKUP(Table4[[#This Row],[ToLab]],labs!D:D,labs!P:P,"no adres",0)</f>
        <v>Av. Rovisco Pais 1, Laboratorio de Analises de Agua, Lisbon, 1049-001, Portugal</v>
      </c>
      <c r="AC207" s="20">
        <f>_xlfn.XLOOKUP(Table4[[#This Row],[combi]],AREA!E:E,AREA!F:F,"",0)</f>
        <v>89</v>
      </c>
      <c r="AD207" s="20" t="str">
        <f>_xlfn.XLOOKUP(Table4[[#This Row],[combi]],AREA!E:E,AREA!G:G,"",0)</f>
        <v>Pick-up service of hypothetic package as defined in the Tech. Specs. and delivery to lots
2 and 3 contractors according to Scenario 1</v>
      </c>
      <c r="AE207" s="20" t="s">
        <v>125</v>
      </c>
      <c r="AF207" s="20" t="str">
        <f>_xlfn.XLOOKUP(Table4[[#This Row],[FromSite-UPS]],sites!D:D,sites!AB:AB,"",0)&amp;_xlfn.XLOOKUP(Table4[[#This Row],[ToLab]],labs!D:D,labs!Q:Q,"",0)</f>
        <v>EUEU</v>
      </c>
    </row>
    <row r="208" spans="2:32" ht="15.6" hidden="1" customHeight="1" x14ac:dyDescent="0.25">
      <c r="B208" s="13">
        <v>464</v>
      </c>
      <c r="C208" s="14" t="s">
        <v>53</v>
      </c>
      <c r="D208" s="13">
        <v>1</v>
      </c>
      <c r="E208" s="79">
        <v>45903</v>
      </c>
      <c r="F208" s="81">
        <v>45904</v>
      </c>
      <c r="G208" s="20">
        <f>IFERROR(WEEKNUM(Table4[[#This Row],[Confirmed Pick-up Date]]),"TBD")</f>
        <v>36</v>
      </c>
      <c r="H208" s="20" t="str">
        <f>IFERROR(TEXT(Table4[[#This Row],[Confirmed Pick-up Date]],"yy-mm"),"TBD")</f>
        <v>25-09</v>
      </c>
      <c r="I208" s="78" t="s">
        <v>1628</v>
      </c>
      <c r="J208" s="20" t="str">
        <f>IFERROR(VLOOKUP(Table4[[#This Row],[FromSite-UPS]],Table1[[#All],[Company or Name]:[FromSite3]],15,FALSE),"")</f>
        <v>Funchal WWTP</v>
      </c>
      <c r="K208" s="20" t="str">
        <f>IFERROR(VLOOKUP(Table4[[#This Row],[FromSite-UPS]],Table1[[#All],[Company or Name]:[FromSite3]],16,FALSE),"")</f>
        <v>Madeira, 10 locations</v>
      </c>
      <c r="L208" s="20">
        <f>IFERROR(VLOOKUP(Table4[[#This Row],[FromSite-UPS]],Table1[[#All],[Company or Name]:[FromSite3]],14,FALSE),"")</f>
        <v>0.70833333333333337</v>
      </c>
      <c r="M208" s="13" t="s">
        <v>1011</v>
      </c>
      <c r="N208" s="20" t="s">
        <v>134</v>
      </c>
      <c r="O208" s="118">
        <v>1794477591</v>
      </c>
      <c r="P208" s="65"/>
      <c r="Q208" s="65"/>
      <c r="R208" s="20" t="s">
        <v>1465</v>
      </c>
      <c r="S208" s="20" t="s">
        <v>125</v>
      </c>
      <c r="T208" s="20" t="s">
        <v>110</v>
      </c>
      <c r="U208" s="20"/>
      <c r="V208" s="20"/>
      <c r="W208" s="20" t="str">
        <f>TEXT(Table4[[#This Row],[Confirmed Sampling Date]], "yyyy") &amp; "_" &amp; TEXT(Table4[[#This Row],[Confirmed Sampling Date]], "mm") &amp; "_" &amp; TEXT(Table4[[#This Row],[Confirmed Sampling Date]], "dd")</f>
        <v>2025_09_03</v>
      </c>
      <c r="X208" s="20" t="str">
        <f t="shared" si="3"/>
        <v>Funchal</v>
      </c>
      <c r="Y208" s="20" t="str">
        <f>VLOOKUP(Table4[[#This Row],[FromSite-UPS]],Table1[[Company or Name]:[NOTES]],2,FALSE)</f>
        <v>Portugal</v>
      </c>
      <c r="Z208" s="20">
        <f>IFERROR(WEEKNUM(Table4[[#This Row],[Confirmed Sampling Date]] - 10, 21), "TBD")</f>
        <v>34</v>
      </c>
      <c r="AA208" s="20" t="str">
        <f>_xlfn.XLOOKUP(Table4[[#This Row],[FromSite-UPS]],sites!D:D,sites!W:W,"",0)</f>
        <v>R. do Matadouro 4, Funchal, 9050-100, Portugal</v>
      </c>
      <c r="AB208" s="20" t="str">
        <f>_xlfn.XLOOKUP(Table4[[#This Row],[ToLab]],labs!D:D,labs!P:P,"no adres",0)</f>
        <v>Av. Rovisco Pais 1, Laboratorio de Analises de Agua, Lisbon, 1049-001, Portugal</v>
      </c>
      <c r="AC208" s="20">
        <f>_xlfn.XLOOKUP(Table4[[#This Row],[combi]],AREA!E:E,AREA!F:F,"",0)</f>
        <v>89</v>
      </c>
      <c r="AD208" s="20" t="str">
        <f>_xlfn.XLOOKUP(Table4[[#This Row],[combi]],AREA!E:E,AREA!G:G,"",0)</f>
        <v>Pick-up service of hypothetic package as defined in the Tech. Specs. and delivery to lots
2 and 3 contractors according to Scenario 1</v>
      </c>
      <c r="AE208" s="20" t="s">
        <v>125</v>
      </c>
      <c r="AF208" s="20" t="str">
        <f>_xlfn.XLOOKUP(Table4[[#This Row],[FromSite-UPS]],sites!D:D,sites!AB:AB,"",0)&amp;_xlfn.XLOOKUP(Table4[[#This Row],[ToLab]],labs!D:D,labs!Q:Q,"",0)</f>
        <v>EUEU</v>
      </c>
    </row>
    <row r="209" spans="2:32" ht="15.6" hidden="1" customHeight="1" x14ac:dyDescent="0.25">
      <c r="B209" s="13">
        <v>474</v>
      </c>
      <c r="C209" s="14" t="s">
        <v>53</v>
      </c>
      <c r="D209" s="13">
        <v>1</v>
      </c>
      <c r="E209" s="79">
        <v>45903</v>
      </c>
      <c r="F209" s="81">
        <v>45904</v>
      </c>
      <c r="G209" s="20">
        <f>IFERROR(WEEKNUM(Table4[[#This Row],[Confirmed Pick-up Date]]),"TBD")</f>
        <v>36</v>
      </c>
      <c r="H209" s="20" t="str">
        <f>IFERROR(TEXT(Table4[[#This Row],[Confirmed Pick-up Date]],"yy-mm"),"TBD")</f>
        <v>25-09</v>
      </c>
      <c r="I209" s="78" t="s">
        <v>1628</v>
      </c>
      <c r="J209" s="20" t="str">
        <f>IFERROR(VLOOKUP(Table4[[#This Row],[FromSite-UPS]],Table1[[#All],[Company or Name]:[FromSite3]],15,FALSE),"")</f>
        <v>Funchal WWTP</v>
      </c>
      <c r="K209" s="20" t="str">
        <f>IFERROR(VLOOKUP(Table4[[#This Row],[FromSite-UPS]],Table1[[#All],[Company or Name]:[FromSite3]],16,FALSE),"")</f>
        <v>Madeira, 10 locations</v>
      </c>
      <c r="L209" s="20">
        <f>IFERROR(VLOOKUP(Table4[[#This Row],[FromSite-UPS]],Table1[[#All],[Company or Name]:[FromSite3]],14,FALSE),"")</f>
        <v>0.70833333333333337</v>
      </c>
      <c r="M209" s="13" t="s">
        <v>1011</v>
      </c>
      <c r="N209" s="20" t="s">
        <v>134</v>
      </c>
      <c r="O209" s="118">
        <v>1794477591</v>
      </c>
      <c r="P209" s="65"/>
      <c r="Q209" s="65"/>
      <c r="R209" s="20" t="s">
        <v>1466</v>
      </c>
      <c r="S209" s="20" t="s">
        <v>125</v>
      </c>
      <c r="T209" s="20" t="s">
        <v>110</v>
      </c>
      <c r="U209" s="20"/>
      <c r="V209" s="20"/>
      <c r="W209" s="20" t="str">
        <f>TEXT(Table4[[#This Row],[Confirmed Sampling Date]], "yyyy") &amp; "_" &amp; TEXT(Table4[[#This Row],[Confirmed Sampling Date]], "mm") &amp; "_" &amp; TEXT(Table4[[#This Row],[Confirmed Sampling Date]], "dd")</f>
        <v>2025_09_03</v>
      </c>
      <c r="X209" s="20" t="str">
        <f t="shared" si="3"/>
        <v>Funchal</v>
      </c>
      <c r="Y209" s="20" t="str">
        <f>VLOOKUP(Table4[[#This Row],[FromSite-UPS]],Table1[[Company or Name]:[NOTES]],2,FALSE)</f>
        <v>Portugal</v>
      </c>
      <c r="Z209" s="20">
        <f>IFERROR(WEEKNUM(Table4[[#This Row],[Confirmed Sampling Date]] - 10, 21), "TBD")</f>
        <v>34</v>
      </c>
      <c r="AA209" s="20" t="str">
        <f>_xlfn.XLOOKUP(Table4[[#This Row],[FromSite-UPS]],sites!D:D,sites!W:W,"",0)</f>
        <v>R. do Matadouro 4, Funchal, 9050-100, Portugal</v>
      </c>
      <c r="AB209" s="20" t="str">
        <f>_xlfn.XLOOKUP(Table4[[#This Row],[ToLab]],labs!D:D,labs!P:P,"no adres",0)</f>
        <v>Av. Rovisco Pais 1, Laboratorio de Analises de Agua, Lisbon, 1049-001, Portugal</v>
      </c>
      <c r="AC209" s="20">
        <f>_xlfn.XLOOKUP(Table4[[#This Row],[combi]],AREA!E:E,AREA!F:F,"",0)</f>
        <v>89</v>
      </c>
      <c r="AD209" s="20" t="str">
        <f>_xlfn.XLOOKUP(Table4[[#This Row],[combi]],AREA!E:E,AREA!G:G,"",0)</f>
        <v>Pick-up service of hypothetic package as defined in the Tech. Specs. and delivery to lots
2 and 3 contractors according to Scenario 1</v>
      </c>
      <c r="AE209" s="20" t="s">
        <v>125</v>
      </c>
      <c r="AF209" s="20" t="str">
        <f>_xlfn.XLOOKUP(Table4[[#This Row],[FromSite-UPS]],sites!D:D,sites!AB:AB,"",0)&amp;_xlfn.XLOOKUP(Table4[[#This Row],[ToLab]],labs!D:D,labs!Q:Q,"",0)</f>
        <v>EUEU</v>
      </c>
    </row>
    <row r="210" spans="2:32" ht="15.6" hidden="1" customHeight="1" x14ac:dyDescent="0.25">
      <c r="B210" s="13">
        <v>484</v>
      </c>
      <c r="C210" s="14" t="s">
        <v>53</v>
      </c>
      <c r="D210" s="13">
        <v>1</v>
      </c>
      <c r="E210" s="79">
        <v>45903</v>
      </c>
      <c r="F210" s="80">
        <v>45904</v>
      </c>
      <c r="G210" s="20">
        <f>IFERROR(WEEKNUM(Table4[[#This Row],[Confirmed Pick-up Date]]),"TBD")</f>
        <v>36</v>
      </c>
      <c r="H210" s="20" t="str">
        <f>IFERROR(TEXT(Table4[[#This Row],[Confirmed Pick-up Date]],"yy-mm"),"TBD")</f>
        <v>25-09</v>
      </c>
      <c r="I210" s="78" t="s">
        <v>1628</v>
      </c>
      <c r="J210" s="20" t="str">
        <f>IFERROR(VLOOKUP(Table4[[#This Row],[FromSite-UPS]],Table1[[#All],[Company or Name]:[FromSite3]],15,FALSE),"")</f>
        <v>Funchal WWTP</v>
      </c>
      <c r="K210" s="20" t="str">
        <f>IFERROR(VLOOKUP(Table4[[#This Row],[FromSite-UPS]],Table1[[#All],[Company or Name]:[FromSite3]],16,FALSE),"")</f>
        <v>Madeira, 10 locations</v>
      </c>
      <c r="L210" s="20">
        <f>IFERROR(VLOOKUP(Table4[[#This Row],[FromSite-UPS]],Table1[[#All],[Company or Name]:[FromSite3]],14,FALSE),"")</f>
        <v>0.70833333333333337</v>
      </c>
      <c r="M210" s="13" t="s">
        <v>1011</v>
      </c>
      <c r="N210" s="20" t="s">
        <v>134</v>
      </c>
      <c r="O210" s="118">
        <v>1794477591</v>
      </c>
      <c r="P210" s="65"/>
      <c r="Q210" s="65"/>
      <c r="R210" s="20" t="s">
        <v>1467</v>
      </c>
      <c r="S210" s="20" t="s">
        <v>125</v>
      </c>
      <c r="T210" s="20" t="s">
        <v>110</v>
      </c>
      <c r="U210" s="20"/>
      <c r="V210" s="20"/>
      <c r="W210" s="20" t="str">
        <f>TEXT(Table4[[#This Row],[Confirmed Sampling Date]], "yyyy") &amp; "_" &amp; TEXT(Table4[[#This Row],[Confirmed Sampling Date]], "mm") &amp; "_" &amp; TEXT(Table4[[#This Row],[Confirmed Sampling Date]], "dd")</f>
        <v>2025_09_03</v>
      </c>
      <c r="X210" s="20" t="str">
        <f t="shared" si="3"/>
        <v>Funchal</v>
      </c>
      <c r="Y210" s="20" t="str">
        <f>VLOOKUP(Table4[[#This Row],[FromSite-UPS]],Table1[[Company or Name]:[NOTES]],2,FALSE)</f>
        <v>Portugal</v>
      </c>
      <c r="Z210" s="20">
        <f>IFERROR(WEEKNUM(Table4[[#This Row],[Confirmed Sampling Date]] - 10, 21), "TBD")</f>
        <v>34</v>
      </c>
      <c r="AA210" s="20" t="str">
        <f>_xlfn.XLOOKUP(Table4[[#This Row],[FromSite-UPS]],sites!D:D,sites!W:W,"",0)</f>
        <v>R. do Matadouro 4, Funchal, 9050-100, Portugal</v>
      </c>
      <c r="AB210" s="20" t="str">
        <f>_xlfn.XLOOKUP(Table4[[#This Row],[ToLab]],labs!D:D,labs!P:P,"no adres",0)</f>
        <v>Av. Rovisco Pais 1, Laboratorio de Analises de Agua, Lisbon, 1049-001, Portugal</v>
      </c>
      <c r="AC210" s="20">
        <f>_xlfn.XLOOKUP(Table4[[#This Row],[combi]],AREA!E:E,AREA!F:F,"",0)</f>
        <v>89</v>
      </c>
      <c r="AD210" s="20" t="str">
        <f>_xlfn.XLOOKUP(Table4[[#This Row],[combi]],AREA!E:E,AREA!G:G,"",0)</f>
        <v>Pick-up service of hypothetic package as defined in the Tech. Specs. and delivery to lots
2 and 3 contractors according to Scenario 1</v>
      </c>
      <c r="AE210" s="20" t="s">
        <v>125</v>
      </c>
      <c r="AF210" s="20" t="str">
        <f>_xlfn.XLOOKUP(Table4[[#This Row],[FromSite-UPS]],sites!D:D,sites!AB:AB,"",0)&amp;_xlfn.XLOOKUP(Table4[[#This Row],[ToLab]],labs!D:D,labs!Q:Q,"",0)</f>
        <v>EUEU</v>
      </c>
    </row>
    <row r="211" spans="2:32" ht="15.6" hidden="1" customHeight="1" x14ac:dyDescent="0.25">
      <c r="B211" s="13">
        <v>494</v>
      </c>
      <c r="C211" s="14" t="s">
        <v>53</v>
      </c>
      <c r="D211" s="13">
        <v>1</v>
      </c>
      <c r="E211" s="79">
        <v>45903</v>
      </c>
      <c r="F211" s="80">
        <v>45904</v>
      </c>
      <c r="G211" s="20">
        <f>IFERROR(WEEKNUM(Table4[[#This Row],[Confirmed Pick-up Date]]),"TBD")</f>
        <v>36</v>
      </c>
      <c r="H211" s="20" t="str">
        <f>IFERROR(TEXT(Table4[[#This Row],[Confirmed Pick-up Date]],"yy-mm"),"TBD")</f>
        <v>25-09</v>
      </c>
      <c r="I211" s="78" t="s">
        <v>1628</v>
      </c>
      <c r="J211" s="20" t="str">
        <f>IFERROR(VLOOKUP(Table4[[#This Row],[FromSite-UPS]],Table1[[#All],[Company or Name]:[FromSite3]],15,FALSE),"")</f>
        <v>Funchal WWTP</v>
      </c>
      <c r="K211" s="20" t="str">
        <f>IFERROR(VLOOKUP(Table4[[#This Row],[FromSite-UPS]],Table1[[#All],[Company or Name]:[FromSite3]],16,FALSE),"")</f>
        <v>Madeira, 10 locations</v>
      </c>
      <c r="L211" s="20">
        <f>IFERROR(VLOOKUP(Table4[[#This Row],[FromSite-UPS]],Table1[[#All],[Company or Name]:[FromSite3]],14,FALSE),"")</f>
        <v>0.70833333333333337</v>
      </c>
      <c r="M211" s="13" t="s">
        <v>1011</v>
      </c>
      <c r="N211" s="20" t="s">
        <v>134</v>
      </c>
      <c r="O211" s="118">
        <v>1794477591</v>
      </c>
      <c r="P211" s="65"/>
      <c r="Q211" s="65"/>
      <c r="R211" s="20" t="s">
        <v>1468</v>
      </c>
      <c r="S211" s="20" t="s">
        <v>125</v>
      </c>
      <c r="T211" s="20" t="s">
        <v>110</v>
      </c>
      <c r="U211" s="20"/>
      <c r="V211" s="20"/>
      <c r="W211" s="20" t="str">
        <f>TEXT(Table4[[#This Row],[Confirmed Sampling Date]], "yyyy") &amp; "_" &amp; TEXT(Table4[[#This Row],[Confirmed Sampling Date]], "mm") &amp; "_" &amp; TEXT(Table4[[#This Row],[Confirmed Sampling Date]], "dd")</f>
        <v>2025_09_03</v>
      </c>
      <c r="X211" s="20" t="str">
        <f t="shared" si="3"/>
        <v>Funchal</v>
      </c>
      <c r="Y211" s="20" t="str">
        <f>VLOOKUP(Table4[[#This Row],[FromSite-UPS]],Table1[[Company or Name]:[NOTES]],2,FALSE)</f>
        <v>Portugal</v>
      </c>
      <c r="Z211" s="20">
        <f>IFERROR(WEEKNUM(Table4[[#This Row],[Confirmed Sampling Date]] - 10, 21), "TBD")</f>
        <v>34</v>
      </c>
      <c r="AA211" s="20" t="str">
        <f>_xlfn.XLOOKUP(Table4[[#This Row],[FromSite-UPS]],sites!D:D,sites!W:W,"",0)</f>
        <v>R. do Matadouro 4, Funchal, 9050-100, Portugal</v>
      </c>
      <c r="AB211" s="20" t="str">
        <f>_xlfn.XLOOKUP(Table4[[#This Row],[ToLab]],labs!D:D,labs!P:P,"no adres",0)</f>
        <v>Av. Rovisco Pais 1, Laboratorio de Analises de Agua, Lisbon, 1049-001, Portugal</v>
      </c>
      <c r="AC211" s="20">
        <f>_xlfn.XLOOKUP(Table4[[#This Row],[combi]],AREA!E:E,AREA!F:F,"",0)</f>
        <v>89</v>
      </c>
      <c r="AD211" s="20" t="str">
        <f>_xlfn.XLOOKUP(Table4[[#This Row],[combi]],AREA!E:E,AREA!G:G,"",0)</f>
        <v>Pick-up service of hypothetic package as defined in the Tech. Specs. and delivery to lots
2 and 3 contractors according to Scenario 1</v>
      </c>
      <c r="AE211" s="20" t="s">
        <v>125</v>
      </c>
      <c r="AF211" s="20" t="str">
        <f>_xlfn.XLOOKUP(Table4[[#This Row],[FromSite-UPS]],sites!D:D,sites!AB:AB,"",0)&amp;_xlfn.XLOOKUP(Table4[[#This Row],[ToLab]],labs!D:D,labs!Q:Q,"",0)</f>
        <v>EUEU</v>
      </c>
    </row>
    <row r="212" spans="2:32" ht="15.6" hidden="1" customHeight="1" x14ac:dyDescent="0.25">
      <c r="B212" s="13">
        <v>503</v>
      </c>
      <c r="C212" s="14" t="s">
        <v>53</v>
      </c>
      <c r="D212" s="13">
        <v>1</v>
      </c>
      <c r="E212" s="83">
        <v>45901</v>
      </c>
      <c r="F212" s="83">
        <v>45904</v>
      </c>
      <c r="G212" s="20">
        <f>IFERROR(WEEKNUM(Table4[[#This Row],[Confirmed Pick-up Date]]),"TBD")</f>
        <v>36</v>
      </c>
      <c r="H212" s="20" t="str">
        <f>IFERROR(TEXT(Table4[[#This Row],[Confirmed Pick-up Date]],"yy-mm"),"TBD")</f>
        <v>25-09</v>
      </c>
      <c r="I212" s="78" t="s">
        <v>1114</v>
      </c>
      <c r="J212" s="20" t="str">
        <f>IFERROR(VLOOKUP(Table4[[#This Row],[FromSite-UPS]],Table1[[#All],[Company or Name]:[FromSite3]],15,FALSE),"")</f>
        <v>Uppsala WWTP</v>
      </c>
      <c r="K212" s="20" t="str">
        <f>IFERROR(VLOOKUP(Table4[[#This Row],[FromSite-UPS]],Table1[[#All],[Company or Name]:[FromSite3]],16,FALSE),"")</f>
        <v>-</v>
      </c>
      <c r="L212" s="20">
        <f>IFERROR(VLOOKUP(Table4[[#This Row],[FromSite-UPS]],Table1[[#All],[Company or Name]:[FromSite3]],14,FALSE),"")</f>
        <v>0.58333333333333337</v>
      </c>
      <c r="M212" s="13" t="s">
        <v>1011</v>
      </c>
      <c r="N212" s="20" t="s">
        <v>134</v>
      </c>
      <c r="O212" s="20" t="s">
        <v>1401</v>
      </c>
      <c r="P212" s="20" t="s">
        <v>134</v>
      </c>
      <c r="Q212" s="20" t="s">
        <v>1538</v>
      </c>
      <c r="R212" s="20" t="s">
        <v>1433</v>
      </c>
      <c r="S212" s="20" t="s">
        <v>125</v>
      </c>
      <c r="T212" s="20" t="s">
        <v>110</v>
      </c>
      <c r="U212" s="20"/>
      <c r="V212" s="20"/>
      <c r="W212" s="20" t="str">
        <f>TEXT(Table4[[#This Row],[Confirmed Sampling Date]], "yyyy") &amp; "_" &amp; TEXT(Table4[[#This Row],[Confirmed Sampling Date]], "mm") &amp; "_" &amp; TEXT(Table4[[#This Row],[Confirmed Sampling Date]], "dd")</f>
        <v>2025_09_01</v>
      </c>
      <c r="X212" s="20" t="str">
        <f t="shared" si="3"/>
        <v>Uppsala</v>
      </c>
      <c r="Y212" s="20" t="str">
        <f>VLOOKUP(Table4[[#This Row],[FromSite-UPS]],Table1[[Company or Name]:[NOTES]],2,FALSE)</f>
        <v>Sweden</v>
      </c>
      <c r="Z212" s="20">
        <f>IFERROR(WEEKNUM(Table4[[#This Row],[Confirmed Sampling Date]] - 10, 21), "TBD")</f>
        <v>34</v>
      </c>
      <c r="AA212" s="20" t="str">
        <f>_xlfn.XLOOKUP(Table4[[#This Row],[FromSite-UPS]],sites!D:D,sites!W:W,"",0)</f>
        <v>Gerda Nilssons väg 5, Uppsala, 756 51, Sweden</v>
      </c>
      <c r="AB212" s="20" t="str">
        <f>_xlfn.XLOOKUP(Table4[[#This Row],[ToLab]],labs!D:D,labs!P:P,"no adres",0)</f>
        <v>Av. Rovisco Pais 1, Laboratorio de Analises de Agua, Lisbon, 1049-001, Portugal</v>
      </c>
      <c r="AC212" s="20">
        <f>_xlfn.XLOOKUP(Table4[[#This Row],[combi]],AREA!E:E,AREA!F:F,"",0)</f>
        <v>89</v>
      </c>
      <c r="AD212" s="20" t="str">
        <f>_xlfn.XLOOKUP(Table4[[#This Row],[combi]],AREA!E:E,AREA!G:G,"",0)</f>
        <v>Pick-up service of hypothetic package as defined in the Tech. Specs. and delivery to lots
2 and 3 contractors according to Scenario 1</v>
      </c>
      <c r="AE212" s="20" t="s">
        <v>125</v>
      </c>
      <c r="AF212" s="20" t="str">
        <f>_xlfn.XLOOKUP(Table4[[#This Row],[FromSite-UPS]],sites!D:D,sites!AB:AB,"",0)&amp;_xlfn.XLOOKUP(Table4[[#This Row],[ToLab]],labs!D:D,labs!Q:Q,"",0)</f>
        <v>EUEU</v>
      </c>
    </row>
    <row r="213" spans="2:32" ht="15.6" hidden="1" customHeight="1" x14ac:dyDescent="0.25">
      <c r="B213" s="13">
        <v>539</v>
      </c>
      <c r="C213" s="14" t="s">
        <v>53</v>
      </c>
      <c r="D213" s="13">
        <v>1</v>
      </c>
      <c r="E213" s="83">
        <v>45903</v>
      </c>
      <c r="F213" s="83">
        <v>45904</v>
      </c>
      <c r="G213" s="20">
        <f>IFERROR(WEEKNUM(Table4[[#This Row],[Confirmed Pick-up Date]]),"TBD")</f>
        <v>36</v>
      </c>
      <c r="H213" s="20" t="str">
        <f>IFERROR(TEXT(Table4[[#This Row],[Confirmed Pick-up Date]],"yy-mm"),"TBD")</f>
        <v>25-09</v>
      </c>
      <c r="I213" s="13" t="s">
        <v>1628</v>
      </c>
      <c r="J213" s="20" t="str">
        <f>IFERROR(VLOOKUP(Table4[[#This Row],[FromSite-UPS]],Table1[[#All],[Company or Name]:[FromSite3]],15,FALSE),"")</f>
        <v>Funchal WWTP</v>
      </c>
      <c r="K213" s="20" t="str">
        <f>IFERROR(VLOOKUP(Table4[[#This Row],[FromSite-UPS]],Table1[[#All],[Company or Name]:[FromSite3]],16,FALSE),"")</f>
        <v>Madeira, 10 locations</v>
      </c>
      <c r="L213" s="20">
        <f>IFERROR(VLOOKUP(Table4[[#This Row],[FromSite-UPS]],Table1[[#All],[Company or Name]:[FromSite3]],14,FALSE),"")</f>
        <v>0.70833333333333337</v>
      </c>
      <c r="M213" s="13" t="s">
        <v>1283</v>
      </c>
      <c r="N213" s="20" t="s">
        <v>134</v>
      </c>
      <c r="O213" s="20">
        <v>1794478103</v>
      </c>
      <c r="P213" s="65"/>
      <c r="Q213" s="65"/>
      <c r="R213" s="20" t="s">
        <v>1445</v>
      </c>
      <c r="S213" s="20" t="s">
        <v>125</v>
      </c>
      <c r="T213" s="20" t="s">
        <v>110</v>
      </c>
      <c r="U213" s="20"/>
      <c r="V213" s="20"/>
      <c r="W213" s="20" t="str">
        <f>TEXT(Table4[[#This Row],[Confirmed Sampling Date]], "yyyy") &amp; "_" &amp; TEXT(Table4[[#This Row],[Confirmed Sampling Date]], "mm") &amp; "_" &amp; TEXT(Table4[[#This Row],[Confirmed Sampling Date]], "dd")</f>
        <v>2025_09_03</v>
      </c>
      <c r="X213" s="20" t="str">
        <f t="shared" si="3"/>
        <v>Funchal</v>
      </c>
      <c r="Y213" s="20" t="str">
        <f>VLOOKUP(Table4[[#This Row],[FromSite-UPS]],Table1[[Company or Name]:[NOTES]],2,FALSE)</f>
        <v>Portugal</v>
      </c>
      <c r="Z213" s="20">
        <f>IFERROR(WEEKNUM(Table4[[#This Row],[Confirmed Sampling Date]] - 10, 21), "TBD")</f>
        <v>34</v>
      </c>
      <c r="AA213" s="20" t="str">
        <f>_xlfn.XLOOKUP(Table4[[#This Row],[FromSite-UPS]],sites!D:D,sites!W:W,"",0)</f>
        <v>R. do Matadouro 4, Funchal, 9050-100, Portugal</v>
      </c>
      <c r="AB213" s="20" t="str">
        <f>_xlfn.XLOOKUP(Table4[[#This Row],[ToLab]],labs!D:D,labs!P:P,"no adres",0)</f>
        <v>C. del Dracma 16-18, Labaqua SAU - Sede Alicante, Alicante, 03114 , Spain</v>
      </c>
      <c r="AC213" s="20">
        <f>_xlfn.XLOOKUP(Table4[[#This Row],[combi]],AREA!E:E,AREA!F:F,"",0)</f>
        <v>89</v>
      </c>
      <c r="AD213" s="20" t="str">
        <f>_xlfn.XLOOKUP(Table4[[#This Row],[combi]],AREA!E:E,AREA!G:G,"",0)</f>
        <v>Pick-up service of hypothetic package as defined in the Tech. Specs. and delivery to lots
2 and 3 contractors according to Scenario 1</v>
      </c>
      <c r="AE213" s="20" t="s">
        <v>125</v>
      </c>
      <c r="AF213" s="20" t="str">
        <f>_xlfn.XLOOKUP(Table4[[#This Row],[FromSite-UPS]],sites!D:D,sites!AB:AB,"",0)&amp;_xlfn.XLOOKUP(Table4[[#This Row],[ToLab]],labs!D:D,labs!Q:Q,"",0)</f>
        <v>EUEU</v>
      </c>
    </row>
    <row r="214" spans="2:32" ht="15.6" hidden="1" customHeight="1" x14ac:dyDescent="0.25">
      <c r="B214" s="13">
        <v>563</v>
      </c>
      <c r="C214" s="14" t="s">
        <v>53</v>
      </c>
      <c r="D214" s="13">
        <v>1</v>
      </c>
      <c r="E214" s="34">
        <v>45903</v>
      </c>
      <c r="F214" s="34">
        <v>45904</v>
      </c>
      <c r="G214" s="20">
        <f>IFERROR(WEEKNUM(Table4[[#This Row],[Confirmed Pick-up Date]]),"TBD")</f>
        <v>36</v>
      </c>
      <c r="H214" s="20" t="str">
        <f>IFERROR(TEXT(Table4[[#This Row],[Confirmed Pick-up Date]],"yy-mm"),"TBD")</f>
        <v>25-09</v>
      </c>
      <c r="I214" s="13" t="s">
        <v>1628</v>
      </c>
      <c r="J214" s="20" t="str">
        <f>IFERROR(VLOOKUP(Table4[[#This Row],[FromSite-UPS]],Table1[[#All],[Company or Name]:[FromSite3]],15,FALSE),"")</f>
        <v>Funchal WWTP</v>
      </c>
      <c r="K214" s="20" t="str">
        <f>IFERROR(VLOOKUP(Table4[[#This Row],[FromSite-UPS]],Table1[[#All],[Company or Name]:[FromSite3]],16,FALSE),"")</f>
        <v>Madeira, 10 locations</v>
      </c>
      <c r="L214" s="13" t="s">
        <v>1283</v>
      </c>
      <c r="M214" s="13" t="s">
        <v>1283</v>
      </c>
      <c r="N214" s="20" t="s">
        <v>134</v>
      </c>
      <c r="O214" s="20">
        <v>1794478103</v>
      </c>
      <c r="P214" s="20"/>
      <c r="Q214" s="20"/>
      <c r="R214" s="20" t="s">
        <v>1446</v>
      </c>
      <c r="S214" s="20" t="s">
        <v>125</v>
      </c>
      <c r="T214" s="20" t="s">
        <v>110</v>
      </c>
      <c r="U214" s="20"/>
      <c r="V214" s="20"/>
      <c r="W214" s="20" t="str">
        <f>TEXT(Table4[[#This Row],[Confirmed Sampling Date]], "yyyy") &amp; "_" &amp; TEXT(Table4[[#This Row],[Confirmed Sampling Date]], "mm") &amp; "_" &amp; TEXT(Table4[[#This Row],[Confirmed Sampling Date]], "dd")</f>
        <v>2025_09_03</v>
      </c>
      <c r="X214" s="20" t="str">
        <f t="shared" si="3"/>
        <v>Funchal</v>
      </c>
      <c r="Y214" s="20" t="str">
        <f>VLOOKUP(Table4[[#This Row],[FromSite-UPS]],Table1[[Company or Name]:[NOTES]],2,FALSE)</f>
        <v>Portugal</v>
      </c>
      <c r="Z214" s="20">
        <f>IFERROR(WEEKNUM(Table4[[#This Row],[Confirmed Sampling Date]] - 10, 21), "TBD")</f>
        <v>34</v>
      </c>
      <c r="AA214" s="20" t="str">
        <f>_xlfn.XLOOKUP(Table4[[#This Row],[FromSite-UPS]],sites!D:D,sites!W:W,"",0)</f>
        <v>R. do Matadouro 4, Funchal, 9050-100, Portugal</v>
      </c>
      <c r="AB214" s="20" t="str">
        <f>_xlfn.XLOOKUP(Table4[[#This Row],[ToLab]],labs!D:D,labs!P:P,"no adres",0)</f>
        <v>C. del Dracma 16-18, Labaqua SAU - Sede Alicante, Alicante, 03114 , Spain</v>
      </c>
      <c r="AC214" s="20">
        <f>_xlfn.XLOOKUP(Table4[[#This Row],[combi]],AREA!E:E,AREA!F:F,"",0)</f>
        <v>89</v>
      </c>
      <c r="AD214" s="20" t="str">
        <f>_xlfn.XLOOKUP(Table4[[#This Row],[combi]],AREA!E:E,AREA!G:G,"",0)</f>
        <v>Pick-up service of hypothetic package as defined in the Tech. Specs. and delivery to lots
2 and 3 contractors according to Scenario 1</v>
      </c>
      <c r="AE214" s="20" t="s">
        <v>125</v>
      </c>
      <c r="AF214" s="20" t="str">
        <f>_xlfn.XLOOKUP(Table4[[#This Row],[FromSite-UPS]],sites!D:D,sites!AB:AB,"",0)&amp;_xlfn.XLOOKUP(Table4[[#This Row],[ToLab]],labs!D:D,labs!Q:Q,"",0)</f>
        <v>EUEU</v>
      </c>
    </row>
    <row r="215" spans="2:32" ht="15.6" hidden="1" customHeight="1" x14ac:dyDescent="0.25">
      <c r="B215" s="13">
        <v>571</v>
      </c>
      <c r="C215" s="14" t="s">
        <v>53</v>
      </c>
      <c r="D215" s="13">
        <v>1</v>
      </c>
      <c r="E215" s="83">
        <v>45903</v>
      </c>
      <c r="F215" s="83">
        <v>45904</v>
      </c>
      <c r="G215" s="20">
        <f>IFERROR(WEEKNUM(Table4[[#This Row],[Confirmed Pick-up Date]]),"TBD")</f>
        <v>36</v>
      </c>
      <c r="H215" s="20" t="str">
        <f>IFERROR(TEXT(Table4[[#This Row],[Confirmed Pick-up Date]],"yy-mm"),"TBD")</f>
        <v>25-09</v>
      </c>
      <c r="I215" s="13" t="s">
        <v>1628</v>
      </c>
      <c r="J215" s="20" t="str">
        <f>IFERROR(VLOOKUP(Table4[[#This Row],[FromSite-UPS]],Table1[[#All],[Company or Name]:[FromSite3]],15,FALSE),"")</f>
        <v>Funchal WWTP</v>
      </c>
      <c r="K215" s="20" t="str">
        <f>IFERROR(VLOOKUP(Table4[[#This Row],[FromSite-UPS]],Table1[[#All],[Company or Name]:[FromSite3]],16,FALSE),"")</f>
        <v>Madeira, 10 locations</v>
      </c>
      <c r="L215" s="13" t="s">
        <v>1283</v>
      </c>
      <c r="M215" s="13" t="s">
        <v>1283</v>
      </c>
      <c r="N215" s="20" t="s">
        <v>134</v>
      </c>
      <c r="O215" s="20">
        <v>1794478103</v>
      </c>
      <c r="P215" s="20"/>
      <c r="Q215" s="20"/>
      <c r="R215" s="20" t="s">
        <v>1447</v>
      </c>
      <c r="S215" s="20" t="s">
        <v>125</v>
      </c>
      <c r="T215" s="20" t="s">
        <v>110</v>
      </c>
      <c r="U215" s="20"/>
      <c r="V215" s="20"/>
      <c r="W215" s="20" t="str">
        <f>TEXT(Table4[[#This Row],[Confirmed Sampling Date]], "yyyy") &amp; "_" &amp; TEXT(Table4[[#This Row],[Confirmed Sampling Date]], "mm") &amp; "_" &amp; TEXT(Table4[[#This Row],[Confirmed Sampling Date]], "dd")</f>
        <v>2025_09_03</v>
      </c>
      <c r="X215" s="20" t="str">
        <f t="shared" si="3"/>
        <v>Funchal</v>
      </c>
      <c r="Y215" s="20" t="str">
        <f>VLOOKUP(Table4[[#This Row],[FromSite-UPS]],Table1[[Company or Name]:[NOTES]],2,FALSE)</f>
        <v>Portugal</v>
      </c>
      <c r="Z215" s="20">
        <f>IFERROR(WEEKNUM(Table4[[#This Row],[Confirmed Sampling Date]] - 10, 21), "TBD")</f>
        <v>34</v>
      </c>
      <c r="AA215" s="20" t="str">
        <f>_xlfn.XLOOKUP(Table4[[#This Row],[FromSite-UPS]],sites!D:D,sites!W:W,"",0)</f>
        <v>R. do Matadouro 4, Funchal, 9050-100, Portugal</v>
      </c>
      <c r="AB215" s="20" t="str">
        <f>_xlfn.XLOOKUP(Table4[[#This Row],[ToLab]],labs!D:D,labs!P:P,"no adres",0)</f>
        <v>C. del Dracma 16-18, Labaqua SAU - Sede Alicante, Alicante, 03114 , Spain</v>
      </c>
      <c r="AC215" s="20">
        <f>_xlfn.XLOOKUP(Table4[[#This Row],[combi]],AREA!E:E,AREA!F:F,"",0)</f>
        <v>89</v>
      </c>
      <c r="AD215" s="20" t="str">
        <f>_xlfn.XLOOKUP(Table4[[#This Row],[combi]],AREA!E:E,AREA!G:G,"",0)</f>
        <v>Pick-up service of hypothetic package as defined in the Tech. Specs. and delivery to lots
2 and 3 contractors according to Scenario 1</v>
      </c>
      <c r="AE215" s="20" t="s">
        <v>125</v>
      </c>
      <c r="AF215" s="20" t="str">
        <f>_xlfn.XLOOKUP(Table4[[#This Row],[FromSite-UPS]],sites!D:D,sites!AB:AB,"",0)&amp;_xlfn.XLOOKUP(Table4[[#This Row],[ToLab]],labs!D:D,labs!Q:Q,"",0)</f>
        <v>EUEU</v>
      </c>
    </row>
    <row r="216" spans="2:32" ht="15.6" hidden="1" customHeight="1" x14ac:dyDescent="0.25">
      <c r="B216" s="13">
        <v>579</v>
      </c>
      <c r="C216" s="14" t="s">
        <v>53</v>
      </c>
      <c r="D216" s="13">
        <v>1</v>
      </c>
      <c r="E216" s="83">
        <v>45903</v>
      </c>
      <c r="F216" s="83">
        <v>45904</v>
      </c>
      <c r="G216" s="20">
        <f>IFERROR(WEEKNUM(Table4[[#This Row],[Confirmed Pick-up Date]]),"TBD")</f>
        <v>36</v>
      </c>
      <c r="H216" s="20" t="str">
        <f>IFERROR(TEXT(Table4[[#This Row],[Confirmed Pick-up Date]],"yy-mm"),"TBD")</f>
        <v>25-09</v>
      </c>
      <c r="I216" s="13" t="s">
        <v>1628</v>
      </c>
      <c r="J216" s="20" t="str">
        <f>IFERROR(VLOOKUP(Table4[[#This Row],[FromSite-UPS]],Table1[[#All],[Company or Name]:[FromSite3]],15,FALSE),"")</f>
        <v>Funchal WWTP</v>
      </c>
      <c r="K216" s="20" t="str">
        <f>IFERROR(VLOOKUP(Table4[[#This Row],[FromSite-UPS]],Table1[[#All],[Company or Name]:[FromSite3]],16,FALSE),"")</f>
        <v>Madeira, 10 locations</v>
      </c>
      <c r="L216" s="13" t="s">
        <v>1283</v>
      </c>
      <c r="M216" s="13" t="s">
        <v>1283</v>
      </c>
      <c r="N216" s="20" t="s">
        <v>134</v>
      </c>
      <c r="O216" s="20">
        <v>1794478103</v>
      </c>
      <c r="P216" s="20"/>
      <c r="Q216" s="20"/>
      <c r="R216" s="20" t="s">
        <v>1448</v>
      </c>
      <c r="S216" s="20" t="s">
        <v>125</v>
      </c>
      <c r="T216" s="20" t="s">
        <v>110</v>
      </c>
      <c r="U216" s="20"/>
      <c r="V216" s="20"/>
      <c r="W216" s="20" t="str">
        <f>TEXT(Table4[[#This Row],[Confirmed Sampling Date]], "yyyy") &amp; "_" &amp; TEXT(Table4[[#This Row],[Confirmed Sampling Date]], "mm") &amp; "_" &amp; TEXT(Table4[[#This Row],[Confirmed Sampling Date]], "dd")</f>
        <v>2025_09_03</v>
      </c>
      <c r="X216" s="20" t="str">
        <f t="shared" si="3"/>
        <v>Funchal</v>
      </c>
      <c r="Y216" s="20" t="str">
        <f>VLOOKUP(Table4[[#This Row],[FromSite-UPS]],Table1[[Company or Name]:[NOTES]],2,FALSE)</f>
        <v>Portugal</v>
      </c>
      <c r="Z216" s="20">
        <f>IFERROR(WEEKNUM(Table4[[#This Row],[Confirmed Sampling Date]] - 10, 21), "TBD")</f>
        <v>34</v>
      </c>
      <c r="AA216" s="20" t="str">
        <f>_xlfn.XLOOKUP(Table4[[#This Row],[FromSite-UPS]],sites!D:D,sites!W:W,"",0)</f>
        <v>R. do Matadouro 4, Funchal, 9050-100, Portugal</v>
      </c>
      <c r="AB216" s="20" t="str">
        <f>_xlfn.XLOOKUP(Table4[[#This Row],[ToLab]],labs!D:D,labs!P:P,"no adres",0)</f>
        <v>C. del Dracma 16-18, Labaqua SAU - Sede Alicante, Alicante, 03114 , Spain</v>
      </c>
      <c r="AC216" s="20">
        <f>_xlfn.XLOOKUP(Table4[[#This Row],[combi]],AREA!E:E,AREA!F:F,"",0)</f>
        <v>89</v>
      </c>
      <c r="AD216" s="20" t="str">
        <f>_xlfn.XLOOKUP(Table4[[#This Row],[combi]],AREA!E:E,AREA!G:G,"",0)</f>
        <v>Pick-up service of hypothetic package as defined in the Tech. Specs. and delivery to lots
2 and 3 contractors according to Scenario 1</v>
      </c>
      <c r="AE216" s="20" t="s">
        <v>125</v>
      </c>
      <c r="AF216" s="20" t="str">
        <f>_xlfn.XLOOKUP(Table4[[#This Row],[FromSite-UPS]],sites!D:D,sites!AB:AB,"",0)&amp;_xlfn.XLOOKUP(Table4[[#This Row],[ToLab]],labs!D:D,labs!Q:Q,"",0)</f>
        <v>EUEU</v>
      </c>
    </row>
    <row r="217" spans="2:32" ht="15.6" hidden="1" customHeight="1" x14ac:dyDescent="0.25">
      <c r="B217" s="13">
        <v>131</v>
      </c>
      <c r="C217" s="14" t="s">
        <v>53</v>
      </c>
      <c r="D217" s="13">
        <v>1</v>
      </c>
      <c r="E217" s="83">
        <v>45904</v>
      </c>
      <c r="F217" s="83">
        <v>45905</v>
      </c>
      <c r="G217" s="20">
        <f>IFERROR(WEEKNUM(Table4[[#This Row],[Confirmed Pick-up Date]]),"TBD")</f>
        <v>36</v>
      </c>
      <c r="H217" s="20" t="str">
        <f>IFERROR(TEXT(Table4[[#This Row],[Confirmed Pick-up Date]],"yy-mm"),"TBD")</f>
        <v>25-09</v>
      </c>
      <c r="I217" s="13" t="s">
        <v>637</v>
      </c>
      <c r="J217" s="20" t="str">
        <f>IFERROR(VLOOKUP(Table4[[#This Row],[FromSite-UPS]],Table1[[#All],[Company or Name]:[FromSite3]],15,FALSE),"")</f>
        <v>Luxembourg (Beggen) WWTP</v>
      </c>
      <c r="K217" s="20" t="str">
        <f>IFERROR(VLOOKUP(Table4[[#This Row],[FromSite-UPS]],Table1[[#All],[Company or Name]:[FromSite3]],16,FALSE),"")</f>
        <v>Luxembourg Airport</v>
      </c>
      <c r="L217" s="20">
        <f>IFERROR(VLOOKUP(Table4[[#This Row],[FromSite-UPS]],Table1[[#All],[Company or Name]:[FromSite3]],14,FALSE),"")</f>
        <v>0.66666666666666663</v>
      </c>
      <c r="M217" s="13" t="s">
        <v>1011</v>
      </c>
      <c r="N217" s="20" t="s">
        <v>134</v>
      </c>
      <c r="O217" s="13" t="s">
        <v>1437</v>
      </c>
      <c r="P217" s="64" t="s">
        <v>134</v>
      </c>
      <c r="Q217" s="121" t="s">
        <v>1586</v>
      </c>
      <c r="R217" s="20" t="s">
        <v>1444</v>
      </c>
      <c r="S217" s="20" t="s">
        <v>125</v>
      </c>
      <c r="T217" s="20" t="s">
        <v>110</v>
      </c>
      <c r="U217" s="20"/>
      <c r="V217" s="20"/>
      <c r="W217" s="20" t="str">
        <f>TEXT(Table4[[#This Row],[Confirmed Sampling Date]], "yyyy") &amp; "_" &amp; TEXT(Table4[[#This Row],[Confirmed Sampling Date]], "mm") &amp; "_" &amp; TEXT(Table4[[#This Row],[Confirmed Sampling Date]], "dd")</f>
        <v>2025_09_04</v>
      </c>
      <c r="X217" s="20" t="str">
        <f t="shared" si="3"/>
        <v>Luxembourg</v>
      </c>
      <c r="Y217" s="20" t="str">
        <f>VLOOKUP(Table4[[#This Row],[FromSite-UPS]],Table1[[Company or Name]:[NOTES]],2,FALSE)</f>
        <v>Luxembourg</v>
      </c>
      <c r="Z217" s="20">
        <f>IFERROR(WEEKNUM(Table4[[#This Row],[Confirmed Sampling Date]] - 10, 21), "TBD")</f>
        <v>35</v>
      </c>
      <c r="AA217" s="20" t="str">
        <f>_xlfn.XLOOKUP(Table4[[#This Row],[FromSite-UPS]],sites!D:D,sites!W:W,"",0)</f>
        <v>41 rue du Brill, Luxembourg, L-4422 , Luxembourg</v>
      </c>
      <c r="AB217" s="20" t="str">
        <f>_xlfn.XLOOKUP(Table4[[#This Row],[ToLab]],labs!D:D,labs!P:P,"no adres",0)</f>
        <v>Av. Rovisco Pais 1, Laboratorio de Analises de Agua, Lisbon, 1049-001, Portugal</v>
      </c>
      <c r="AC217" s="20">
        <f>_xlfn.XLOOKUP(Table4[[#This Row],[combi]],AREA!E:E,AREA!F:F,"",0)</f>
        <v>89</v>
      </c>
      <c r="AD217" s="20" t="str">
        <f>_xlfn.XLOOKUP(Table4[[#This Row],[combi]],AREA!E:E,AREA!G:G,"",0)</f>
        <v>Pick-up service of hypothetic package as defined in the Tech. Specs. and delivery to lots
2 and 3 contractors according to Scenario 1</v>
      </c>
      <c r="AE217" s="20" t="s">
        <v>125</v>
      </c>
      <c r="AF217" s="20" t="str">
        <f>_xlfn.XLOOKUP(Table4[[#This Row],[FromSite-UPS]],sites!D:D,sites!AB:AB,"",0)&amp;_xlfn.XLOOKUP(Table4[[#This Row],[ToLab]],labs!D:D,labs!Q:Q,"",0)</f>
        <v>EUEU</v>
      </c>
    </row>
    <row r="218" spans="2:32" ht="15.6" hidden="1" customHeight="1" x14ac:dyDescent="0.25">
      <c r="B218" s="13">
        <v>267</v>
      </c>
      <c r="C218" s="14" t="s">
        <v>53</v>
      </c>
      <c r="D218" s="13">
        <v>1</v>
      </c>
      <c r="E218" s="83">
        <v>45904</v>
      </c>
      <c r="F218" s="83">
        <v>45905</v>
      </c>
      <c r="G218" s="20">
        <f>IFERROR(WEEKNUM(Table4[[#This Row],[Confirmed Pick-up Date]]),"TBD")</f>
        <v>36</v>
      </c>
      <c r="H218" s="20" t="str">
        <f>IFERROR(TEXT(Table4[[#This Row],[Confirmed Pick-up Date]],"yy-mm"),"TBD")</f>
        <v>25-09</v>
      </c>
      <c r="I218" s="13" t="s">
        <v>637</v>
      </c>
      <c r="J218" s="20" t="str">
        <f>IFERROR(VLOOKUP(Table4[[#This Row],[FromSite-UPS]],Table1[[#All],[Company or Name]:[FromSite3]],15,FALSE),"")</f>
        <v>Luxembourg (Beggen) WWTP</v>
      </c>
      <c r="K218" s="20" t="str">
        <f>IFERROR(VLOOKUP(Table4[[#This Row],[FromSite-UPS]],Table1[[#All],[Company or Name]:[FromSite3]],16,FALSE),"")</f>
        <v>Luxembourg Airport</v>
      </c>
      <c r="L218" s="20">
        <f>IFERROR(VLOOKUP(Table4[[#This Row],[FromSite-UPS]],Table1[[#All],[Company or Name]:[FromSite3]],14,FALSE),"")</f>
        <v>0.66666666666666663</v>
      </c>
      <c r="M218" s="13" t="s">
        <v>1011</v>
      </c>
      <c r="N218" s="20" t="s">
        <v>134</v>
      </c>
      <c r="O218" s="20" t="s">
        <v>1438</v>
      </c>
      <c r="P218" s="101" t="s">
        <v>134</v>
      </c>
      <c r="Q218" s="121" t="s">
        <v>1586</v>
      </c>
      <c r="R218" s="20" t="s">
        <v>1443</v>
      </c>
      <c r="S218" s="20" t="s">
        <v>125</v>
      </c>
      <c r="T218" s="20" t="s">
        <v>110</v>
      </c>
      <c r="U218" s="20"/>
      <c r="V218" s="20"/>
      <c r="W218" s="20" t="str">
        <f>TEXT(Table4[[#This Row],[Confirmed Sampling Date]], "yyyy") &amp; "_" &amp; TEXT(Table4[[#This Row],[Confirmed Sampling Date]], "mm") &amp; "_" &amp; TEXT(Table4[[#This Row],[Confirmed Sampling Date]], "dd")</f>
        <v>2025_09_04</v>
      </c>
      <c r="X218" s="20" t="str">
        <f t="shared" si="3"/>
        <v>Luxembourg</v>
      </c>
      <c r="Y218" s="20" t="str">
        <f>VLOOKUP(Table4[[#This Row],[FromSite-UPS]],Table1[[Company or Name]:[NOTES]],2,FALSE)</f>
        <v>Luxembourg</v>
      </c>
      <c r="Z218" s="20">
        <f>IFERROR(WEEKNUM(Table4[[#This Row],[Confirmed Sampling Date]] - 10, 21), "TBD")</f>
        <v>35</v>
      </c>
      <c r="AA218" s="20" t="str">
        <f>_xlfn.XLOOKUP(Table4[[#This Row],[FromSite-UPS]],sites!D:D,sites!W:W,"",0)</f>
        <v>41 rue du Brill, Luxembourg, L-4422 , Luxembourg</v>
      </c>
      <c r="AB218" s="20" t="str">
        <f>_xlfn.XLOOKUP(Table4[[#This Row],[ToLab]],labs!D:D,labs!P:P,"no adres",0)</f>
        <v>Av. Rovisco Pais 1, Laboratorio de Analises de Agua, Lisbon, 1049-001, Portugal</v>
      </c>
      <c r="AC218" s="20">
        <f>_xlfn.XLOOKUP(Table4[[#This Row],[combi]],AREA!E:E,AREA!F:F,"",0)</f>
        <v>89</v>
      </c>
      <c r="AD218" s="20" t="str">
        <f>_xlfn.XLOOKUP(Table4[[#This Row],[combi]],AREA!E:E,AREA!G:G,"",0)</f>
        <v>Pick-up service of hypothetic package as defined in the Tech. Specs. and delivery to lots
2 and 3 contractors according to Scenario 1</v>
      </c>
      <c r="AE218" s="20" t="s">
        <v>125</v>
      </c>
      <c r="AF218" s="20" t="str">
        <f>_xlfn.XLOOKUP(Table4[[#This Row],[FromSite-UPS]],sites!D:D,sites!AB:AB,"",0)&amp;_xlfn.XLOOKUP(Table4[[#This Row],[ToLab]],labs!D:D,labs!Q:Q,"",0)</f>
        <v>EUEU</v>
      </c>
    </row>
    <row r="219" spans="2:32" ht="15.6" hidden="1" customHeight="1" x14ac:dyDescent="0.25">
      <c r="B219" s="13">
        <v>14</v>
      </c>
      <c r="C219" s="14" t="s">
        <v>53</v>
      </c>
      <c r="D219" s="13">
        <v>1</v>
      </c>
      <c r="E219" s="83">
        <v>45914</v>
      </c>
      <c r="F219" s="83">
        <v>45915</v>
      </c>
      <c r="G219" s="13">
        <f>IFERROR(WEEKNUM(Table4[[#This Row],[Confirmed Pick-up Date]]),"TBD")</f>
        <v>38</v>
      </c>
      <c r="H219" s="13" t="str">
        <f>IFERROR(TEXT(Table4[[#This Row],[Confirmed Pick-up Date]],"yy-mm"),"TBD")</f>
        <v>25-09</v>
      </c>
      <c r="I219" s="13" t="s">
        <v>13</v>
      </c>
      <c r="J219" s="13" t="str">
        <f>IFERROR(VLOOKUP(Table4[[#This Row],[FromSite-UPS]],Table1[[#All],[Company or Name]:[FromSite3]],15,FALSE),"")</f>
        <v>Berlin (Schoenefeld) WWTP</v>
      </c>
      <c r="K219" s="13" t="str">
        <f>IFERROR(VLOOKUP(Table4[[#This Row],[FromSite-UPS]],Table1[[#All],[Company or Name]:[FromSite3]],16,FALSE),"")</f>
        <v>Berlin Airport</v>
      </c>
      <c r="L219" s="13">
        <f>IFERROR(VLOOKUP(Table4[[#This Row],[FromSite-UPS]],Table1[[#All],[Company or Name]:[FromSite3]],14,FALSE),"")</f>
        <v>0.58333333333333337</v>
      </c>
      <c r="M219" s="13" t="s">
        <v>1011</v>
      </c>
      <c r="N219" s="20" t="s">
        <v>134</v>
      </c>
      <c r="O219" s="13" t="s">
        <v>1473</v>
      </c>
      <c r="P219" s="99" t="s">
        <v>892</v>
      </c>
      <c r="Q219" s="101" t="s">
        <v>1634</v>
      </c>
      <c r="R219" s="20" t="s">
        <v>1564</v>
      </c>
      <c r="S219" s="20" t="s">
        <v>125</v>
      </c>
      <c r="T219" s="20" t="s">
        <v>110</v>
      </c>
      <c r="U219" s="20"/>
      <c r="V219" s="20"/>
      <c r="W219" s="20" t="str">
        <f>TEXT(Table4[[#This Row],[Confirmed Sampling Date]], "yyyy") &amp; "_" &amp; TEXT(Table4[[#This Row],[Confirmed Sampling Date]], "mm") &amp; "_" &amp; TEXT(Table4[[#This Row],[Confirmed Sampling Date]], "dd")</f>
        <v>2025_09_14</v>
      </c>
      <c r="X219" s="20" t="str">
        <f t="shared" si="3"/>
        <v>Berlin</v>
      </c>
      <c r="Y219" s="20" t="str">
        <f>VLOOKUP(Table4[[#This Row],[FromSite-UPS]],Table1[[Company or Name]:[NOTES]],2,FALSE)</f>
        <v>Germany</v>
      </c>
      <c r="Z219" s="20">
        <f>IFERROR(WEEKNUM(Table4[[#This Row],[Confirmed Sampling Date]] - 10, 21), "TBD")</f>
        <v>36</v>
      </c>
      <c r="AA219" s="20" t="str">
        <f>_xlfn.XLOOKUP(Table4[[#This Row],[FromSite-UPS]],sites!D:D,sites!W:W,"",0)</f>
        <v>Strasse am Klarwerk 4, Klarwerk Wassmannsdorf, Schoenefeld, 12529, Germany</v>
      </c>
      <c r="AB219" s="20" t="str">
        <f>_xlfn.XLOOKUP(Table4[[#This Row],[ToLab]],labs!D:D,labs!P:P,"no adres",0)</f>
        <v>Av. Rovisco Pais 1, Laboratorio de Analises de Agua, Lisbon, 1049-001, Portugal</v>
      </c>
      <c r="AC219" s="20">
        <f>_xlfn.XLOOKUP(Table4[[#This Row],[combi]],AREA!E:E,AREA!F:F,"",0)</f>
        <v>89</v>
      </c>
      <c r="AD219" s="20" t="str">
        <f>_xlfn.XLOOKUP(Table4[[#This Row],[combi]],AREA!E:E,AREA!G:G,"",0)</f>
        <v>Pick-up service of hypothetic package as defined in the Tech. Specs. and delivery to lots
2 and 3 contractors according to Scenario 1</v>
      </c>
      <c r="AE219" s="20" t="s">
        <v>125</v>
      </c>
      <c r="AF219" s="20" t="str">
        <f>_xlfn.XLOOKUP(Table4[[#This Row],[FromSite-UPS]],sites!D:D,sites!AB:AB,"",0)&amp;_xlfn.XLOOKUP(Table4[[#This Row],[ToLab]],labs!D:D,labs!Q:Q,"",0)</f>
        <v>EUEU</v>
      </c>
    </row>
    <row r="220" spans="2:32" ht="15.6" hidden="1" customHeight="1" x14ac:dyDescent="0.25">
      <c r="B220" s="13">
        <v>77</v>
      </c>
      <c r="C220" s="14" t="s">
        <v>53</v>
      </c>
      <c r="D220" s="13">
        <v>1</v>
      </c>
      <c r="E220" s="83">
        <v>45914</v>
      </c>
      <c r="F220" s="83">
        <v>45915</v>
      </c>
      <c r="G220" s="20">
        <f>IFERROR(WEEKNUM(Table4[[#This Row],[Confirmed Pick-up Date]]),"TBD")</f>
        <v>38</v>
      </c>
      <c r="H220" s="20" t="str">
        <f>IFERROR(TEXT(Table4[[#This Row],[Confirmed Pick-up Date]],"yy-mm"),"TBD")</f>
        <v>25-09</v>
      </c>
      <c r="I220" s="13" t="s">
        <v>13</v>
      </c>
      <c r="J220" s="20" t="str">
        <f>IFERROR(VLOOKUP(Table4[[#This Row],[FromSite-UPS]],Table1[[#All],[Company or Name]:[FromSite3]],15,FALSE),"")</f>
        <v>Berlin (Schoenefeld) WWTP</v>
      </c>
      <c r="K220" s="20" t="str">
        <f>IFERROR(VLOOKUP(Table4[[#This Row],[FromSite-UPS]],Table1[[#All],[Company or Name]:[FromSite3]],16,FALSE),"")</f>
        <v>Berlin Airport</v>
      </c>
      <c r="L220" s="20">
        <f>IFERROR(VLOOKUP(Table4[[#This Row],[FromSite-UPS]],Table1[[#All],[Company or Name]:[FromSite3]],14,FALSE),"")</f>
        <v>0.58333333333333337</v>
      </c>
      <c r="M220" s="13" t="s">
        <v>1011</v>
      </c>
      <c r="N220" s="20" t="s">
        <v>134</v>
      </c>
      <c r="O220" s="13" t="s">
        <v>1474</v>
      </c>
      <c r="P220" s="13" t="s">
        <v>892</v>
      </c>
      <c r="Q220" s="20" t="s">
        <v>1634</v>
      </c>
      <c r="R220" s="20" t="s">
        <v>1565</v>
      </c>
      <c r="S220" s="20" t="s">
        <v>125</v>
      </c>
      <c r="T220" s="20" t="s">
        <v>110</v>
      </c>
      <c r="U220" s="20"/>
      <c r="V220" s="20"/>
      <c r="W220" s="20" t="str">
        <f>TEXT(Table4[[#This Row],[Confirmed Sampling Date]], "yyyy") &amp; "_" &amp; TEXT(Table4[[#This Row],[Confirmed Sampling Date]], "mm") &amp; "_" &amp; TEXT(Table4[[#This Row],[Confirmed Sampling Date]], "dd")</f>
        <v>2025_09_14</v>
      </c>
      <c r="X220" s="20" t="str">
        <f t="shared" si="3"/>
        <v>Berlin</v>
      </c>
      <c r="Y220" s="20" t="str">
        <f>VLOOKUP(Table4[[#This Row],[FromSite-UPS]],Table1[[Company or Name]:[NOTES]],2,FALSE)</f>
        <v>Germany</v>
      </c>
      <c r="Z220" s="20">
        <f>IFERROR(WEEKNUM(Table4[[#This Row],[Confirmed Sampling Date]] - 10, 21), "TBD")</f>
        <v>36</v>
      </c>
      <c r="AA220" s="20" t="str">
        <f>_xlfn.XLOOKUP(Table4[[#This Row],[FromSite-UPS]],sites!D:D,sites!W:W,"",0)</f>
        <v>Strasse am Klarwerk 4, Klarwerk Wassmannsdorf, Schoenefeld, 12529, Germany</v>
      </c>
      <c r="AB220" s="20" t="str">
        <f>_xlfn.XLOOKUP(Table4[[#This Row],[ToLab]],labs!D:D,labs!P:P,"no adres",0)</f>
        <v>Av. Rovisco Pais 1, Laboratorio de Analises de Agua, Lisbon, 1049-001, Portugal</v>
      </c>
      <c r="AC220" s="20">
        <f>_xlfn.XLOOKUP(Table4[[#This Row],[combi]],AREA!E:E,AREA!F:F,"",0)</f>
        <v>89</v>
      </c>
      <c r="AD220" s="20" t="str">
        <f>_xlfn.XLOOKUP(Table4[[#This Row],[combi]],AREA!E:E,AREA!G:G,"",0)</f>
        <v>Pick-up service of hypothetic package as defined in the Tech. Specs. and delivery to lots
2 and 3 contractors according to Scenario 1</v>
      </c>
      <c r="AE220" s="20" t="s">
        <v>125</v>
      </c>
      <c r="AF220" s="20" t="str">
        <f>_xlfn.XLOOKUP(Table4[[#This Row],[FromSite-UPS]],sites!D:D,sites!AB:AB,"",0)&amp;_xlfn.XLOOKUP(Table4[[#This Row],[ToLab]],labs!D:D,labs!Q:Q,"",0)</f>
        <v>EUEU</v>
      </c>
    </row>
    <row r="221" spans="2:32" ht="15.6" hidden="1" customHeight="1" x14ac:dyDescent="0.25">
      <c r="B221" s="13">
        <v>548</v>
      </c>
      <c r="C221" s="14" t="s">
        <v>53</v>
      </c>
      <c r="D221" s="13">
        <v>1</v>
      </c>
      <c r="E221" s="83">
        <v>45914</v>
      </c>
      <c r="F221" s="83">
        <v>45915</v>
      </c>
      <c r="G221" s="20">
        <f>IFERROR(WEEKNUM(Table4[[#This Row],[Confirmed Pick-up Date]]),"TBD")</f>
        <v>38</v>
      </c>
      <c r="H221" s="20" t="str">
        <f>IFERROR(TEXT(Table4[[#This Row],[Confirmed Pick-up Date]],"yy-mm"),"TBD")</f>
        <v>25-09</v>
      </c>
      <c r="I221" s="13" t="s">
        <v>13</v>
      </c>
      <c r="J221" s="20" t="str">
        <f>IFERROR(VLOOKUP(Table4[[#This Row],[FromSite-UPS]],Table1[[#All],[Company or Name]:[FromSite3]],15,FALSE),"")</f>
        <v>Berlin (Schoenefeld) WWTP</v>
      </c>
      <c r="K221" s="20" t="str">
        <f>IFERROR(VLOOKUP(Table4[[#This Row],[FromSite-UPS]],Table1[[#All],[Company or Name]:[FromSite3]],16,FALSE),"")</f>
        <v>Berlin Airport</v>
      </c>
      <c r="L221" s="20">
        <f>IFERROR(VLOOKUP(Table4[[#This Row],[FromSite-UPS]],Table1[[#All],[Company or Name]:[FromSite3]],14,FALSE),"")</f>
        <v>0.58333333333333337</v>
      </c>
      <c r="M221" s="13" t="s">
        <v>1283</v>
      </c>
      <c r="N221" s="20" t="s">
        <v>134</v>
      </c>
      <c r="O221" s="20" t="s">
        <v>1476</v>
      </c>
      <c r="P221" s="20" t="s">
        <v>892</v>
      </c>
      <c r="Q221" s="20" t="s">
        <v>1634</v>
      </c>
      <c r="R221" s="20" t="s">
        <v>1562</v>
      </c>
      <c r="S221" s="20" t="s">
        <v>125</v>
      </c>
      <c r="T221" s="20" t="s">
        <v>110</v>
      </c>
      <c r="U221" s="20"/>
      <c r="V221" s="20"/>
      <c r="W221" s="20" t="str">
        <f>TEXT(Table4[[#This Row],[Confirmed Sampling Date]], "yyyy") &amp; "_" &amp; TEXT(Table4[[#This Row],[Confirmed Sampling Date]], "mm") &amp; "_" &amp; TEXT(Table4[[#This Row],[Confirmed Sampling Date]], "dd")</f>
        <v>2025_09_14</v>
      </c>
      <c r="X221" s="20" t="str">
        <f t="shared" si="3"/>
        <v>Berlin</v>
      </c>
      <c r="Y221" s="20" t="str">
        <f>VLOOKUP(Table4[[#This Row],[FromSite-UPS]],Table1[[Company or Name]:[NOTES]],2,FALSE)</f>
        <v>Germany</v>
      </c>
      <c r="Z221" s="20">
        <f>IFERROR(WEEKNUM(Table4[[#This Row],[Confirmed Sampling Date]] - 10, 21), "TBD")</f>
        <v>36</v>
      </c>
      <c r="AA221" s="20" t="str">
        <f>_xlfn.XLOOKUP(Table4[[#This Row],[FromSite-UPS]],sites!D:D,sites!W:W,"",0)</f>
        <v>Strasse am Klarwerk 4, Klarwerk Wassmannsdorf, Schoenefeld, 12529, Germany</v>
      </c>
      <c r="AB221" s="20" t="str">
        <f>_xlfn.XLOOKUP(Table4[[#This Row],[ToLab]],labs!D:D,labs!P:P,"no adres",0)</f>
        <v>C. del Dracma 16-18, Labaqua SAU - Sede Alicante, Alicante, 03114 , Spain</v>
      </c>
      <c r="AC221" s="20">
        <f>_xlfn.XLOOKUP(Table4[[#This Row],[combi]],AREA!E:E,AREA!F:F,"",0)</f>
        <v>89</v>
      </c>
      <c r="AD221" s="20" t="str">
        <f>_xlfn.XLOOKUP(Table4[[#This Row],[combi]],AREA!E:E,AREA!G:G,"",0)</f>
        <v>Pick-up service of hypothetic package as defined in the Tech. Specs. and delivery to lots
2 and 3 contractors according to Scenario 1</v>
      </c>
      <c r="AE221" s="20" t="s">
        <v>125</v>
      </c>
      <c r="AF221" s="20" t="str">
        <f>_xlfn.XLOOKUP(Table4[[#This Row],[FromSite-UPS]],sites!D:D,sites!AB:AB,"",0)&amp;_xlfn.XLOOKUP(Table4[[#This Row],[ToLab]],labs!D:D,labs!Q:Q,"",0)</f>
        <v>EUEU</v>
      </c>
    </row>
    <row r="222" spans="2:32" ht="15.6" hidden="1" customHeight="1" x14ac:dyDescent="0.25">
      <c r="B222" s="13">
        <v>556</v>
      </c>
      <c r="C222" s="14" t="s">
        <v>53</v>
      </c>
      <c r="D222" s="13">
        <v>1</v>
      </c>
      <c r="E222" s="83">
        <v>45914</v>
      </c>
      <c r="F222" s="83">
        <v>45915</v>
      </c>
      <c r="G222" s="20">
        <v>38</v>
      </c>
      <c r="H222" s="20" t="s">
        <v>1286</v>
      </c>
      <c r="I222" s="13" t="s">
        <v>13</v>
      </c>
      <c r="J222" s="20" t="s">
        <v>363</v>
      </c>
      <c r="K222" s="20" t="s">
        <v>58</v>
      </c>
      <c r="L222" s="13" t="s">
        <v>1283</v>
      </c>
      <c r="M222" s="13" t="s">
        <v>1283</v>
      </c>
      <c r="N222" s="20" t="s">
        <v>134</v>
      </c>
      <c r="O222" s="20" t="s">
        <v>1477</v>
      </c>
      <c r="P222" s="20" t="s">
        <v>892</v>
      </c>
      <c r="Q222" s="20" t="s">
        <v>1634</v>
      </c>
      <c r="R222" s="20" t="s">
        <v>1561</v>
      </c>
      <c r="S222" s="20" t="s">
        <v>125</v>
      </c>
      <c r="T222" s="20" t="s">
        <v>110</v>
      </c>
      <c r="U222" s="20"/>
      <c r="V222" s="20"/>
      <c r="W222" s="20" t="str">
        <f>TEXT(Table4[[#This Row],[Confirmed Sampling Date]], "yyyy") &amp; "_" &amp; TEXT(Table4[[#This Row],[Confirmed Sampling Date]], "mm") &amp; "_" &amp; TEXT(Table4[[#This Row],[Confirmed Sampling Date]], "dd")</f>
        <v>2025_09_14</v>
      </c>
      <c r="X222" s="20" t="str">
        <f t="shared" si="3"/>
        <v>Berlin</v>
      </c>
      <c r="Y222" s="20" t="str">
        <f>VLOOKUP(Table4[[#This Row],[FromSite-UPS]],Table1[[Company or Name]:[NOTES]],2,FALSE)</f>
        <v>Germany</v>
      </c>
      <c r="Z222" s="20">
        <f>IFERROR(WEEKNUM(Table4[[#This Row],[Confirmed Sampling Date]] - 10, 21), "TBD")</f>
        <v>36</v>
      </c>
      <c r="AA222" s="20" t="str">
        <f>_xlfn.XLOOKUP(Table4[[#This Row],[FromSite-UPS]],sites!D:D,sites!W:W,"",0)</f>
        <v>Strasse am Klarwerk 4, Klarwerk Wassmannsdorf, Schoenefeld, 12529, Germany</v>
      </c>
      <c r="AB222" s="20" t="str">
        <f>_xlfn.XLOOKUP(Table4[[#This Row],[ToLab]],labs!D:D,labs!P:P,"no adres",0)</f>
        <v>C. del Dracma 16-18, Labaqua SAU - Sede Alicante, Alicante, 03114 , Spain</v>
      </c>
      <c r="AC222" s="20">
        <f>_xlfn.XLOOKUP(Table4[[#This Row],[combi]],AREA!E:E,AREA!F:F,"",0)</f>
        <v>89</v>
      </c>
      <c r="AD222" s="20" t="str">
        <f>_xlfn.XLOOKUP(Table4[[#This Row],[combi]],AREA!E:E,AREA!G:G,"",0)</f>
        <v>Pick-up service of hypothetic package as defined in the Tech. Specs. and delivery to lots
2 and 3 contractors according to Scenario 1</v>
      </c>
      <c r="AE222" s="20" t="s">
        <v>125</v>
      </c>
      <c r="AF222" s="20" t="str">
        <f>_xlfn.XLOOKUP(Table4[[#This Row],[FromSite-UPS]],sites!D:D,sites!AB:AB,"",0)&amp;_xlfn.XLOOKUP(Table4[[#This Row],[ToLab]],labs!D:D,labs!Q:Q,"",0)</f>
        <v>EUEU</v>
      </c>
    </row>
    <row r="223" spans="2:32" ht="15.6" hidden="1" customHeight="1" x14ac:dyDescent="0.25">
      <c r="B223" s="13">
        <v>55</v>
      </c>
      <c r="C223" s="14" t="s">
        <v>53</v>
      </c>
      <c r="D223" s="13">
        <v>1</v>
      </c>
      <c r="E223" s="34">
        <v>45915</v>
      </c>
      <c r="F223" s="34">
        <v>45916</v>
      </c>
      <c r="G223" s="20">
        <f>IFERROR(WEEKNUM(Table4[[#This Row],[Confirmed Pick-up Date]]),"TBD")</f>
        <v>38</v>
      </c>
      <c r="H223" s="20" t="str">
        <f>IFERROR(TEXT(Table4[[#This Row],[Confirmed Pick-up Date]],"yy-mm"),"TBD")</f>
        <v>25-09</v>
      </c>
      <c r="I223" s="13" t="s">
        <v>364</v>
      </c>
      <c r="J223" s="20" t="str">
        <f>IFERROR(VLOOKUP(Table4[[#This Row],[FromSite-UPS]],Table1[[#All],[Company or Name]:[FromSite3]],15,FALSE),"")</f>
        <v>Brussels WWTP</v>
      </c>
      <c r="K223" s="20" t="str">
        <f>IFERROR(VLOOKUP(Table4[[#This Row],[FromSite-UPS]],Table1[[#All],[Company or Name]:[FromSite3]],16,FALSE),"")</f>
        <v>Brussels Airport</v>
      </c>
      <c r="L223" s="20">
        <f>IFERROR(VLOOKUP(Table4[[#This Row],[FromSite-UPS]],Table1[[#All],[Company or Name]:[FromSite3]],14,FALSE),"")</f>
        <v>0.70833333333333337</v>
      </c>
      <c r="M223" s="13" t="s">
        <v>1011</v>
      </c>
      <c r="N223" s="20" t="s">
        <v>134</v>
      </c>
      <c r="O223" s="13" t="s">
        <v>1489</v>
      </c>
      <c r="P223" s="13" t="s">
        <v>892</v>
      </c>
      <c r="Q223" s="20" t="s">
        <v>1635</v>
      </c>
      <c r="R223" s="108" t="s">
        <v>1557</v>
      </c>
      <c r="S223" s="20" t="s">
        <v>125</v>
      </c>
      <c r="T223" s="20" t="s">
        <v>110</v>
      </c>
      <c r="U223" s="20"/>
      <c r="V223" s="20"/>
      <c r="W223" s="20" t="str">
        <f>TEXT(Table4[[#This Row],[Confirmed Sampling Date]], "yyyy") &amp; "_" &amp; TEXT(Table4[[#This Row],[Confirmed Sampling Date]], "mm") &amp; "_" &amp; TEXT(Table4[[#This Row],[Confirmed Sampling Date]], "dd")</f>
        <v>2025_09_15</v>
      </c>
      <c r="X223" s="20" t="str">
        <f t="shared" si="3"/>
        <v>Brussels</v>
      </c>
      <c r="Y223" s="20" t="str">
        <f>VLOOKUP(Table4[[#This Row],[FromSite-UPS]],Table1[[Company or Name]:[NOTES]],2,FALSE)</f>
        <v>Belgium</v>
      </c>
      <c r="Z223" s="20">
        <f>IFERROR(WEEKNUM(Table4[[#This Row],[Confirmed Sampling Date]] - 10, 21), "TBD")</f>
        <v>36</v>
      </c>
      <c r="AA223" s="20" t="str">
        <f>_xlfn.XLOOKUP(Table4[[#This Row],[FromSite-UPS]],sites!D:D,sites!W:W,"",0)</f>
        <v>Rue Juliette Wytsmanstraat 14, Brussels, 1050, Belgium</v>
      </c>
      <c r="AB223" s="20" t="str">
        <f>_xlfn.XLOOKUP(Table4[[#This Row],[ToLab]],labs!D:D,labs!P:P,"no adres",0)</f>
        <v>Av. Rovisco Pais 1, Laboratorio de Analises de Agua, Lisbon, 1049-001, Portugal</v>
      </c>
      <c r="AC223" s="20">
        <f>_xlfn.XLOOKUP(Table4[[#This Row],[combi]],AREA!E:E,AREA!F:F,"",0)</f>
        <v>89</v>
      </c>
      <c r="AD223" s="20" t="str">
        <f>_xlfn.XLOOKUP(Table4[[#This Row],[combi]],AREA!E:E,AREA!G:G,"",0)</f>
        <v>Pick-up service of hypothetic package as defined in the Tech. Specs. and delivery to lots
2 and 3 contractors according to Scenario 1</v>
      </c>
      <c r="AE223" s="20" t="s">
        <v>125</v>
      </c>
      <c r="AF223" s="20" t="str">
        <f>_xlfn.XLOOKUP(Table4[[#This Row],[FromSite-UPS]],sites!D:D,sites!AB:AB,"",0)&amp;_xlfn.XLOOKUP(Table4[[#This Row],[ToLab]],labs!D:D,labs!Q:Q,"",0)</f>
        <v>EUEU</v>
      </c>
    </row>
    <row r="224" spans="2:32" ht="15.6" hidden="1" customHeight="1" x14ac:dyDescent="0.25">
      <c r="B224" s="13">
        <v>118</v>
      </c>
      <c r="C224" s="14" t="s">
        <v>53</v>
      </c>
      <c r="D224" s="13">
        <v>1</v>
      </c>
      <c r="E224" s="22">
        <v>45915</v>
      </c>
      <c r="F224" s="22">
        <v>45916</v>
      </c>
      <c r="G224" s="20">
        <f>IFERROR(WEEKNUM(Table4[[#This Row],[Confirmed Pick-up Date]]),"TBD")</f>
        <v>38</v>
      </c>
      <c r="H224" s="20" t="str">
        <f>IFERROR(TEXT(Table4[[#This Row],[Confirmed Pick-up Date]],"yy-mm"),"TBD")</f>
        <v>25-09</v>
      </c>
      <c r="I224" s="13" t="s">
        <v>364</v>
      </c>
      <c r="J224" s="20" t="str">
        <f>IFERROR(VLOOKUP(Table4[[#This Row],[FromSite-UPS]],Table1[[#All],[Company or Name]:[FromSite3]],15,FALSE),"")</f>
        <v>Brussels WWTP</v>
      </c>
      <c r="K224" s="20" t="str">
        <f>IFERROR(VLOOKUP(Table4[[#This Row],[FromSite-UPS]],Table1[[#All],[Company or Name]:[FromSite3]],16,FALSE),"")</f>
        <v>Brussels Airport</v>
      </c>
      <c r="L224" s="20">
        <f>IFERROR(VLOOKUP(Table4[[#This Row],[FromSite-UPS]],Table1[[#All],[Company or Name]:[FromSite3]],14,FALSE),"")</f>
        <v>0.70833333333333337</v>
      </c>
      <c r="M224" s="13" t="s">
        <v>1011</v>
      </c>
      <c r="N224" s="20" t="s">
        <v>134</v>
      </c>
      <c r="O224" s="13" t="s">
        <v>1490</v>
      </c>
      <c r="P224" s="13" t="s">
        <v>892</v>
      </c>
      <c r="Q224" s="20" t="s">
        <v>1635</v>
      </c>
      <c r="R224" s="20" t="s">
        <v>1556</v>
      </c>
      <c r="S224" s="20" t="s">
        <v>125</v>
      </c>
      <c r="T224" s="20" t="s">
        <v>110</v>
      </c>
      <c r="U224" s="20"/>
      <c r="V224" s="20"/>
      <c r="W224" s="20" t="str">
        <f>TEXT(Table4[[#This Row],[Confirmed Sampling Date]], "yyyy") &amp; "_" &amp; TEXT(Table4[[#This Row],[Confirmed Sampling Date]], "mm") &amp; "_" &amp; TEXT(Table4[[#This Row],[Confirmed Sampling Date]], "dd")</f>
        <v>2025_09_15</v>
      </c>
      <c r="X224" s="20" t="str">
        <f t="shared" si="3"/>
        <v>Brussels</v>
      </c>
      <c r="Y224" s="20" t="str">
        <f>VLOOKUP(Table4[[#This Row],[FromSite-UPS]],Table1[[Company or Name]:[NOTES]],2,FALSE)</f>
        <v>Belgium</v>
      </c>
      <c r="Z224" s="20">
        <f>IFERROR(WEEKNUM(Table4[[#This Row],[Confirmed Sampling Date]] - 10, 21), "TBD")</f>
        <v>36</v>
      </c>
      <c r="AA224" s="20" t="str">
        <f>_xlfn.XLOOKUP(Table4[[#This Row],[FromSite-UPS]],sites!D:D,sites!W:W,"",0)</f>
        <v>Rue Juliette Wytsmanstraat 14, Brussels, 1050, Belgium</v>
      </c>
      <c r="AB224" s="20" t="str">
        <f>_xlfn.XLOOKUP(Table4[[#This Row],[ToLab]],labs!D:D,labs!P:P,"no adres",0)</f>
        <v>Av. Rovisco Pais 1, Laboratorio de Analises de Agua, Lisbon, 1049-001, Portugal</v>
      </c>
      <c r="AC224" s="20">
        <f>_xlfn.XLOOKUP(Table4[[#This Row],[combi]],AREA!E:E,AREA!F:F,"",0)</f>
        <v>89</v>
      </c>
      <c r="AD224" s="20" t="str">
        <f>_xlfn.XLOOKUP(Table4[[#This Row],[combi]],AREA!E:E,AREA!G:G,"",0)</f>
        <v>Pick-up service of hypothetic package as defined in the Tech. Specs. and delivery to lots
2 and 3 contractors according to Scenario 1</v>
      </c>
      <c r="AE224" s="20" t="s">
        <v>125</v>
      </c>
      <c r="AF224" s="20" t="str">
        <f>_xlfn.XLOOKUP(Table4[[#This Row],[FromSite-UPS]],sites!D:D,sites!AB:AB,"",0)&amp;_xlfn.XLOOKUP(Table4[[#This Row],[ToLab]],labs!D:D,labs!Q:Q,"",0)</f>
        <v>EUEU</v>
      </c>
    </row>
    <row r="225" spans="2:32" ht="15.6" hidden="1" customHeight="1" x14ac:dyDescent="0.25">
      <c r="B225" s="13">
        <v>244</v>
      </c>
      <c r="C225" s="14" t="s">
        <v>53</v>
      </c>
      <c r="D225" s="13">
        <v>1</v>
      </c>
      <c r="E225" s="22">
        <v>45916</v>
      </c>
      <c r="F225" s="22">
        <v>45916</v>
      </c>
      <c r="G225" s="20">
        <f>IFERROR(WEEKNUM(Table4[[#This Row],[Confirmed Pick-up Date]]),"TBD")</f>
        <v>38</v>
      </c>
      <c r="H225" s="20" t="str">
        <f>IFERROR(TEXT(Table4[[#This Row],[Confirmed Pick-up Date]],"yy-mm"),"TBD")</f>
        <v>25-09</v>
      </c>
      <c r="I225" s="13" t="s">
        <v>863</v>
      </c>
      <c r="J225" s="20" t="str">
        <f>IFERROR(VLOOKUP(Table4[[#This Row],[FromSite-UPS]],Table1[[#All],[Company or Name]:[FromSite3]],15,FALSE),"")</f>
        <v>Dusseldorf WWTP 2101</v>
      </c>
      <c r="K225" s="20" t="str">
        <f>IFERROR(VLOOKUP(Table4[[#This Row],[FromSite-UPS]],Table1[[#All],[Company or Name]:[FromSite3]],16,FALSE),"")</f>
        <v>Dusseldorf WWTP 601</v>
      </c>
      <c r="L225" s="20">
        <f>IFERROR(VLOOKUP(Table4[[#This Row],[FromSite-UPS]],Table1[[#All],[Company or Name]:[FromSite3]],14,FALSE),"")</f>
        <v>0.625</v>
      </c>
      <c r="M225" s="13" t="s">
        <v>1011</v>
      </c>
      <c r="N225" s="20" t="s">
        <v>134</v>
      </c>
      <c r="O225" s="20" t="s">
        <v>1494</v>
      </c>
      <c r="P225" s="100" t="s">
        <v>892</v>
      </c>
      <c r="Q225" s="100" t="s">
        <v>1636</v>
      </c>
      <c r="R225" s="20" t="s">
        <v>1577</v>
      </c>
      <c r="S225" s="20" t="s">
        <v>125</v>
      </c>
      <c r="T225" s="20" t="s">
        <v>110</v>
      </c>
      <c r="U225" s="20"/>
      <c r="V225" s="20"/>
      <c r="W225" s="20" t="str">
        <f>TEXT(Table4[[#This Row],[Confirmed Sampling Date]], "yyyy") &amp; "_" &amp; TEXT(Table4[[#This Row],[Confirmed Sampling Date]], "mm") &amp; "_" &amp; TEXT(Table4[[#This Row],[Confirmed Sampling Date]], "dd")</f>
        <v>2025_09_16</v>
      </c>
      <c r="X225" s="20" t="str">
        <f t="shared" si="3"/>
        <v>Dusseldorf</v>
      </c>
      <c r="Y225" s="20" t="str">
        <f>VLOOKUP(Table4[[#This Row],[FromSite-UPS]],Table1[[Company or Name]:[NOTES]],2,FALSE)</f>
        <v>Germany</v>
      </c>
      <c r="Z225" s="20">
        <f>IFERROR(WEEKNUM(Table4[[#This Row],[Confirmed Sampling Date]] - 10, 21), "TBD")</f>
        <v>36</v>
      </c>
      <c r="AA225" s="20" t="str">
        <f>_xlfn.XLOOKUP(Table4[[#This Row],[FromSite-UPS]],sites!D:D,sites!W:W,"",0)</f>
        <v>Auf dem Draap 15, Chemisch-Biologische Laboratorien, Dusseldorf, 40221, Germany</v>
      </c>
      <c r="AB225" s="20" t="str">
        <f>_xlfn.XLOOKUP(Table4[[#This Row],[ToLab]],labs!D:D,labs!P:P,"no adres",0)</f>
        <v>Av. Rovisco Pais 1, Laboratorio de Analises de Agua, Lisbon, 1049-001, Portugal</v>
      </c>
      <c r="AC225" s="20">
        <f>_xlfn.XLOOKUP(Table4[[#This Row],[combi]],AREA!E:E,AREA!F:F,"",0)</f>
        <v>89</v>
      </c>
      <c r="AD225" s="20" t="str">
        <f>_xlfn.XLOOKUP(Table4[[#This Row],[combi]],AREA!E:E,AREA!G:G,"",0)</f>
        <v>Pick-up service of hypothetic package as defined in the Tech. Specs. and delivery to lots
2 and 3 contractors according to Scenario 1</v>
      </c>
      <c r="AE225" s="20" t="s">
        <v>125</v>
      </c>
      <c r="AF225" s="20" t="str">
        <f>_xlfn.XLOOKUP(Table4[[#This Row],[FromSite-UPS]],sites!D:D,sites!AB:AB,"",0)&amp;_xlfn.XLOOKUP(Table4[[#This Row],[ToLab]],labs!D:D,labs!Q:Q,"",0)</f>
        <v>EUEU</v>
      </c>
    </row>
    <row r="226" spans="2:32" ht="15.6" hidden="1" customHeight="1" x14ac:dyDescent="0.25">
      <c r="B226" s="13">
        <v>256</v>
      </c>
      <c r="C226" s="14" t="s">
        <v>53</v>
      </c>
      <c r="D226" s="13">
        <v>1</v>
      </c>
      <c r="E226" s="131">
        <v>45916</v>
      </c>
      <c r="F226" s="131">
        <v>45916</v>
      </c>
      <c r="G226" s="20">
        <f>IFERROR(WEEKNUM(Table4[[#This Row],[Confirmed Pick-up Date]]),"TBD")</f>
        <v>38</v>
      </c>
      <c r="H226" s="20" t="str">
        <f>IFERROR(TEXT(Table4[[#This Row],[Confirmed Pick-up Date]],"yy-mm"),"TBD")</f>
        <v>25-09</v>
      </c>
      <c r="I226" s="67" t="s">
        <v>863</v>
      </c>
      <c r="J226" s="20" t="str">
        <f>IFERROR(VLOOKUP(Table4[[#This Row],[FromSite-UPS]],Table1[[#All],[Company or Name]:[FromSite3]],15,FALSE),"")</f>
        <v>Dusseldorf WWTP 2101</v>
      </c>
      <c r="K226" s="20" t="str">
        <f>IFERROR(VLOOKUP(Table4[[#This Row],[FromSite-UPS]],Table1[[#All],[Company or Name]:[FromSite3]],16,FALSE),"")</f>
        <v>Dusseldorf WWTP 601</v>
      </c>
      <c r="L226" s="20">
        <f>IFERROR(VLOOKUP(Table4[[#This Row],[FromSite-UPS]],Table1[[#All],[Company or Name]:[FromSite3]],14,FALSE),"")</f>
        <v>0.625</v>
      </c>
      <c r="M226" s="44" t="s">
        <v>1011</v>
      </c>
      <c r="N226" s="20" t="s">
        <v>134</v>
      </c>
      <c r="O226" s="20" t="s">
        <v>1495</v>
      </c>
      <c r="P226" s="100" t="s">
        <v>892</v>
      </c>
      <c r="Q226" s="100" t="s">
        <v>1636</v>
      </c>
      <c r="R226" s="20" t="s">
        <v>1578</v>
      </c>
      <c r="S226" s="20" t="s">
        <v>125</v>
      </c>
      <c r="T226" s="20" t="s">
        <v>110</v>
      </c>
      <c r="U226" s="20"/>
      <c r="V226" s="20"/>
      <c r="W226" s="20" t="str">
        <f>TEXT(Table4[[#This Row],[Confirmed Sampling Date]], "yyyy") &amp; "_" &amp; TEXT(Table4[[#This Row],[Confirmed Sampling Date]], "mm") &amp; "_" &amp; TEXT(Table4[[#This Row],[Confirmed Sampling Date]], "dd")</f>
        <v>2025_09_16</v>
      </c>
      <c r="X226" s="20" t="str">
        <f t="shared" si="3"/>
        <v>Dusseldorf</v>
      </c>
      <c r="Y226" s="20" t="str">
        <f>VLOOKUP(Table4[[#This Row],[FromSite-UPS]],Table1[[Company or Name]:[NOTES]],2,FALSE)</f>
        <v>Germany</v>
      </c>
      <c r="Z226" s="20">
        <f>IFERROR(WEEKNUM(Table4[[#This Row],[Confirmed Sampling Date]] - 10, 21), "TBD")</f>
        <v>36</v>
      </c>
      <c r="AA226" s="20" t="str">
        <f>_xlfn.XLOOKUP(Table4[[#This Row],[FromSite-UPS]],sites!D:D,sites!W:W,"",0)</f>
        <v>Auf dem Draap 15, Chemisch-Biologische Laboratorien, Dusseldorf, 40221, Germany</v>
      </c>
      <c r="AB226" s="20" t="str">
        <f>_xlfn.XLOOKUP(Table4[[#This Row],[ToLab]],labs!D:D,labs!P:P,"no adres",0)</f>
        <v>Av. Rovisco Pais 1, Laboratorio de Analises de Agua, Lisbon, 1049-001, Portugal</v>
      </c>
      <c r="AC226" s="20">
        <f>_xlfn.XLOOKUP(Table4[[#This Row],[combi]],AREA!E:E,AREA!F:F,"",0)</f>
        <v>89</v>
      </c>
      <c r="AD226" s="20" t="str">
        <f>_xlfn.XLOOKUP(Table4[[#This Row],[combi]],AREA!E:E,AREA!G:G,"",0)</f>
        <v>Pick-up service of hypothetic package as defined in the Tech. Specs. and delivery to lots
2 and 3 contractors according to Scenario 1</v>
      </c>
      <c r="AE226" s="20" t="s">
        <v>125</v>
      </c>
      <c r="AF226" s="20" t="str">
        <f>_xlfn.XLOOKUP(Table4[[#This Row],[FromSite-UPS]],sites!D:D,sites!AB:AB,"",0)&amp;_xlfn.XLOOKUP(Table4[[#This Row],[ToLab]],labs!D:D,labs!Q:Q,"",0)</f>
        <v>EUEU</v>
      </c>
    </row>
    <row r="227" spans="2:32" ht="15.6" hidden="1" customHeight="1" x14ac:dyDescent="0.25">
      <c r="B227" s="13">
        <v>513</v>
      </c>
      <c r="C227" s="14" t="s">
        <v>53</v>
      </c>
      <c r="D227" s="13">
        <v>1</v>
      </c>
      <c r="E227" s="22">
        <v>45916</v>
      </c>
      <c r="F227" s="22">
        <v>45916</v>
      </c>
      <c r="G227" s="20">
        <f>IFERROR(WEEKNUM(Table4[[#This Row],[Confirmed Pick-up Date]]),"TBD")</f>
        <v>38</v>
      </c>
      <c r="H227" s="20" t="str">
        <f>IFERROR(TEXT(Table4[[#This Row],[Confirmed Pick-up Date]],"yy-mm"),"TBD")</f>
        <v>25-09</v>
      </c>
      <c r="I227" s="67" t="s">
        <v>1125</v>
      </c>
      <c r="J227" s="20" t="str">
        <f>IFERROR(VLOOKUP(Table4[[#This Row],[FromSite-UPS]],Table1[[#All],[Company or Name]:[FromSite3]],15,FALSE),"")</f>
        <v>Cluj-SCBI</v>
      </c>
      <c r="K227" s="20" t="str">
        <f>IFERROR(VLOOKUP(Table4[[#This Row],[FromSite-UPS]],Table1[[#All],[Company or Name]:[FromSite3]],16,FALSE),"")</f>
        <v>-</v>
      </c>
      <c r="L227" s="20">
        <f>IFERROR(VLOOKUP(Table4[[#This Row],[FromSite-UPS]],Table1[[#All],[Company or Name]:[FromSite3]],14,FALSE),"")</f>
        <v>0.66666666666666663</v>
      </c>
      <c r="M227" s="13" t="s">
        <v>1011</v>
      </c>
      <c r="N227" s="20" t="s">
        <v>134</v>
      </c>
      <c r="O227" s="20" t="s">
        <v>1509</v>
      </c>
      <c r="P227" s="99" t="s">
        <v>892</v>
      </c>
      <c r="Q227" s="99" t="s">
        <v>1704</v>
      </c>
      <c r="R227" s="20" t="s">
        <v>1572</v>
      </c>
      <c r="S227" s="20" t="s">
        <v>125</v>
      </c>
      <c r="T227" s="20" t="s">
        <v>110</v>
      </c>
      <c r="U227" s="20"/>
      <c r="V227" s="20"/>
      <c r="W227" s="20" t="str">
        <f>TEXT(Table4[[#This Row],[Confirmed Sampling Date]], "yyyy") &amp; "_" &amp; TEXT(Table4[[#This Row],[Confirmed Sampling Date]], "mm") &amp; "_" &amp; TEXT(Table4[[#This Row],[Confirmed Sampling Date]], "dd")</f>
        <v>2025_09_16</v>
      </c>
      <c r="X227" s="20" t="str">
        <f t="shared" si="3"/>
        <v>Cluj-SCBI</v>
      </c>
      <c r="Y227" s="20" t="str">
        <f>VLOOKUP(Table4[[#This Row],[FromSite-UPS]],Table1[[Company or Name]:[NOTES]],2,FALSE)</f>
        <v>Romania</v>
      </c>
      <c r="Z227" s="20">
        <f>IFERROR(WEEKNUM(Table4[[#This Row],[Confirmed Sampling Date]] - 10, 21), "TBD")</f>
        <v>36</v>
      </c>
      <c r="AA227" s="20" t="str">
        <f>_xlfn.XLOOKUP(Table4[[#This Row],[FromSite-UPS]],sites!D:D,sites!W:W,"",0)</f>
        <v>Strada Iuliu Moldovan 23, Cluj-Napoca, 400003, Romania</v>
      </c>
      <c r="AB227" s="20" t="str">
        <f>_xlfn.XLOOKUP(Table4[[#This Row],[ToLab]],labs!D:D,labs!P:P,"no adres",0)</f>
        <v>Av. Rovisco Pais 1, Laboratorio de Analises de Agua, Lisbon, 1049-001, Portugal</v>
      </c>
      <c r="AC227" s="20">
        <f>_xlfn.XLOOKUP(Table4[[#This Row],[combi]],AREA!E:E,AREA!F:F,"",0)</f>
        <v>89</v>
      </c>
      <c r="AD227" s="20" t="str">
        <f>_xlfn.XLOOKUP(Table4[[#This Row],[combi]],AREA!E:E,AREA!G:G,"",0)</f>
        <v>Pick-up service of hypothetic package as defined in the Tech. Specs. and delivery to lots
2 and 3 contractors according to Scenario 1</v>
      </c>
      <c r="AE227" s="20" t="s">
        <v>125</v>
      </c>
      <c r="AF227" s="20" t="str">
        <f>_xlfn.XLOOKUP(Table4[[#This Row],[FromSite-UPS]],sites!D:D,sites!AB:AB,"",0)&amp;_xlfn.XLOOKUP(Table4[[#This Row],[ToLab]],labs!D:D,labs!Q:Q,"",0)</f>
        <v>EUEU</v>
      </c>
    </row>
    <row r="228" spans="2:32" ht="15.6" hidden="1" customHeight="1" x14ac:dyDescent="0.25">
      <c r="B228" s="13">
        <v>522</v>
      </c>
      <c r="C228" s="14" t="s">
        <v>53</v>
      </c>
      <c r="D228" s="13">
        <v>1</v>
      </c>
      <c r="E228" s="22">
        <v>45916</v>
      </c>
      <c r="F228" s="22">
        <v>45916</v>
      </c>
      <c r="G228" s="20">
        <f>IFERROR(WEEKNUM(Table4[[#This Row],[Confirmed Pick-up Date]]),"TBD")</f>
        <v>38</v>
      </c>
      <c r="H228" s="20" t="str">
        <f>IFERROR(TEXT(Table4[[#This Row],[Confirmed Pick-up Date]],"yy-mm"),"TBD")</f>
        <v>25-09</v>
      </c>
      <c r="I228" s="67" t="s">
        <v>1132</v>
      </c>
      <c r="J228" s="20" t="str">
        <f>IFERROR(VLOOKUP(Table4[[#This Row],[FromSite-UPS]],Table1[[#All],[Company or Name]:[FromSite3]],15,FALSE),"")</f>
        <v>Cluj-MNC</v>
      </c>
      <c r="K228" s="20" t="str">
        <f>IFERROR(VLOOKUP(Table4[[#This Row],[FromSite-UPS]],Table1[[#All],[Company or Name]:[FromSite3]],16,FALSE),"")</f>
        <v>-</v>
      </c>
      <c r="L228" s="20">
        <f>IFERROR(VLOOKUP(Table4[[#This Row],[FromSite-UPS]],Table1[[#All],[Company or Name]:[FromSite3]],14,FALSE),"")</f>
        <v>0.66666666666666663</v>
      </c>
      <c r="M228" s="13" t="s">
        <v>1011</v>
      </c>
      <c r="N228" s="20" t="s">
        <v>134</v>
      </c>
      <c r="O228" s="20" t="s">
        <v>1511</v>
      </c>
      <c r="P228" s="101" t="s">
        <v>892</v>
      </c>
      <c r="Q228" s="101" t="s">
        <v>1705</v>
      </c>
      <c r="R228" s="20" t="s">
        <v>1570</v>
      </c>
      <c r="S228" s="20" t="s">
        <v>125</v>
      </c>
      <c r="T228" s="20" t="s">
        <v>110</v>
      </c>
      <c r="U228" s="20"/>
      <c r="V228" s="20"/>
      <c r="W228" s="20" t="str">
        <f>TEXT(Table4[[#This Row],[Confirmed Sampling Date]], "yyyy") &amp; "_" &amp; TEXT(Table4[[#This Row],[Confirmed Sampling Date]], "mm") &amp; "_" &amp; TEXT(Table4[[#This Row],[Confirmed Sampling Date]], "dd")</f>
        <v>2025_09_16</v>
      </c>
      <c r="X228" s="20" t="str">
        <f t="shared" si="3"/>
        <v>Cluj-MNC</v>
      </c>
      <c r="Y228" s="20" t="str">
        <f>VLOOKUP(Table4[[#This Row],[FromSite-UPS]],Table1[[Company or Name]:[NOTES]],2,FALSE)</f>
        <v>Romania</v>
      </c>
      <c r="Z228" s="20">
        <f>IFERROR(WEEKNUM(Table4[[#This Row],[Confirmed Sampling Date]] - 10, 21), "TBD")</f>
        <v>36</v>
      </c>
      <c r="AA228" s="20" t="str">
        <f>_xlfn.XLOOKUP(Table4[[#This Row],[FromSite-UPS]],sites!D:D,sites!W:W,"",0)</f>
        <v>Strada Tăbăcarilor 11, Cluj-Napoca, 400139, Romania</v>
      </c>
      <c r="AB228" s="20" t="str">
        <f>_xlfn.XLOOKUP(Table4[[#This Row],[ToLab]],labs!D:D,labs!P:P,"no adres",0)</f>
        <v>Av. Rovisco Pais 1, Laboratorio de Analises de Agua, Lisbon, 1049-001, Portugal</v>
      </c>
      <c r="AC228" s="20">
        <f>_xlfn.XLOOKUP(Table4[[#This Row],[combi]],AREA!E:E,AREA!F:F,"",0)</f>
        <v>89</v>
      </c>
      <c r="AD228" s="20" t="str">
        <f>_xlfn.XLOOKUP(Table4[[#This Row],[combi]],AREA!E:E,AREA!G:G,"",0)</f>
        <v>Pick-up service of hypothetic package as defined in the Tech. Specs. and delivery to lots
2 and 3 contractors according to Scenario 1</v>
      </c>
      <c r="AE228" s="20" t="s">
        <v>125</v>
      </c>
      <c r="AF228" s="20" t="str">
        <f>_xlfn.XLOOKUP(Table4[[#This Row],[FromSite-UPS]],sites!D:D,sites!AB:AB,"",0)&amp;_xlfn.XLOOKUP(Table4[[#This Row],[ToLab]],labs!D:D,labs!Q:Q,"",0)</f>
        <v>EUEU</v>
      </c>
    </row>
    <row r="229" spans="2:32" ht="15.6" hidden="1" customHeight="1" x14ac:dyDescent="0.25">
      <c r="B229" s="13">
        <v>588</v>
      </c>
      <c r="C229" s="14" t="s">
        <v>53</v>
      </c>
      <c r="D229" s="13">
        <v>1</v>
      </c>
      <c r="E229" s="83">
        <v>45915</v>
      </c>
      <c r="F229" s="83">
        <v>45916</v>
      </c>
      <c r="G229" s="20">
        <f>IFERROR(WEEKNUM(Table4[[#This Row],[Confirmed Pick-up Date]]),"TBD")</f>
        <v>38</v>
      </c>
      <c r="H229" s="20" t="str">
        <f>IFERROR(TEXT(Table4[[#This Row],[Confirmed Pick-up Date]],"yy-mm"),"TBD")</f>
        <v>25-09</v>
      </c>
      <c r="I229" s="13" t="s">
        <v>1292</v>
      </c>
      <c r="J229" s="20" t="str">
        <f>IFERROR(VLOOKUP(Table4[[#This Row],[FromSite-UPS]],Table1[[#All],[Company or Name]:[FromSite3]],15,FALSE),"")</f>
        <v>Bologna WWTP</v>
      </c>
      <c r="K229" s="20" t="s">
        <v>127</v>
      </c>
      <c r="L229" s="20">
        <f>IFERROR(VLOOKUP(Table4[[#This Row],[FromSite-UPS]],Table1[[#All],[Company or Name]:[FromSite3]],14,FALSE),"")</f>
        <v>0.66666666666666663</v>
      </c>
      <c r="M229" s="13" t="s">
        <v>1011</v>
      </c>
      <c r="N229" s="20" t="s">
        <v>134</v>
      </c>
      <c r="O229" s="20" t="s">
        <v>1486</v>
      </c>
      <c r="P229" s="65" t="s">
        <v>892</v>
      </c>
      <c r="Q229" s="65" t="s">
        <v>1703</v>
      </c>
      <c r="R229" s="20" t="s">
        <v>1563</v>
      </c>
      <c r="S229" s="20" t="s">
        <v>125</v>
      </c>
      <c r="T229" s="20" t="s">
        <v>110</v>
      </c>
      <c r="U229" s="20"/>
      <c r="V229" s="20"/>
      <c r="W229" s="20" t="str">
        <f>TEXT(Table4[[#This Row],[Confirmed Sampling Date]], "yyyy") &amp; "_" &amp; TEXT(Table4[[#This Row],[Confirmed Sampling Date]], "mm") &amp; "_" &amp; TEXT(Table4[[#This Row],[Confirmed Sampling Date]], "dd")</f>
        <v>2025_09_15</v>
      </c>
      <c r="X229" s="20" t="str">
        <f t="shared" si="3"/>
        <v>Bologna</v>
      </c>
      <c r="Y229" s="20" t="str">
        <f>VLOOKUP(Table4[[#This Row],[FromSite-UPS]],Table1[[Company or Name]:[NOTES]],2,FALSE)</f>
        <v>Italy</v>
      </c>
      <c r="Z229" s="20">
        <f>IFERROR(WEEKNUM(Table4[[#This Row],[Confirmed Sampling Date]] - 10, 21), "TBD")</f>
        <v>36</v>
      </c>
      <c r="AA229" s="20" t="str">
        <f>_xlfn.XLOOKUP(Table4[[#This Row],[FromSite-UPS]],sites!D:D,sites!W:W,"",0)</f>
        <v>VIA SHAKESPEARE 29, Bologna, 40128, Italy</v>
      </c>
      <c r="AB229" s="20" t="str">
        <f>_xlfn.XLOOKUP(Table4[[#This Row],[ToLab]],labs!D:D,labs!P:P,"no adres",0)</f>
        <v>Av. Rovisco Pais 1, Laboratorio de Analises de Agua, Lisbon, 1049-001, Portugal</v>
      </c>
      <c r="AC229" s="20">
        <f>_xlfn.XLOOKUP(Table4[[#This Row],[combi]],AREA!E:E,AREA!F:F,"",0)</f>
        <v>89</v>
      </c>
      <c r="AD229" s="20" t="str">
        <f>_xlfn.XLOOKUP(Table4[[#This Row],[combi]],AREA!E:E,AREA!G:G,"",0)</f>
        <v>Pick-up service of hypothetic package as defined in the Tech. Specs. and delivery to lots
2 and 3 contractors according to Scenario 1</v>
      </c>
      <c r="AE229" s="20" t="s">
        <v>125</v>
      </c>
      <c r="AF229" s="20" t="str">
        <f>_xlfn.XLOOKUP(Table4[[#This Row],[FromSite-UPS]],sites!D:D,sites!AB:AB,"",0)&amp;_xlfn.XLOOKUP(Table4[[#This Row],[ToLab]],labs!D:D,labs!Q:Q,"",0)</f>
        <v>EUEU</v>
      </c>
    </row>
    <row r="230" spans="2:32" ht="15.6" hidden="1" customHeight="1" x14ac:dyDescent="0.25">
      <c r="B230" s="13">
        <v>28</v>
      </c>
      <c r="C230" s="14" t="s">
        <v>53</v>
      </c>
      <c r="D230" s="13">
        <v>1</v>
      </c>
      <c r="E230" s="22">
        <v>45916</v>
      </c>
      <c r="F230" s="22">
        <v>45917</v>
      </c>
      <c r="G230" s="20">
        <f>IFERROR(WEEKNUM(Table4[[#This Row],[Confirmed Pick-up Date]]),"TBD")</f>
        <v>38</v>
      </c>
      <c r="H230" s="20" t="str">
        <f>IFERROR(TEXT(Table4[[#This Row],[Confirmed Pick-up Date]],"yy-mm"),"TBD")</f>
        <v>25-09</v>
      </c>
      <c r="I230" s="13" t="s">
        <v>19</v>
      </c>
      <c r="J230" s="13" t="str">
        <f>IFERROR(VLOOKUP(Table4[[#This Row],[FromSite-UPS]],Table1[[#All],[Company or Name]:[FromSite3]],15,FALSE),"")</f>
        <v>Munich WWTP</v>
      </c>
      <c r="K230" s="20" t="str">
        <f>IFERROR(VLOOKUP(Table4[[#This Row],[FromSite-UPS]],Table1[[#All],[Company or Name]:[FromSite3]],16,FALSE),"")</f>
        <v>Munich Airport</v>
      </c>
      <c r="L230" s="20">
        <f>IFERROR(VLOOKUP(Table4[[#This Row],[FromSite-UPS]],Table1[[#All],[Company or Name]:[FromSite3]],14,FALSE),"")</f>
        <v>0.58333333333333337</v>
      </c>
      <c r="M230" s="13" t="s">
        <v>1011</v>
      </c>
      <c r="N230" s="20" t="s">
        <v>134</v>
      </c>
      <c r="O230" s="13" t="s">
        <v>1481</v>
      </c>
      <c r="P230" s="99" t="s">
        <v>892</v>
      </c>
      <c r="Q230" s="64" t="s">
        <v>1637</v>
      </c>
      <c r="R230" s="20" t="s">
        <v>1568</v>
      </c>
      <c r="S230" s="20" t="s">
        <v>125</v>
      </c>
      <c r="T230" s="20" t="s">
        <v>110</v>
      </c>
      <c r="U230" s="20"/>
      <c r="V230" s="20"/>
      <c r="W230" s="20" t="str">
        <f>TEXT(Table4[[#This Row],[Confirmed Sampling Date]], "yyyy") &amp; "_" &amp; TEXT(Table4[[#This Row],[Confirmed Sampling Date]], "mm") &amp; "_" &amp; TEXT(Table4[[#This Row],[Confirmed Sampling Date]], "dd")</f>
        <v>2025_09_16</v>
      </c>
      <c r="X230" s="20" t="str">
        <f t="shared" si="3"/>
        <v>Munich</v>
      </c>
      <c r="Y230" s="20" t="str">
        <f>VLOOKUP(Table4[[#This Row],[FromSite-UPS]],Table1[[Company or Name]:[NOTES]],2,FALSE)</f>
        <v>Germany</v>
      </c>
      <c r="Z230" s="20">
        <f>IFERROR(WEEKNUM(Table4[[#This Row],[Confirmed Sampling Date]] - 10, 21), "TBD")</f>
        <v>36</v>
      </c>
      <c r="AA230" s="20" t="str">
        <f>_xlfn.XLOOKUP(Table4[[#This Row],[FromSite-UPS]],sites!D:D,sites!W:W,"",0)</f>
        <v>Leopoldstrasse 5, Institut fuer Infektions- und Tropenmedizin, Munich, 80802, Germany</v>
      </c>
      <c r="AB230" s="20" t="str">
        <f>_xlfn.XLOOKUP(Table4[[#This Row],[ToLab]],labs!D:D,labs!P:P,"no adres",0)</f>
        <v>Av. Rovisco Pais 1, Laboratorio de Analises de Agua, Lisbon, 1049-001, Portugal</v>
      </c>
      <c r="AC230" s="20">
        <f>_xlfn.XLOOKUP(Table4[[#This Row],[combi]],AREA!E:E,AREA!F:F,"",0)</f>
        <v>89</v>
      </c>
      <c r="AD230" s="20" t="str">
        <f>_xlfn.XLOOKUP(Table4[[#This Row],[combi]],AREA!E:E,AREA!G:G,"",0)</f>
        <v>Pick-up service of hypothetic package as defined in the Tech. Specs. and delivery to lots
2 and 3 contractors according to Scenario 1</v>
      </c>
      <c r="AE230" s="20" t="s">
        <v>125</v>
      </c>
      <c r="AF230" s="20" t="str">
        <f>_xlfn.XLOOKUP(Table4[[#This Row],[FromSite-UPS]],sites!D:D,sites!AB:AB,"",0)&amp;_xlfn.XLOOKUP(Table4[[#This Row],[ToLab]],labs!D:D,labs!Q:Q,"",0)</f>
        <v>EUEU</v>
      </c>
    </row>
    <row r="231" spans="2:32" ht="15.6" hidden="1" customHeight="1" x14ac:dyDescent="0.25">
      <c r="B231" s="13">
        <v>42</v>
      </c>
      <c r="C231" s="14" t="s">
        <v>53</v>
      </c>
      <c r="D231" s="13">
        <v>1</v>
      </c>
      <c r="E231" s="22">
        <v>45916</v>
      </c>
      <c r="F231" s="22">
        <v>45917</v>
      </c>
      <c r="G231" s="20">
        <f>IFERROR(WEEKNUM(Table4[[#This Row],[Confirmed Pick-up Date]]),"TBD")</f>
        <v>38</v>
      </c>
      <c r="H231" s="20" t="str">
        <f>IFERROR(TEXT(Table4[[#This Row],[Confirmed Pick-up Date]],"yy-mm"),"TBD")</f>
        <v>25-09</v>
      </c>
      <c r="I231" s="64" t="s">
        <v>677</v>
      </c>
      <c r="J231" s="13" t="str">
        <f>IFERROR(VLOOKUP(Table4[[#This Row],[FromSite-UPS]],Table1[[#All],[Company or Name]:[FromSite3]],15,FALSE),"")</f>
        <v>Frankfurt WWTP</v>
      </c>
      <c r="K231" s="20" t="str">
        <f>IFERROR(VLOOKUP(Table4[[#This Row],[FromSite-UPS]],Table1[[#All],[Company or Name]:[FromSite3]],16,FALSE),"")</f>
        <v>Frankfurt Airport</v>
      </c>
      <c r="L231" s="20">
        <f>IFERROR(VLOOKUP(Table4[[#This Row],[FromSite-UPS]],Table1[[#All],[Company or Name]:[FromSite3]],14,FALSE),"")</f>
        <v>0.58333333333333337</v>
      </c>
      <c r="M231" s="13" t="s">
        <v>1011</v>
      </c>
      <c r="N231" s="20" t="s">
        <v>134</v>
      </c>
      <c r="O231" s="13" t="s">
        <v>1510</v>
      </c>
      <c r="P231" s="99" t="s">
        <v>892</v>
      </c>
      <c r="Q231" s="101" t="s">
        <v>1706</v>
      </c>
      <c r="R231" s="20" t="s">
        <v>1581</v>
      </c>
      <c r="S231" s="20" t="s">
        <v>125</v>
      </c>
      <c r="T231" s="20" t="s">
        <v>110</v>
      </c>
      <c r="U231" s="20"/>
      <c r="V231" s="20"/>
      <c r="W231" s="20" t="str">
        <f>TEXT(Table4[[#This Row],[Confirmed Sampling Date]], "yyyy") &amp; "_" &amp; TEXT(Table4[[#This Row],[Confirmed Sampling Date]], "mm") &amp; "_" &amp; TEXT(Table4[[#This Row],[Confirmed Sampling Date]], "dd")</f>
        <v>2025_09_16</v>
      </c>
      <c r="X231" s="20" t="str">
        <f t="shared" si="3"/>
        <v>Frankfurt</v>
      </c>
      <c r="Y231" s="20" t="str">
        <f>VLOOKUP(Table4[[#This Row],[FromSite-UPS]],Table1[[Company or Name]:[NOTES]],2,FALSE)</f>
        <v>Germany</v>
      </c>
      <c r="Z231" s="20">
        <f>IFERROR(WEEKNUM(Table4[[#This Row],[Confirmed Sampling Date]] - 10, 21), "TBD")</f>
        <v>36</v>
      </c>
      <c r="AA231" s="20" t="str">
        <f>_xlfn.XLOOKUP(Table4[[#This Row],[FromSite-UPS]],sites!D:D,sites!W:W,"",0)</f>
        <v>Goldsteinstraße 160, Gebäude 71 , Frankfurt am Main , 60528, Germany</v>
      </c>
      <c r="AB231" s="20" t="str">
        <f>_xlfn.XLOOKUP(Table4[[#This Row],[ToLab]],labs!D:D,labs!P:P,"no adres",0)</f>
        <v>Av. Rovisco Pais 1, Laboratorio de Analises de Agua, Lisbon, 1049-001, Portugal</v>
      </c>
      <c r="AC231" s="20">
        <f>_xlfn.XLOOKUP(Table4[[#This Row],[combi]],AREA!E:E,AREA!F:F,"",0)</f>
        <v>89</v>
      </c>
      <c r="AD231" s="20" t="str">
        <f>_xlfn.XLOOKUP(Table4[[#This Row],[combi]],AREA!E:E,AREA!G:G,"",0)</f>
        <v>Pick-up service of hypothetic package as defined in the Tech. Specs. and delivery to lots
2 and 3 contractors according to Scenario 1</v>
      </c>
      <c r="AE231" s="20" t="s">
        <v>125</v>
      </c>
      <c r="AF231" s="20" t="str">
        <f>_xlfn.XLOOKUP(Table4[[#This Row],[FromSite-UPS]],sites!D:D,sites!AB:AB,"",0)&amp;_xlfn.XLOOKUP(Table4[[#This Row],[ToLab]],labs!D:D,labs!Q:Q,"",0)</f>
        <v>EUEU</v>
      </c>
    </row>
    <row r="232" spans="2:32" ht="15.6" hidden="1" customHeight="1" x14ac:dyDescent="0.25">
      <c r="B232" s="13">
        <v>91</v>
      </c>
      <c r="C232" s="14" t="s">
        <v>53</v>
      </c>
      <c r="D232" s="13">
        <v>1</v>
      </c>
      <c r="E232" s="22">
        <v>45916</v>
      </c>
      <c r="F232" s="22">
        <v>45917</v>
      </c>
      <c r="G232" s="20">
        <f>IFERROR(WEEKNUM(Table4[[#This Row],[Confirmed Pick-up Date]]),"TBD")</f>
        <v>38</v>
      </c>
      <c r="H232" s="20" t="str">
        <f>IFERROR(TEXT(Table4[[#This Row],[Confirmed Pick-up Date]],"yy-mm"),"TBD")</f>
        <v>25-09</v>
      </c>
      <c r="I232" s="64" t="s">
        <v>19</v>
      </c>
      <c r="J232" s="20" t="str">
        <f>IFERROR(VLOOKUP(Table4[[#This Row],[FromSite-UPS]],Table1[[#All],[Company or Name]:[FromSite3]],15,FALSE),"")</f>
        <v>Munich WWTP</v>
      </c>
      <c r="K232" s="20" t="str">
        <f>IFERROR(VLOOKUP(Table4[[#This Row],[FromSite-UPS]],Table1[[#All],[Company or Name]:[FromSite3]],16,FALSE),"")</f>
        <v>Munich Airport</v>
      </c>
      <c r="L232" s="20">
        <f>IFERROR(VLOOKUP(Table4[[#This Row],[FromSite-UPS]],Table1[[#All],[Company or Name]:[FromSite3]],14,FALSE),"")</f>
        <v>0.58333333333333337</v>
      </c>
      <c r="M232" s="13" t="s">
        <v>1011</v>
      </c>
      <c r="N232" s="20" t="s">
        <v>134</v>
      </c>
      <c r="O232" s="13" t="s">
        <v>1487</v>
      </c>
      <c r="P232" s="64" t="s">
        <v>892</v>
      </c>
      <c r="Q232" s="64" t="s">
        <v>1637</v>
      </c>
      <c r="R232" s="20" t="s">
        <v>1569</v>
      </c>
      <c r="S232" s="20" t="s">
        <v>125</v>
      </c>
      <c r="T232" s="20" t="s">
        <v>110</v>
      </c>
      <c r="U232" s="20"/>
      <c r="V232" s="20"/>
      <c r="W232" s="20" t="str">
        <f>TEXT(Table4[[#This Row],[Confirmed Sampling Date]], "yyyy") &amp; "_" &amp; TEXT(Table4[[#This Row],[Confirmed Sampling Date]], "mm") &amp; "_" &amp; TEXT(Table4[[#This Row],[Confirmed Sampling Date]], "dd")</f>
        <v>2025_09_16</v>
      </c>
      <c r="X232" s="20" t="str">
        <f t="shared" si="3"/>
        <v>Munich</v>
      </c>
      <c r="Y232" s="20" t="str">
        <f>VLOOKUP(Table4[[#This Row],[FromSite-UPS]],Table1[[Company or Name]:[NOTES]],2,FALSE)</f>
        <v>Germany</v>
      </c>
      <c r="Z232" s="20">
        <f>IFERROR(WEEKNUM(Table4[[#This Row],[Confirmed Sampling Date]] - 10, 21), "TBD")</f>
        <v>36</v>
      </c>
      <c r="AA232" s="20" t="str">
        <f>_xlfn.XLOOKUP(Table4[[#This Row],[FromSite-UPS]],sites!D:D,sites!W:W,"",0)</f>
        <v>Leopoldstrasse 5, Institut fuer Infektions- und Tropenmedizin, Munich, 80802, Germany</v>
      </c>
      <c r="AB232" s="20" t="str">
        <f>_xlfn.XLOOKUP(Table4[[#This Row],[ToLab]],labs!D:D,labs!P:P,"no adres",0)</f>
        <v>Av. Rovisco Pais 1, Laboratorio de Analises de Agua, Lisbon, 1049-001, Portugal</v>
      </c>
      <c r="AC232" s="20">
        <f>_xlfn.XLOOKUP(Table4[[#This Row],[combi]],AREA!E:E,AREA!F:F,"",0)</f>
        <v>89</v>
      </c>
      <c r="AD232" s="20" t="str">
        <f>_xlfn.XLOOKUP(Table4[[#This Row],[combi]],AREA!E:E,AREA!G:G,"",0)</f>
        <v>Pick-up service of hypothetic package as defined in the Tech. Specs. and delivery to lots
2 and 3 contractors according to Scenario 1</v>
      </c>
      <c r="AE232" s="20" t="s">
        <v>125</v>
      </c>
      <c r="AF232" s="20" t="str">
        <f>_xlfn.XLOOKUP(Table4[[#This Row],[FromSite-UPS]],sites!D:D,sites!AB:AB,"",0)&amp;_xlfn.XLOOKUP(Table4[[#This Row],[ToLab]],labs!D:D,labs!Q:Q,"",0)</f>
        <v>EUEU</v>
      </c>
    </row>
    <row r="233" spans="2:32" ht="15.6" hidden="1" customHeight="1" x14ac:dyDescent="0.25">
      <c r="B233" s="13">
        <v>140</v>
      </c>
      <c r="C233" s="14" t="s">
        <v>53</v>
      </c>
      <c r="D233" s="13">
        <v>1</v>
      </c>
      <c r="E233" s="22">
        <v>45917</v>
      </c>
      <c r="F233" s="22">
        <v>45917</v>
      </c>
      <c r="G233" s="20">
        <f>IFERROR(WEEKNUM(Table4[[#This Row],[Confirmed Pick-up Date]]),"TBD")</f>
        <v>38</v>
      </c>
      <c r="H233" s="20" t="str">
        <f>IFERROR(TEXT(Table4[[#This Row],[Confirmed Pick-up Date]],"yy-mm"),"TBD")</f>
        <v>25-09</v>
      </c>
      <c r="I233" s="64" t="s">
        <v>680</v>
      </c>
      <c r="J233" s="20" t="str">
        <f>IFERROR(VLOOKUP(Table4[[#This Row],[FromSite-UPS]],Table1[[#All],[Company or Name]:[FromSite3]],15,FALSE),"")</f>
        <v>Rome WWTP</v>
      </c>
      <c r="K233" s="20" t="str">
        <f>IFERROR(VLOOKUP(Table4[[#This Row],[FromSite-UPS]],Table1[[#All],[Company or Name]:[FromSite3]],16,FALSE),"")</f>
        <v>-</v>
      </c>
      <c r="L233" s="20">
        <f>IFERROR(VLOOKUP(Table4[[#This Row],[FromSite-UPS]],Table1[[#All],[Company or Name]:[FromSite3]],14,FALSE),"")</f>
        <v>0.70833333333333337</v>
      </c>
      <c r="M233" s="13" t="s">
        <v>1011</v>
      </c>
      <c r="N233" s="20" t="s">
        <v>134</v>
      </c>
      <c r="O233" s="13" t="s">
        <v>1488</v>
      </c>
      <c r="P233" s="13" t="s">
        <v>892</v>
      </c>
      <c r="Q233" s="37" t="s">
        <v>1800</v>
      </c>
      <c r="R233" s="20" t="s">
        <v>1584</v>
      </c>
      <c r="S233" s="20" t="s">
        <v>125</v>
      </c>
      <c r="T233" s="20" t="s">
        <v>110</v>
      </c>
      <c r="U233" s="20"/>
      <c r="V233" s="20"/>
      <c r="W233" s="20" t="str">
        <f>TEXT(Table4[[#This Row],[Confirmed Sampling Date]], "yyyy") &amp; "_" &amp; TEXT(Table4[[#This Row],[Confirmed Sampling Date]], "mm") &amp; "_" &amp; TEXT(Table4[[#This Row],[Confirmed Sampling Date]], "dd")</f>
        <v>2025_09_17</v>
      </c>
      <c r="X233" s="20" t="str">
        <f t="shared" si="3"/>
        <v>Rome</v>
      </c>
      <c r="Y233" s="20" t="str">
        <f>VLOOKUP(Table4[[#This Row],[FromSite-UPS]],Table1[[Company or Name]:[NOTES]],2,FALSE)</f>
        <v>Italy</v>
      </c>
      <c r="Z233" s="20">
        <f>IFERROR(WEEKNUM(Table4[[#This Row],[Confirmed Sampling Date]] - 10, 21), "TBD")</f>
        <v>36</v>
      </c>
      <c r="AA233" s="20" t="str">
        <f>_xlfn.XLOOKUP(Table4[[#This Row],[FromSite-UPS]],sites!D:D,sites!W:W,"",0)</f>
        <v>Via dell'Equitazione 10, Rome, 00144, Italy</v>
      </c>
      <c r="AB233" s="20" t="str">
        <f>_xlfn.XLOOKUP(Table4[[#This Row],[ToLab]],labs!D:D,labs!P:P,"no adres",0)</f>
        <v>Av. Rovisco Pais 1, Laboratorio de Analises de Agua, Lisbon, 1049-001, Portugal</v>
      </c>
      <c r="AC233" s="20">
        <f>_xlfn.XLOOKUP(Table4[[#This Row],[combi]],AREA!E:E,AREA!F:F,"",0)</f>
        <v>89</v>
      </c>
      <c r="AD233" s="20" t="str">
        <f>_xlfn.XLOOKUP(Table4[[#This Row],[combi]],AREA!E:E,AREA!G:G,"",0)</f>
        <v>Pick-up service of hypothetic package as defined in the Tech. Specs. and delivery to lots
2 and 3 contractors according to Scenario 1</v>
      </c>
      <c r="AE233" s="20" t="s">
        <v>125</v>
      </c>
      <c r="AF233" s="20" t="str">
        <f>_xlfn.XLOOKUP(Table4[[#This Row],[FromSite-UPS]],sites!D:D,sites!AB:AB,"",0)&amp;_xlfn.XLOOKUP(Table4[[#This Row],[ToLab]],labs!D:D,labs!Q:Q,"",0)</f>
        <v>EUEU</v>
      </c>
    </row>
    <row r="234" spans="2:32" ht="15.6" hidden="1" customHeight="1" x14ac:dyDescent="0.25">
      <c r="B234" s="13">
        <v>154</v>
      </c>
      <c r="C234" s="14" t="s">
        <v>53</v>
      </c>
      <c r="D234" s="13">
        <v>1</v>
      </c>
      <c r="E234" s="22">
        <v>45917</v>
      </c>
      <c r="F234" s="22">
        <v>45917</v>
      </c>
      <c r="G234" s="20">
        <f>IFERROR(WEEKNUM(Table4[[#This Row],[Confirmed Pick-up Date]]),"TBD")</f>
        <v>38</v>
      </c>
      <c r="H234" s="20" t="str">
        <f>IFERROR(TEXT(Table4[[#This Row],[Confirmed Pick-up Date]],"yy-mm"),"TBD")</f>
        <v>25-09</v>
      </c>
      <c r="I234" s="64" t="s">
        <v>771</v>
      </c>
      <c r="J234" s="20" t="str">
        <f>IFERROR(VLOOKUP(Table4[[#This Row],[FromSite-UPS]],Table1[[#All],[Company or Name]:[FromSite3]],15,FALSE),"")</f>
        <v>RomeAirport</v>
      </c>
      <c r="K234" s="20" t="str">
        <f>IFERROR(VLOOKUP(Table4[[#This Row],[FromSite-UPS]],Table1[[#All],[Company or Name]:[FromSite3]],16,FALSE),"")</f>
        <v>-</v>
      </c>
      <c r="L234" s="20">
        <f>IFERROR(VLOOKUP(Table4[[#This Row],[FromSite-UPS]],Table1[[#All],[Company or Name]:[FromSite3]],14,FALSE),"")</f>
        <v>0.70833333333333337</v>
      </c>
      <c r="M234" s="13" t="s">
        <v>1011</v>
      </c>
      <c r="N234" s="20" t="s">
        <v>134</v>
      </c>
      <c r="O234" s="13" t="s">
        <v>1478</v>
      </c>
      <c r="P234" s="13" t="s">
        <v>892</v>
      </c>
      <c r="Q234" s="20" t="s">
        <v>1711</v>
      </c>
      <c r="R234" s="108" t="s">
        <v>1585</v>
      </c>
      <c r="S234" s="20" t="s">
        <v>125</v>
      </c>
      <c r="T234" s="20" t="s">
        <v>110</v>
      </c>
      <c r="U234" s="20"/>
      <c r="V234" s="20"/>
      <c r="W234" s="20" t="str">
        <f>TEXT(Table4[[#This Row],[Confirmed Sampling Date]], "yyyy") &amp; "_" &amp; TEXT(Table4[[#This Row],[Confirmed Sampling Date]], "mm") &amp; "_" &amp; TEXT(Table4[[#This Row],[Confirmed Sampling Date]], "dd")</f>
        <v>2025_09_17</v>
      </c>
      <c r="X234" s="20" t="str">
        <f t="shared" si="3"/>
        <v>RomeAirport</v>
      </c>
      <c r="Y234" s="20" t="str">
        <f>VLOOKUP(Table4[[#This Row],[FromSite-UPS]],Table1[[Company or Name]:[NOTES]],2,FALSE)</f>
        <v>Italy</v>
      </c>
      <c r="Z234" s="20">
        <f>IFERROR(WEEKNUM(Table4[[#This Row],[Confirmed Sampling Date]] - 10, 21), "TBD")</f>
        <v>36</v>
      </c>
      <c r="AA234" s="20" t="str">
        <f>_xlfn.XLOOKUP(Table4[[#This Row],[FromSite-UPS]],sites!D:D,sites!W:W,"",0)</f>
        <v>VIA FRATELLI WRIGHT (DEPURATORE BIOLOGICO), FIUMICINO, 00054, Italy</v>
      </c>
      <c r="AB234" s="20" t="str">
        <f>_xlfn.XLOOKUP(Table4[[#This Row],[ToLab]],labs!D:D,labs!P:P,"no adres",0)</f>
        <v>Av. Rovisco Pais 1, Laboratorio de Analises de Agua, Lisbon, 1049-001, Portugal</v>
      </c>
      <c r="AC234" s="20">
        <f>_xlfn.XLOOKUP(Table4[[#This Row],[combi]],AREA!E:E,AREA!F:F,"",0)</f>
        <v>89</v>
      </c>
      <c r="AD234" s="20" t="str">
        <f>_xlfn.XLOOKUP(Table4[[#This Row],[combi]],AREA!E:E,AREA!G:G,"",0)</f>
        <v>Pick-up service of hypothetic package as defined in the Tech. Specs. and delivery to lots
2 and 3 contractors according to Scenario 1</v>
      </c>
      <c r="AE234" s="20" t="s">
        <v>125</v>
      </c>
      <c r="AF234" s="20" t="str">
        <f>_xlfn.XLOOKUP(Table4[[#This Row],[FromSite-UPS]],sites!D:D,sites!AB:AB,"",0)&amp;_xlfn.XLOOKUP(Table4[[#This Row],[ToLab]],labs!D:D,labs!Q:Q,"",0)</f>
        <v>EUEU</v>
      </c>
    </row>
    <row r="235" spans="2:32" ht="15.6" hidden="1" customHeight="1" x14ac:dyDescent="0.25">
      <c r="B235" s="13">
        <v>185</v>
      </c>
      <c r="C235" s="14" t="s">
        <v>53</v>
      </c>
      <c r="D235" s="13">
        <v>1</v>
      </c>
      <c r="E235" s="22">
        <v>45916</v>
      </c>
      <c r="F235" s="22">
        <v>45917</v>
      </c>
      <c r="G235" s="20">
        <f>IFERROR(WEEKNUM(Table4[[#This Row],[Confirmed Pick-up Date]]),"TBD")</f>
        <v>38</v>
      </c>
      <c r="H235" s="20" t="str">
        <f>IFERROR(TEXT(Table4[[#This Row],[Confirmed Pick-up Date]],"yy-mm"),"TBD")</f>
        <v>25-09</v>
      </c>
      <c r="I235" s="64" t="s">
        <v>877</v>
      </c>
      <c r="J235" s="20" t="str">
        <f>IFERROR(VLOOKUP(Table4[[#This Row],[FromSite-UPS]],Table1[[#All],[Company or Name]:[FromSite3]],15,FALSE),"")</f>
        <v>Prague National Institute</v>
      </c>
      <c r="K235" s="20" t="str">
        <f>IFERROR(VLOOKUP(Table4[[#This Row],[FromSite-UPS]],Table1[[#All],[Company or Name]:[FromSite3]],16,FALSE),"")</f>
        <v>Prague WWTP FLOW 1</v>
      </c>
      <c r="L235" s="20">
        <f>IFERROR(VLOOKUP(Table4[[#This Row],[FromSite-UPS]],Table1[[#All],[Company or Name]:[FromSite3]],14,FALSE),"")</f>
        <v>0</v>
      </c>
      <c r="M235" s="13" t="s">
        <v>1011</v>
      </c>
      <c r="N235" s="20" t="s">
        <v>134</v>
      </c>
      <c r="O235" s="13" t="s">
        <v>1482</v>
      </c>
      <c r="P235" s="100" t="s">
        <v>892</v>
      </c>
      <c r="Q235" s="100" t="s">
        <v>1638</v>
      </c>
      <c r="R235" s="20" t="s">
        <v>1574</v>
      </c>
      <c r="S235" s="20" t="s">
        <v>125</v>
      </c>
      <c r="T235" s="20" t="s">
        <v>110</v>
      </c>
      <c r="U235" s="20"/>
      <c r="V235" s="20"/>
      <c r="W235" s="20" t="str">
        <f>TEXT(Table4[[#This Row],[Confirmed Sampling Date]], "yyyy") &amp; "_" &amp; TEXT(Table4[[#This Row],[Confirmed Sampling Date]], "mm") &amp; "_" &amp; TEXT(Table4[[#This Row],[Confirmed Sampling Date]], "dd")</f>
        <v>2025_09_16</v>
      </c>
      <c r="X235" s="20" t="str">
        <f t="shared" si="3"/>
        <v>Prague</v>
      </c>
      <c r="Y235" s="20" t="str">
        <f>VLOOKUP(Table4[[#This Row],[FromSite-UPS]],Table1[[Company or Name]:[NOTES]],2,FALSE)</f>
        <v>Czech Republic</v>
      </c>
      <c r="Z235" s="20">
        <f>IFERROR(WEEKNUM(Table4[[#This Row],[Confirmed Sampling Date]] - 10, 21), "TBD")</f>
        <v>36</v>
      </c>
      <c r="AA235" s="20" t="str">
        <f>_xlfn.XLOOKUP(Table4[[#This Row],[FromSite-UPS]],sites!D:D,sites!W:W,"",0)</f>
        <v>Šrobárova 49/48, Státní zdravotní ústav, Praha, 100 00, Czech Republic</v>
      </c>
      <c r="AB235" s="20" t="str">
        <f>_xlfn.XLOOKUP(Table4[[#This Row],[ToLab]],labs!D:D,labs!P:P,"no adres",0)</f>
        <v>Av. Rovisco Pais 1, Laboratorio de Analises de Agua, Lisbon, 1049-001, Portugal</v>
      </c>
      <c r="AC235" s="20">
        <f>_xlfn.XLOOKUP(Table4[[#This Row],[combi]],AREA!E:E,AREA!F:F,"",0)</f>
        <v>89</v>
      </c>
      <c r="AD235" s="20" t="str">
        <f>_xlfn.XLOOKUP(Table4[[#This Row],[combi]],AREA!E:E,AREA!G:G,"",0)</f>
        <v>Pick-up service of hypothetic package as defined in the Tech. Specs. and delivery to lots
2 and 3 contractors according to Scenario 1</v>
      </c>
      <c r="AE235" s="20" t="s">
        <v>125</v>
      </c>
      <c r="AF235" s="20" t="str">
        <f>_xlfn.XLOOKUP(Table4[[#This Row],[FromSite-UPS]],sites!D:D,sites!AB:AB,"",0)&amp;_xlfn.XLOOKUP(Table4[[#This Row],[ToLab]],labs!D:D,labs!Q:Q,"",0)</f>
        <v>EUEU</v>
      </c>
    </row>
    <row r="236" spans="2:32" ht="15.6" hidden="1" customHeight="1" x14ac:dyDescent="0.25">
      <c r="B236" s="13">
        <v>186</v>
      </c>
      <c r="C236" s="14" t="s">
        <v>53</v>
      </c>
      <c r="D236" s="13">
        <v>1</v>
      </c>
      <c r="E236" s="24">
        <v>45916</v>
      </c>
      <c r="F236" s="24">
        <v>45917</v>
      </c>
      <c r="G236" s="20">
        <f>IFERROR(WEEKNUM(Table4[[#This Row],[Confirmed Pick-up Date]]),"TBD")</f>
        <v>38</v>
      </c>
      <c r="H236" s="20" t="str">
        <f>IFERROR(TEXT(Table4[[#This Row],[Confirmed Pick-up Date]],"yy-mm"),"TBD")</f>
        <v>25-09</v>
      </c>
      <c r="I236" s="99" t="s">
        <v>877</v>
      </c>
      <c r="J236" s="20" t="str">
        <f>IFERROR(VLOOKUP(Table4[[#This Row],[FromSite-UPS]],Table1[[#All],[Company or Name]:[FromSite3]],15,FALSE),"")</f>
        <v>Prague National Institute</v>
      </c>
      <c r="K236" s="20" t="str">
        <f>IFERROR(VLOOKUP(Table4[[#This Row],[FromSite-UPS]],Table1[[#All],[Company or Name]:[FromSite3]],16,FALSE),"")</f>
        <v>Prague WWTP FLOW 1</v>
      </c>
      <c r="L236" s="20">
        <f>IFERROR(VLOOKUP(Table4[[#This Row],[FromSite-UPS]],Table1[[#All],[Company or Name]:[FromSite3]],14,FALSE),"")</f>
        <v>0</v>
      </c>
      <c r="M236" s="13" t="s">
        <v>1011</v>
      </c>
      <c r="N236" s="20" t="s">
        <v>134</v>
      </c>
      <c r="O236" s="13" t="s">
        <v>1483</v>
      </c>
      <c r="P236" s="100" t="s">
        <v>892</v>
      </c>
      <c r="Q236" s="100" t="s">
        <v>1638</v>
      </c>
      <c r="R236" s="20" t="s">
        <v>1573</v>
      </c>
      <c r="S236" s="20" t="s">
        <v>125</v>
      </c>
      <c r="T236" s="20" t="s">
        <v>110</v>
      </c>
      <c r="U236" s="20"/>
      <c r="V236" s="20"/>
      <c r="W236" s="20" t="str">
        <f>TEXT(Table4[[#This Row],[Confirmed Sampling Date]], "yyyy") &amp; "_" &amp; TEXT(Table4[[#This Row],[Confirmed Sampling Date]], "mm") &amp; "_" &amp; TEXT(Table4[[#This Row],[Confirmed Sampling Date]], "dd")</f>
        <v>2025_09_16</v>
      </c>
      <c r="X236" s="20" t="str">
        <f t="shared" si="3"/>
        <v>Prague</v>
      </c>
      <c r="Y236" s="20" t="str">
        <f>VLOOKUP(Table4[[#This Row],[FromSite-UPS]],Table1[[Company or Name]:[NOTES]],2,FALSE)</f>
        <v>Czech Republic</v>
      </c>
      <c r="Z236" s="20">
        <f>IFERROR(WEEKNUM(Table4[[#This Row],[Confirmed Sampling Date]] - 10, 21), "TBD")</f>
        <v>36</v>
      </c>
      <c r="AA236" s="20" t="str">
        <f>_xlfn.XLOOKUP(Table4[[#This Row],[FromSite-UPS]],sites!D:D,sites!W:W,"",0)</f>
        <v>Šrobárova 49/48, Státní zdravotní ústav, Praha, 100 00, Czech Republic</v>
      </c>
      <c r="AB236" s="20" t="str">
        <f>_xlfn.XLOOKUP(Table4[[#This Row],[ToLab]],labs!D:D,labs!P:P,"no adres",0)</f>
        <v>Av. Rovisco Pais 1, Laboratorio de Analises de Agua, Lisbon, 1049-001, Portugal</v>
      </c>
      <c r="AC236" s="20">
        <f>_xlfn.XLOOKUP(Table4[[#This Row],[combi]],AREA!E:E,AREA!F:F,"",0)</f>
        <v>89</v>
      </c>
      <c r="AD236" s="20" t="str">
        <f>_xlfn.XLOOKUP(Table4[[#This Row],[combi]],AREA!E:E,AREA!G:G,"",0)</f>
        <v>Pick-up service of hypothetic package as defined in the Tech. Specs. and delivery to lots
2 and 3 contractors according to Scenario 1</v>
      </c>
      <c r="AE236" s="20" t="s">
        <v>125</v>
      </c>
      <c r="AF236" s="20" t="str">
        <f>_xlfn.XLOOKUP(Table4[[#This Row],[FromSite-UPS]],sites!D:D,sites!AB:AB,"",0)&amp;_xlfn.XLOOKUP(Table4[[#This Row],[ToLab]],labs!D:D,labs!Q:Q,"",0)</f>
        <v>EUEU</v>
      </c>
    </row>
    <row r="237" spans="2:32" ht="15.6" hidden="1" customHeight="1" x14ac:dyDescent="0.25">
      <c r="B237" s="13">
        <v>187</v>
      </c>
      <c r="C237" s="14" t="s">
        <v>53</v>
      </c>
      <c r="D237" s="13">
        <v>1</v>
      </c>
      <c r="E237" s="24">
        <v>45916</v>
      </c>
      <c r="F237" s="24">
        <v>45917</v>
      </c>
      <c r="G237" s="20">
        <f>IFERROR(WEEKNUM(Table4[[#This Row],[Confirmed Pick-up Date]]),"TBD")</f>
        <v>38</v>
      </c>
      <c r="H237" s="20" t="str">
        <f>IFERROR(TEXT(Table4[[#This Row],[Confirmed Pick-up Date]],"yy-mm"),"TBD")</f>
        <v>25-09</v>
      </c>
      <c r="I237" s="99" t="s">
        <v>877</v>
      </c>
      <c r="J237" s="20" t="str">
        <f>IFERROR(VLOOKUP(Table4[[#This Row],[FromSite-UPS]],Table1[[#All],[Company or Name]:[FromSite3]],15,FALSE),"")</f>
        <v>Prague National Institute</v>
      </c>
      <c r="K237" s="20" t="str">
        <f>IFERROR(VLOOKUP(Table4[[#This Row],[FromSite-UPS]],Table1[[#All],[Company or Name]:[FromSite3]],16,FALSE),"")</f>
        <v>Prague WWTP FLOW 1</v>
      </c>
      <c r="L237" s="20">
        <f>IFERROR(VLOOKUP(Table4[[#This Row],[FromSite-UPS]],Table1[[#All],[Company or Name]:[FromSite3]],14,FALSE),"")</f>
        <v>0</v>
      </c>
      <c r="M237" s="13" t="s">
        <v>1011</v>
      </c>
      <c r="N237" s="20" t="s">
        <v>134</v>
      </c>
      <c r="O237" s="13" t="s">
        <v>1484</v>
      </c>
      <c r="P237" s="100" t="s">
        <v>892</v>
      </c>
      <c r="Q237" s="100" t="s">
        <v>1638</v>
      </c>
      <c r="R237" s="20" t="s">
        <v>1571</v>
      </c>
      <c r="S237" s="20" t="s">
        <v>125</v>
      </c>
      <c r="T237" s="20" t="s">
        <v>110</v>
      </c>
      <c r="U237" s="20"/>
      <c r="V237" s="20"/>
      <c r="W237" s="20" t="str">
        <f>TEXT(Table4[[#This Row],[Confirmed Sampling Date]], "yyyy") &amp; "_" &amp; TEXT(Table4[[#This Row],[Confirmed Sampling Date]], "mm") &amp; "_" &amp; TEXT(Table4[[#This Row],[Confirmed Sampling Date]], "dd")</f>
        <v>2025_09_16</v>
      </c>
      <c r="X237" s="20" t="str">
        <f t="shared" si="3"/>
        <v>Prague</v>
      </c>
      <c r="Y237" s="20" t="str">
        <f>VLOOKUP(Table4[[#This Row],[FromSite-UPS]],Table1[[Company or Name]:[NOTES]],2,FALSE)</f>
        <v>Czech Republic</v>
      </c>
      <c r="Z237" s="20">
        <f>IFERROR(WEEKNUM(Table4[[#This Row],[Confirmed Sampling Date]] - 10, 21), "TBD")</f>
        <v>36</v>
      </c>
      <c r="AA237" s="20" t="str">
        <f>_xlfn.XLOOKUP(Table4[[#This Row],[FromSite-UPS]],sites!D:D,sites!W:W,"",0)</f>
        <v>Šrobárova 49/48, Státní zdravotní ústav, Praha, 100 00, Czech Republic</v>
      </c>
      <c r="AB237" s="20" t="str">
        <f>_xlfn.XLOOKUP(Table4[[#This Row],[ToLab]],labs!D:D,labs!P:P,"no adres",0)</f>
        <v>Av. Rovisco Pais 1, Laboratorio de Analises de Agua, Lisbon, 1049-001, Portugal</v>
      </c>
      <c r="AC237" s="20">
        <f>_xlfn.XLOOKUP(Table4[[#This Row],[combi]],AREA!E:E,AREA!F:F,"",0)</f>
        <v>89</v>
      </c>
      <c r="AD237" s="20" t="str">
        <f>_xlfn.XLOOKUP(Table4[[#This Row],[combi]],AREA!E:E,AREA!G:G,"",0)</f>
        <v>Pick-up service of hypothetic package as defined in the Tech. Specs. and delivery to lots
2 and 3 contractors according to Scenario 1</v>
      </c>
      <c r="AE237" s="20" t="s">
        <v>125</v>
      </c>
      <c r="AF237" s="20" t="str">
        <f>_xlfn.XLOOKUP(Table4[[#This Row],[FromSite-UPS]],sites!D:D,sites!AB:AB,"",0)&amp;_xlfn.XLOOKUP(Table4[[#This Row],[ToLab]],labs!D:D,labs!Q:Q,"",0)</f>
        <v>EUEU</v>
      </c>
    </row>
    <row r="238" spans="2:32" ht="15.6" hidden="1" customHeight="1" x14ac:dyDescent="0.25">
      <c r="B238" s="13">
        <v>188</v>
      </c>
      <c r="C238" s="14" t="s">
        <v>53</v>
      </c>
      <c r="D238" s="13">
        <v>1</v>
      </c>
      <c r="E238" s="24">
        <v>45916</v>
      </c>
      <c r="F238" s="24">
        <v>45917</v>
      </c>
      <c r="G238" s="20">
        <f>IFERROR(WEEKNUM(Table4[[#This Row],[Confirmed Pick-up Date]]),"TBD")</f>
        <v>38</v>
      </c>
      <c r="H238" s="20" t="str">
        <f>IFERROR(TEXT(Table4[[#This Row],[Confirmed Pick-up Date]],"yy-mm"),"TBD")</f>
        <v>25-09</v>
      </c>
      <c r="I238" s="64" t="s">
        <v>877</v>
      </c>
      <c r="J238" s="20" t="str">
        <f>IFERROR(VLOOKUP(Table4[[#This Row],[FromSite-UPS]],Table1[[#All],[Company or Name]:[FromSite3]],15,FALSE),"")</f>
        <v>Prague National Institute</v>
      </c>
      <c r="K238" s="20" t="str">
        <f>IFERROR(VLOOKUP(Table4[[#This Row],[FromSite-UPS]],Table1[[#All],[Company or Name]:[FromSite3]],16,FALSE),"")</f>
        <v>Prague WWTP FLOW 1</v>
      </c>
      <c r="L238" s="20">
        <f>IFERROR(VLOOKUP(Table4[[#This Row],[FromSite-UPS]],Table1[[#All],[Company or Name]:[FromSite3]],14,FALSE),"")</f>
        <v>0</v>
      </c>
      <c r="M238" s="13" t="s">
        <v>1011</v>
      </c>
      <c r="N238" s="20" t="s">
        <v>134</v>
      </c>
      <c r="O238" s="13" t="s">
        <v>1485</v>
      </c>
      <c r="P238" s="100" t="s">
        <v>892</v>
      </c>
      <c r="Q238" s="100" t="s">
        <v>1638</v>
      </c>
      <c r="R238" s="20" t="s">
        <v>1576</v>
      </c>
      <c r="S238" s="20" t="s">
        <v>125</v>
      </c>
      <c r="T238" s="20" t="s">
        <v>110</v>
      </c>
      <c r="U238" s="20"/>
      <c r="V238" s="20"/>
      <c r="W238" s="20" t="str">
        <f>TEXT(Table4[[#This Row],[Confirmed Sampling Date]], "yyyy") &amp; "_" &amp; TEXT(Table4[[#This Row],[Confirmed Sampling Date]], "mm") &amp; "_" &amp; TEXT(Table4[[#This Row],[Confirmed Sampling Date]], "dd")</f>
        <v>2025_09_16</v>
      </c>
      <c r="X238" s="20" t="str">
        <f t="shared" si="3"/>
        <v>Prague</v>
      </c>
      <c r="Y238" s="20" t="str">
        <f>VLOOKUP(Table4[[#This Row],[FromSite-UPS]],Table1[[Company or Name]:[NOTES]],2,FALSE)</f>
        <v>Czech Republic</v>
      </c>
      <c r="Z238" s="20">
        <f>IFERROR(WEEKNUM(Table4[[#This Row],[Confirmed Sampling Date]] - 10, 21), "TBD")</f>
        <v>36</v>
      </c>
      <c r="AA238" s="20" t="str">
        <f>_xlfn.XLOOKUP(Table4[[#This Row],[FromSite-UPS]],sites!D:D,sites!W:W,"",0)</f>
        <v>Šrobárova 49/48, Státní zdravotní ústav, Praha, 100 00, Czech Republic</v>
      </c>
      <c r="AB238" s="20" t="str">
        <f>_xlfn.XLOOKUP(Table4[[#This Row],[ToLab]],labs!D:D,labs!P:P,"no adres",0)</f>
        <v>Av. Rovisco Pais 1, Laboratorio de Analises de Agua, Lisbon, 1049-001, Portugal</v>
      </c>
      <c r="AC238" s="20">
        <f>_xlfn.XLOOKUP(Table4[[#This Row],[combi]],AREA!E:E,AREA!F:F,"",0)</f>
        <v>89</v>
      </c>
      <c r="AD238" s="20" t="str">
        <f>_xlfn.XLOOKUP(Table4[[#This Row],[combi]],AREA!E:E,AREA!G:G,"",0)</f>
        <v>Pick-up service of hypothetic package as defined in the Tech. Specs. and delivery to lots
2 and 3 contractors according to Scenario 1</v>
      </c>
      <c r="AE238" s="20" t="s">
        <v>125</v>
      </c>
      <c r="AF238" s="20" t="str">
        <f>_xlfn.XLOOKUP(Table4[[#This Row],[FromSite-UPS]],sites!D:D,sites!AB:AB,"",0)&amp;_xlfn.XLOOKUP(Table4[[#This Row],[ToLab]],labs!D:D,labs!Q:Q,"",0)</f>
        <v>EUEU</v>
      </c>
    </row>
    <row r="239" spans="2:32" ht="15.6" hidden="1" customHeight="1" x14ac:dyDescent="0.25">
      <c r="B239" s="13">
        <v>219</v>
      </c>
      <c r="C239" s="14" t="s">
        <v>53</v>
      </c>
      <c r="D239" s="13">
        <v>1</v>
      </c>
      <c r="E239" s="24">
        <v>45916</v>
      </c>
      <c r="F239" s="24">
        <v>45917</v>
      </c>
      <c r="G239" s="20">
        <f>IFERROR(WEEKNUM(Table4[[#This Row],[Confirmed Pick-up Date]]),"TBD")</f>
        <v>38</v>
      </c>
      <c r="H239" s="20" t="str">
        <f>IFERROR(TEXT(Table4[[#This Row],[Confirmed Pick-up Date]],"yy-mm"),"TBD")</f>
        <v>25-09</v>
      </c>
      <c r="I239" s="64" t="s">
        <v>779</v>
      </c>
      <c r="J239" s="20" t="str">
        <f>IFERROR(VLOOKUP(Table4[[#This Row],[FromSite-UPS]],Table1[[#All],[Company or Name]:[FromSite3]],15,FALSE),"")</f>
        <v>Larnaca WWTP</v>
      </c>
      <c r="K239" s="20" t="str">
        <f>IFERROR(VLOOKUP(Table4[[#This Row],[FromSite-UPS]],Table1[[#All],[Company or Name]:[FromSite3]],16,FALSE),"")</f>
        <v>Larnaca Airport</v>
      </c>
      <c r="L239" s="20">
        <f>IFERROR(VLOOKUP(Table4[[#This Row],[FromSite-UPS]],Table1[[#All],[Company or Name]:[FromSite3]],14,FALSE),"")</f>
        <v>0.54166666666666663</v>
      </c>
      <c r="M239" s="13" t="s">
        <v>1011</v>
      </c>
      <c r="N239" s="20" t="s">
        <v>134</v>
      </c>
      <c r="O239" s="13" t="s">
        <v>1479</v>
      </c>
      <c r="P239" s="98" t="s">
        <v>892</v>
      </c>
      <c r="Q239" s="98" t="s">
        <v>1707</v>
      </c>
      <c r="R239" s="20" t="s">
        <v>1566</v>
      </c>
      <c r="S239" s="20" t="s">
        <v>125</v>
      </c>
      <c r="T239" s="20" t="s">
        <v>110</v>
      </c>
      <c r="U239" s="20"/>
      <c r="V239" s="20"/>
      <c r="W239" s="20" t="str">
        <f>TEXT(Table4[[#This Row],[Confirmed Sampling Date]], "yyyy") &amp; "_" &amp; TEXT(Table4[[#This Row],[Confirmed Sampling Date]], "mm") &amp; "_" &amp; TEXT(Table4[[#This Row],[Confirmed Sampling Date]], "dd")</f>
        <v>2025_09_16</v>
      </c>
      <c r="X239" s="20" t="str">
        <f t="shared" si="3"/>
        <v>Larnaca</v>
      </c>
      <c r="Y239" s="20" t="str">
        <f>VLOOKUP(Table4[[#This Row],[FromSite-UPS]],Table1[[Company or Name]:[NOTES]],2,FALSE)</f>
        <v>Cyprus</v>
      </c>
      <c r="Z239" s="20">
        <f>IFERROR(WEEKNUM(Table4[[#This Row],[Confirmed Sampling Date]] - 10, 21), "TBD")</f>
        <v>36</v>
      </c>
      <c r="AA239" s="20" t="str">
        <f>_xlfn.XLOOKUP(Table4[[#This Row],[FromSite-UPS]],sites!D:D,sites!W:W,"",0)</f>
        <v>Adamantiou Korai street 12, Larnaca District Local Government Organization offices, Larnaca, 6010, Cyprus</v>
      </c>
      <c r="AB239" s="20" t="str">
        <f>_xlfn.XLOOKUP(Table4[[#This Row],[ToLab]],labs!D:D,labs!P:P,"no adres",0)</f>
        <v>Av. Rovisco Pais 1, Laboratorio de Analises de Agua, Lisbon, 1049-001, Portugal</v>
      </c>
      <c r="AC239" s="20">
        <f>_xlfn.XLOOKUP(Table4[[#This Row],[combi]],AREA!E:E,AREA!F:F,"",0)</f>
        <v>89</v>
      </c>
      <c r="AD239" s="20" t="str">
        <f>_xlfn.XLOOKUP(Table4[[#This Row],[combi]],AREA!E:E,AREA!G:G,"",0)</f>
        <v>Pick-up service of hypothetic package as defined in the Tech. Specs. and delivery to lots
2 and 3 contractors according to Scenario 1</v>
      </c>
      <c r="AE239" s="20" t="s">
        <v>125</v>
      </c>
      <c r="AF239" s="20" t="str">
        <f>_xlfn.XLOOKUP(Table4[[#This Row],[FromSite-UPS]],sites!D:D,sites!AB:AB,"",0)&amp;_xlfn.XLOOKUP(Table4[[#This Row],[ToLab]],labs!D:D,labs!Q:Q,"",0)</f>
        <v>EUEU</v>
      </c>
    </row>
    <row r="240" spans="2:32" ht="15.6" hidden="1" customHeight="1" x14ac:dyDescent="0.25">
      <c r="B240" s="13">
        <v>232</v>
      </c>
      <c r="C240" s="14" t="s">
        <v>53</v>
      </c>
      <c r="D240" s="13">
        <v>1</v>
      </c>
      <c r="E240" s="24">
        <v>45916</v>
      </c>
      <c r="F240" s="24">
        <v>45917</v>
      </c>
      <c r="G240" s="20">
        <f>IFERROR(WEEKNUM(Table4[[#This Row],[Confirmed Pick-up Date]]),"TBD")</f>
        <v>38</v>
      </c>
      <c r="H240" s="20" t="str">
        <f>IFERROR(TEXT(Table4[[#This Row],[Confirmed Pick-up Date]],"yy-mm"),"TBD")</f>
        <v>25-09</v>
      </c>
      <c r="I240" s="64" t="s">
        <v>779</v>
      </c>
      <c r="J240" s="20" t="str">
        <f>IFERROR(VLOOKUP(Table4[[#This Row],[FromSite-UPS]],Table1[[#All],[Company or Name]:[FromSite3]],15,FALSE),"")</f>
        <v>Larnaca WWTP</v>
      </c>
      <c r="K240" s="20" t="str">
        <f>IFERROR(VLOOKUP(Table4[[#This Row],[FromSite-UPS]],Table1[[#All],[Company or Name]:[FromSite3]],16,FALSE),"")</f>
        <v>Larnaca Airport</v>
      </c>
      <c r="L240" s="20">
        <f>IFERROR(VLOOKUP(Table4[[#This Row],[FromSite-UPS]],Table1[[#All],[Company or Name]:[FromSite3]],14,FALSE),"")</f>
        <v>0.54166666666666663</v>
      </c>
      <c r="M240" s="13" t="s">
        <v>1011</v>
      </c>
      <c r="N240" s="20" t="s">
        <v>134</v>
      </c>
      <c r="O240" s="20" t="s">
        <v>1480</v>
      </c>
      <c r="P240" s="99" t="s">
        <v>892</v>
      </c>
      <c r="Q240" s="99" t="s">
        <v>1707</v>
      </c>
      <c r="R240" s="20" t="s">
        <v>1567</v>
      </c>
      <c r="S240" s="20" t="s">
        <v>125</v>
      </c>
      <c r="T240" s="20" t="s">
        <v>110</v>
      </c>
      <c r="U240" s="20"/>
      <c r="V240" s="20"/>
      <c r="W240" s="20" t="str">
        <f>TEXT(Table4[[#This Row],[Confirmed Sampling Date]], "yyyy") &amp; "_" &amp; TEXT(Table4[[#This Row],[Confirmed Sampling Date]], "mm") &amp; "_" &amp; TEXT(Table4[[#This Row],[Confirmed Sampling Date]], "dd")</f>
        <v>2025_09_16</v>
      </c>
      <c r="X240" s="20" t="str">
        <f t="shared" si="3"/>
        <v>Larnaca</v>
      </c>
      <c r="Y240" s="20" t="str">
        <f>VLOOKUP(Table4[[#This Row],[FromSite-UPS]],Table1[[Company or Name]:[NOTES]],2,FALSE)</f>
        <v>Cyprus</v>
      </c>
      <c r="Z240" s="20">
        <f>IFERROR(WEEKNUM(Table4[[#This Row],[Confirmed Sampling Date]] - 10, 21), "TBD")</f>
        <v>36</v>
      </c>
      <c r="AA240" s="20" t="str">
        <f>_xlfn.XLOOKUP(Table4[[#This Row],[FromSite-UPS]],sites!D:D,sites!W:W,"",0)</f>
        <v>Adamantiou Korai street 12, Larnaca District Local Government Organization offices, Larnaca, 6010, Cyprus</v>
      </c>
      <c r="AB240" s="20" t="str">
        <f>_xlfn.XLOOKUP(Table4[[#This Row],[ToLab]],labs!D:D,labs!P:P,"no adres",0)</f>
        <v>Av. Rovisco Pais 1, Laboratorio de Analises de Agua, Lisbon, 1049-001, Portugal</v>
      </c>
      <c r="AC240" s="20">
        <f>_xlfn.XLOOKUP(Table4[[#This Row],[combi]],AREA!E:E,AREA!F:F,"",0)</f>
        <v>89</v>
      </c>
      <c r="AD240" s="20" t="str">
        <f>_xlfn.XLOOKUP(Table4[[#This Row],[combi]],AREA!E:E,AREA!G:G,"",0)</f>
        <v>Pick-up service of hypothetic package as defined in the Tech. Specs. and delivery to lots
2 and 3 contractors according to Scenario 1</v>
      </c>
      <c r="AE240" s="20" t="s">
        <v>125</v>
      </c>
      <c r="AF240" s="20" t="str">
        <f>_xlfn.XLOOKUP(Table4[[#This Row],[FromSite-UPS]],sites!D:D,sites!AB:AB,"",0)&amp;_xlfn.XLOOKUP(Table4[[#This Row],[ToLab]],labs!D:D,labs!Q:Q,"",0)</f>
        <v>EUEU</v>
      </c>
    </row>
    <row r="241" spans="2:32" ht="15.6" hidden="1" customHeight="1" x14ac:dyDescent="0.25">
      <c r="B241" s="13">
        <v>273</v>
      </c>
      <c r="C241" s="14" t="s">
        <v>53</v>
      </c>
      <c r="D241" s="13">
        <v>1</v>
      </c>
      <c r="E241" s="24">
        <v>45916</v>
      </c>
      <c r="F241" s="24">
        <v>45917</v>
      </c>
      <c r="G241" s="20">
        <f>IFERROR(WEEKNUM(Table4[[#This Row],[Confirmed Pick-up Date]]),"TBD")</f>
        <v>38</v>
      </c>
      <c r="H241" s="20" t="str">
        <f>IFERROR(TEXT(Table4[[#This Row],[Confirmed Pick-up Date]],"yy-mm"),"TBD")</f>
        <v>25-09</v>
      </c>
      <c r="I241" s="64" t="s">
        <v>975</v>
      </c>
      <c r="J241" s="20" t="str">
        <f>IFERROR(VLOOKUP(Table4[[#This Row],[FromSite-UPS]],Table1[[#All],[Company or Name]:[FromSite3]],15,FALSE),"")</f>
        <v>Vilnius WWTP</v>
      </c>
      <c r="K241" s="20" t="str">
        <f>IFERROR(VLOOKUP(Table4[[#This Row],[FromSite-UPS]],Table1[[#All],[Company or Name]:[FromSite3]],16,FALSE),"")</f>
        <v>Vilnius Bus Terminal</v>
      </c>
      <c r="L241" s="20">
        <f>IFERROR(VLOOKUP(Table4[[#This Row],[FromSite-UPS]],Table1[[#All],[Company or Name]:[FromSite3]],14,FALSE),"")</f>
        <v>0.58333333333333337</v>
      </c>
      <c r="M241" s="13" t="s">
        <v>1011</v>
      </c>
      <c r="N241" s="20" t="s">
        <v>134</v>
      </c>
      <c r="O241" s="20" t="s">
        <v>1491</v>
      </c>
      <c r="P241" s="65" t="s">
        <v>892</v>
      </c>
      <c r="Q241" s="65" t="s">
        <v>1708</v>
      </c>
      <c r="R241" s="20" t="s">
        <v>1579</v>
      </c>
      <c r="S241" s="20" t="s">
        <v>125</v>
      </c>
      <c r="T241" s="20" t="s">
        <v>110</v>
      </c>
      <c r="U241" s="20"/>
      <c r="V241" s="20"/>
      <c r="W241" s="20" t="str">
        <f>TEXT(Table4[[#This Row],[Confirmed Sampling Date]], "yyyy") &amp; "_" &amp; TEXT(Table4[[#This Row],[Confirmed Sampling Date]], "mm") &amp; "_" &amp; TEXT(Table4[[#This Row],[Confirmed Sampling Date]], "dd")</f>
        <v>2025_09_16</v>
      </c>
      <c r="X241" s="20" t="str">
        <f t="shared" si="3"/>
        <v>Vilnius</v>
      </c>
      <c r="Y241" s="20" t="str">
        <f>VLOOKUP(Table4[[#This Row],[FromSite-UPS]],Table1[[Company or Name]:[NOTES]],2,FALSE)</f>
        <v>Lithuania</v>
      </c>
      <c r="Z241" s="20">
        <f>IFERROR(WEEKNUM(Table4[[#This Row],[Confirmed Sampling Date]] - 10, 21), "TBD")</f>
        <v>36</v>
      </c>
      <c r="AA241" s="20" t="str">
        <f>_xlfn.XLOOKUP(Table4[[#This Row],[FromSite-UPS]],sites!D:D,sites!W:W,"",0)</f>
        <v>Zolyno 36 gatve, Vilnius, 10210, Lithuania</v>
      </c>
      <c r="AB241" s="20" t="str">
        <f>_xlfn.XLOOKUP(Table4[[#This Row],[ToLab]],labs!D:D,labs!P:P,"no adres",0)</f>
        <v>Av. Rovisco Pais 1, Laboratorio de Analises de Agua, Lisbon, 1049-001, Portugal</v>
      </c>
      <c r="AC241" s="20">
        <f>_xlfn.XLOOKUP(Table4[[#This Row],[combi]],AREA!E:E,AREA!F:F,"",0)</f>
        <v>89</v>
      </c>
      <c r="AD241" s="20" t="str">
        <f>_xlfn.XLOOKUP(Table4[[#This Row],[combi]],AREA!E:E,AREA!G:G,"",0)</f>
        <v>Pick-up service of hypothetic package as defined in the Tech. Specs. and delivery to lots
2 and 3 contractors according to Scenario 1</v>
      </c>
      <c r="AE241" s="20" t="s">
        <v>125</v>
      </c>
      <c r="AF241" s="20" t="str">
        <f>_xlfn.XLOOKUP(Table4[[#This Row],[FromSite-UPS]],sites!D:D,sites!AB:AB,"",0)&amp;_xlfn.XLOOKUP(Table4[[#This Row],[ToLab]],labs!D:D,labs!Q:Q,"",0)</f>
        <v>EUEU</v>
      </c>
    </row>
    <row r="242" spans="2:32" ht="15.6" hidden="1" customHeight="1" x14ac:dyDescent="0.25">
      <c r="B242" s="13">
        <v>284</v>
      </c>
      <c r="C242" s="14" t="s">
        <v>53</v>
      </c>
      <c r="D242" s="13">
        <v>1</v>
      </c>
      <c r="E242" s="24">
        <v>45916</v>
      </c>
      <c r="F242" s="24">
        <v>45917</v>
      </c>
      <c r="G242" s="20">
        <f>IFERROR(WEEKNUM(Table4[[#This Row],[Confirmed Pick-up Date]]),"TBD")</f>
        <v>38</v>
      </c>
      <c r="H242" s="20" t="str">
        <f>IFERROR(TEXT(Table4[[#This Row],[Confirmed Pick-up Date]],"yy-mm"),"TBD")</f>
        <v>25-09</v>
      </c>
      <c r="I242" s="99" t="s">
        <v>975</v>
      </c>
      <c r="J242" s="20" t="str">
        <f>IFERROR(VLOOKUP(Table4[[#This Row],[FromSite-UPS]],Table1[[#All],[Company or Name]:[FromSite3]],15,FALSE),"")</f>
        <v>Vilnius WWTP</v>
      </c>
      <c r="K242" s="20" t="str">
        <f>IFERROR(VLOOKUP(Table4[[#This Row],[FromSite-UPS]],Table1[[#All],[Company or Name]:[FromSite3]],16,FALSE),"")</f>
        <v>Vilnius Bus Terminal</v>
      </c>
      <c r="L242" s="20">
        <f>IFERROR(VLOOKUP(Table4[[#This Row],[FromSite-UPS]],Table1[[#All],[Company or Name]:[FromSite3]],14,FALSE),"")</f>
        <v>0.58333333333333337</v>
      </c>
      <c r="M242" s="13" t="s">
        <v>1011</v>
      </c>
      <c r="N242" s="20" t="s">
        <v>134</v>
      </c>
      <c r="O242" s="20" t="s">
        <v>1492</v>
      </c>
      <c r="P242" s="101" t="s">
        <v>892</v>
      </c>
      <c r="Q242" s="65" t="s">
        <v>1708</v>
      </c>
      <c r="R242" s="20" t="s">
        <v>1580</v>
      </c>
      <c r="S242" s="20" t="s">
        <v>125</v>
      </c>
      <c r="T242" s="20" t="s">
        <v>110</v>
      </c>
      <c r="U242" s="20"/>
      <c r="V242" s="20"/>
      <c r="W242" s="20" t="str">
        <f>TEXT(Table4[[#This Row],[Confirmed Sampling Date]], "yyyy") &amp; "_" &amp; TEXT(Table4[[#This Row],[Confirmed Sampling Date]], "mm") &amp; "_" &amp; TEXT(Table4[[#This Row],[Confirmed Sampling Date]], "dd")</f>
        <v>2025_09_16</v>
      </c>
      <c r="X242" s="20" t="str">
        <f t="shared" si="3"/>
        <v>Vilnius</v>
      </c>
      <c r="Y242" s="20" t="str">
        <f>VLOOKUP(Table4[[#This Row],[FromSite-UPS]],Table1[[Company or Name]:[NOTES]],2,FALSE)</f>
        <v>Lithuania</v>
      </c>
      <c r="Z242" s="20">
        <f>IFERROR(WEEKNUM(Table4[[#This Row],[Confirmed Sampling Date]] - 10, 21), "TBD")</f>
        <v>36</v>
      </c>
      <c r="AA242" s="20" t="str">
        <f>_xlfn.XLOOKUP(Table4[[#This Row],[FromSite-UPS]],sites!D:D,sites!W:W,"",0)</f>
        <v>Zolyno 36 gatve, Vilnius, 10210, Lithuania</v>
      </c>
      <c r="AB242" s="20" t="str">
        <f>_xlfn.XLOOKUP(Table4[[#This Row],[ToLab]],labs!D:D,labs!P:P,"no adres",0)</f>
        <v>Av. Rovisco Pais 1, Laboratorio de Analises de Agua, Lisbon, 1049-001, Portugal</v>
      </c>
      <c r="AC242" s="20">
        <f>_xlfn.XLOOKUP(Table4[[#This Row],[combi]],AREA!E:E,AREA!F:F,"",0)</f>
        <v>89</v>
      </c>
      <c r="AD242" s="20" t="str">
        <f>_xlfn.XLOOKUP(Table4[[#This Row],[combi]],AREA!E:E,AREA!G:G,"",0)</f>
        <v>Pick-up service of hypothetic package as defined in the Tech. Specs. and delivery to lots
2 and 3 contractors according to Scenario 1</v>
      </c>
      <c r="AE242" s="20" t="s">
        <v>125</v>
      </c>
      <c r="AF242" s="20" t="str">
        <f>_xlfn.XLOOKUP(Table4[[#This Row],[FromSite-UPS]],sites!D:D,sites!AB:AB,"",0)&amp;_xlfn.XLOOKUP(Table4[[#This Row],[ToLab]],labs!D:D,labs!Q:Q,"",0)</f>
        <v>EUEU</v>
      </c>
    </row>
    <row r="243" spans="2:32" ht="15.6" hidden="1" customHeight="1" x14ac:dyDescent="0.25">
      <c r="B243" s="13">
        <v>531</v>
      </c>
      <c r="C243" s="14" t="s">
        <v>53</v>
      </c>
      <c r="D243" s="13">
        <v>1</v>
      </c>
      <c r="E243" s="24">
        <v>45915</v>
      </c>
      <c r="F243" s="24">
        <v>45917</v>
      </c>
      <c r="G243" s="20">
        <f>IFERROR(WEEKNUM(Table4[[#This Row],[Confirmed Pick-up Date]]),"TBD")</f>
        <v>38</v>
      </c>
      <c r="H243" s="20" t="str">
        <f>IFERROR(TEXT(Table4[[#This Row],[Confirmed Pick-up Date]],"yy-mm"),"TBD")</f>
        <v>25-09</v>
      </c>
      <c r="I243" s="120" t="s">
        <v>1187</v>
      </c>
      <c r="J243" s="20" t="str">
        <f>IFERROR(VLOOKUP(Table4[[#This Row],[FromSite-UPS]],Table1[[#All],[Company or Name]:[FromSite3]],15,FALSE),"")</f>
        <v>Aachen WWTP</v>
      </c>
      <c r="K243" s="20" t="str">
        <f>IFERROR(VLOOKUP(Table4[[#This Row],[FromSite-UPS]],Table1[[#All],[Company or Name]:[FromSite3]],16,FALSE),"")</f>
        <v>Aachen Hospital</v>
      </c>
      <c r="L243" s="20">
        <f>IFERROR(VLOOKUP(Table4[[#This Row],[FromSite-UPS]],Table1[[#All],[Company or Name]:[FromSite3]],14,FALSE),"")</f>
        <v>0.66666666666666663</v>
      </c>
      <c r="M243" s="13" t="s">
        <v>1011</v>
      </c>
      <c r="N243" s="20" t="s">
        <v>134</v>
      </c>
      <c r="O243" s="20" t="s">
        <v>1507</v>
      </c>
      <c r="P243" s="100" t="s">
        <v>892</v>
      </c>
      <c r="Q243" s="100" t="s">
        <v>1639</v>
      </c>
      <c r="R243" s="20" t="s">
        <v>1559</v>
      </c>
      <c r="S243" s="20" t="s">
        <v>125</v>
      </c>
      <c r="T243" s="20" t="s">
        <v>110</v>
      </c>
      <c r="U243" s="20"/>
      <c r="V243" s="20"/>
      <c r="W243" s="20" t="str">
        <f>TEXT(Table4[[#This Row],[Confirmed Sampling Date]], "yyyy") &amp; "_" &amp; TEXT(Table4[[#This Row],[Confirmed Sampling Date]], "mm") &amp; "_" &amp; TEXT(Table4[[#This Row],[Confirmed Sampling Date]], "dd")</f>
        <v>2025_09_15</v>
      </c>
      <c r="X243" s="20" t="str">
        <f t="shared" si="3"/>
        <v>Aachen</v>
      </c>
      <c r="Y243" s="20" t="str">
        <f>VLOOKUP(Table4[[#This Row],[FromSite-UPS]],Table1[[Company or Name]:[NOTES]],2,FALSE)</f>
        <v>Germany</v>
      </c>
      <c r="Z243" s="20">
        <f>IFERROR(WEEKNUM(Table4[[#This Row],[Confirmed Sampling Date]] - 10, 21), "TBD")</f>
        <v>36</v>
      </c>
      <c r="AA243" s="20" t="str">
        <f>_xlfn.XLOOKUP(Table4[[#This Row],[FromSite-UPS]],sites!D:D,sites!W:W,"",0)</f>
        <v>Krefelder Str. 299, Aachen, 52070, Germany</v>
      </c>
      <c r="AB243" s="20" t="str">
        <f>_xlfn.XLOOKUP(Table4[[#This Row],[ToLab]],labs!D:D,labs!P:P,"no adres",0)</f>
        <v>Av. Rovisco Pais 1, Laboratorio de Analises de Agua, Lisbon, 1049-001, Portugal</v>
      </c>
      <c r="AC243" s="20">
        <f>_xlfn.XLOOKUP(Table4[[#This Row],[combi]],AREA!E:E,AREA!F:F,"",0)</f>
        <v>89</v>
      </c>
      <c r="AD243" s="20" t="str">
        <f>_xlfn.XLOOKUP(Table4[[#This Row],[combi]],AREA!E:E,AREA!G:G,"",0)</f>
        <v>Pick-up service of hypothetic package as defined in the Tech. Specs. and delivery to lots
2 and 3 contractors according to Scenario 1</v>
      </c>
      <c r="AE243" s="20" t="s">
        <v>125</v>
      </c>
      <c r="AF243" s="20" t="str">
        <f>_xlfn.XLOOKUP(Table4[[#This Row],[FromSite-UPS]],sites!D:D,sites!AB:AB,"",0)&amp;_xlfn.XLOOKUP(Table4[[#This Row],[ToLab]],labs!D:D,labs!Q:Q,"",0)</f>
        <v>EUEU</v>
      </c>
    </row>
    <row r="244" spans="2:32" ht="15.6" hidden="1" customHeight="1" x14ac:dyDescent="0.25">
      <c r="B244" s="13">
        <v>596</v>
      </c>
      <c r="C244" s="14" t="s">
        <v>53</v>
      </c>
      <c r="D244" s="13">
        <v>1</v>
      </c>
      <c r="E244" s="24">
        <v>45915</v>
      </c>
      <c r="F244" s="24">
        <v>45917</v>
      </c>
      <c r="G244" s="20">
        <f>IFERROR(WEEKNUM(Table4[[#This Row],[Confirmed Pick-up Date]]),"TBD")</f>
        <v>38</v>
      </c>
      <c r="H244" s="20" t="str">
        <f>IFERROR(TEXT(Table4[[#This Row],[Confirmed Pick-up Date]],"yy-mm"),"TBD")</f>
        <v>25-09</v>
      </c>
      <c r="I244" s="120" t="s">
        <v>1187</v>
      </c>
      <c r="J244" s="20" t="str">
        <f>IFERROR(VLOOKUP(Table4[[#This Row],[FromSite-UPS]],Table1[[#All],[Company or Name]:[FromSite3]],15,FALSE),"")</f>
        <v>Aachen WWTP</v>
      </c>
      <c r="K244" s="20" t="str">
        <f>IFERROR(VLOOKUP(Table4[[#This Row],[FromSite-UPS]],Table1[[#All],[Company or Name]:[FromSite3]],16,FALSE),"")</f>
        <v>Aachen Hospital</v>
      </c>
      <c r="L244" s="20">
        <f>IFERROR(VLOOKUP(Table4[[#This Row],[FromSite-UPS]],Table1[[#All],[Company or Name]:[FromSite3]],14,FALSE),"")</f>
        <v>0.66666666666666663</v>
      </c>
      <c r="M244" s="13" t="s">
        <v>1011</v>
      </c>
      <c r="N244" s="20" t="s">
        <v>134</v>
      </c>
      <c r="O244" s="20" t="s">
        <v>1508</v>
      </c>
      <c r="P244" s="100" t="s">
        <v>892</v>
      </c>
      <c r="Q244" s="100" t="s">
        <v>1639</v>
      </c>
      <c r="R244" s="20" t="s">
        <v>1560</v>
      </c>
      <c r="S244" s="20" t="s">
        <v>125</v>
      </c>
      <c r="T244" s="20" t="s">
        <v>110</v>
      </c>
      <c r="U244" s="20"/>
      <c r="V244" s="20"/>
      <c r="W244" s="20" t="str">
        <f>TEXT(Table4[[#This Row],[Confirmed Sampling Date]], "yyyy") &amp; "_" &amp; TEXT(Table4[[#This Row],[Confirmed Sampling Date]], "mm") &amp; "_" &amp; TEXT(Table4[[#This Row],[Confirmed Sampling Date]], "dd")</f>
        <v>2025_09_15</v>
      </c>
      <c r="X244" s="20" t="str">
        <f t="shared" si="3"/>
        <v>Aachen</v>
      </c>
      <c r="Y244" s="20" t="str">
        <f>VLOOKUP(Table4[[#This Row],[FromSite-UPS]],Table1[[Company or Name]:[NOTES]],2,FALSE)</f>
        <v>Germany</v>
      </c>
      <c r="Z244" s="20">
        <f>IFERROR(WEEKNUM(Table4[[#This Row],[Confirmed Sampling Date]] - 10, 21), "TBD")</f>
        <v>36</v>
      </c>
      <c r="AA244" s="20" t="str">
        <f>_xlfn.XLOOKUP(Table4[[#This Row],[FromSite-UPS]],sites!D:D,sites!W:W,"",0)</f>
        <v>Krefelder Str. 299, Aachen, 52070, Germany</v>
      </c>
      <c r="AB244" s="20" t="str">
        <f>_xlfn.XLOOKUP(Table4[[#This Row],[ToLab]],labs!D:D,labs!P:P,"no adres",0)</f>
        <v>Av. Rovisco Pais 1, Laboratorio de Analises de Agua, Lisbon, 1049-001, Portugal</v>
      </c>
      <c r="AC244" s="20">
        <f>_xlfn.XLOOKUP(Table4[[#This Row],[combi]],AREA!E:E,AREA!F:F,"",0)</f>
        <v>89</v>
      </c>
      <c r="AD244" s="20" t="str">
        <f>_xlfn.XLOOKUP(Table4[[#This Row],[combi]],AREA!E:E,AREA!G:G,"",0)</f>
        <v>Pick-up service of hypothetic package as defined in the Tech. Specs. and delivery to lots
2 and 3 contractors according to Scenario 1</v>
      </c>
      <c r="AE244" s="20" t="s">
        <v>125</v>
      </c>
      <c r="AF244" s="20" t="str">
        <f>_xlfn.XLOOKUP(Table4[[#This Row],[FromSite-UPS]],sites!D:D,sites!AB:AB,"",0)&amp;_xlfn.XLOOKUP(Table4[[#This Row],[ToLab]],labs!D:D,labs!Q:Q,"",0)</f>
        <v>EUEU</v>
      </c>
    </row>
    <row r="245" spans="2:32" ht="15.6" hidden="1" customHeight="1" x14ac:dyDescent="0.25">
      <c r="B245" s="13">
        <v>295</v>
      </c>
      <c r="C245" s="14" t="s">
        <v>53</v>
      </c>
      <c r="D245" s="13">
        <v>1</v>
      </c>
      <c r="E245" s="24">
        <v>45917</v>
      </c>
      <c r="F245" s="24">
        <v>45918</v>
      </c>
      <c r="G245" s="20">
        <f>IFERROR(WEEKNUM(Table4[[#This Row],[Confirmed Pick-up Date]]),"TBD")</f>
        <v>38</v>
      </c>
      <c r="H245" s="20" t="str">
        <f>IFERROR(TEXT(Table4[[#This Row],[Confirmed Pick-up Date]],"yy-mm"),"TBD")</f>
        <v>25-09</v>
      </c>
      <c r="I245" s="99" t="s">
        <v>975</v>
      </c>
      <c r="J245" s="20" t="str">
        <f>IFERROR(VLOOKUP(Table4[[#This Row],[FromSite-UPS]],Table1[[#All],[Company or Name]:[FromSite3]],15,FALSE),"")</f>
        <v>Vilnius WWTP</v>
      </c>
      <c r="K245" s="20" t="str">
        <f>IFERROR(VLOOKUP(Table4[[#This Row],[FromSite-UPS]],Table1[[#All],[Company or Name]:[FromSite3]],16,FALSE),"")</f>
        <v>Vilnius Bus Terminal</v>
      </c>
      <c r="L245" s="20">
        <f>IFERROR(VLOOKUP(Table4[[#This Row],[FromSite-UPS]],Table1[[#All],[Company or Name]:[FromSite3]],14,FALSE),"")</f>
        <v>0.58333333333333337</v>
      </c>
      <c r="M245" s="13" t="s">
        <v>1011</v>
      </c>
      <c r="N245" s="20" t="s">
        <v>134</v>
      </c>
      <c r="O245" s="20" t="s">
        <v>1493</v>
      </c>
      <c r="P245" s="20" t="s">
        <v>892</v>
      </c>
      <c r="Q245" s="20" t="s">
        <v>1709</v>
      </c>
      <c r="R245" s="20" t="s">
        <v>1575</v>
      </c>
      <c r="S245" s="20" t="s">
        <v>125</v>
      </c>
      <c r="T245" s="20" t="s">
        <v>110</v>
      </c>
      <c r="U245" s="20"/>
      <c r="V245" s="20"/>
      <c r="W245" s="20" t="str">
        <f>TEXT(Table4[[#This Row],[Confirmed Sampling Date]], "yyyy") &amp; "_" &amp; TEXT(Table4[[#This Row],[Confirmed Sampling Date]], "mm") &amp; "_" &amp; TEXT(Table4[[#This Row],[Confirmed Sampling Date]], "dd")</f>
        <v>2025_09_17</v>
      </c>
      <c r="X245" s="20" t="str">
        <f t="shared" si="3"/>
        <v>Vilnius</v>
      </c>
      <c r="Y245" s="20" t="str">
        <f>VLOOKUP(Table4[[#This Row],[FromSite-UPS]],Table1[[Company or Name]:[NOTES]],2,FALSE)</f>
        <v>Lithuania</v>
      </c>
      <c r="Z245" s="20">
        <f>IFERROR(WEEKNUM(Table4[[#This Row],[Confirmed Sampling Date]] - 10, 21), "TBD")</f>
        <v>36</v>
      </c>
      <c r="AA245" s="20" t="str">
        <f>_xlfn.XLOOKUP(Table4[[#This Row],[FromSite-UPS]],sites!D:D,sites!W:W,"",0)</f>
        <v>Zolyno 36 gatve, Vilnius, 10210, Lithuania</v>
      </c>
      <c r="AB245" s="20" t="str">
        <f>_xlfn.XLOOKUP(Table4[[#This Row],[ToLab]],labs!D:D,labs!P:P,"no adres",0)</f>
        <v>Av. Rovisco Pais 1, Laboratorio de Analises de Agua, Lisbon, 1049-001, Portugal</v>
      </c>
      <c r="AC245" s="20">
        <f>_xlfn.XLOOKUP(Table4[[#This Row],[combi]],AREA!E:E,AREA!F:F,"",0)</f>
        <v>89</v>
      </c>
      <c r="AD245" s="20" t="str">
        <f>_xlfn.XLOOKUP(Table4[[#This Row],[combi]],AREA!E:E,AREA!G:G,"",0)</f>
        <v>Pick-up service of hypothetic package as defined in the Tech. Specs. and delivery to lots
2 and 3 contractors according to Scenario 1</v>
      </c>
      <c r="AE245" s="20" t="s">
        <v>125</v>
      </c>
      <c r="AF245" s="20" t="str">
        <f>_xlfn.XLOOKUP(Table4[[#This Row],[FromSite-UPS]],sites!D:D,sites!AB:AB,"",0)&amp;_xlfn.XLOOKUP(Table4[[#This Row],[ToLab]],labs!D:D,labs!Q:Q,"",0)</f>
        <v>EUEU</v>
      </c>
    </row>
    <row r="246" spans="2:32" ht="15.6" hidden="1" customHeight="1" x14ac:dyDescent="0.25">
      <c r="B246" s="13">
        <v>305</v>
      </c>
      <c r="C246" s="14" t="s">
        <v>53</v>
      </c>
      <c r="D246" s="13">
        <v>1</v>
      </c>
      <c r="E246" s="127">
        <v>45917</v>
      </c>
      <c r="F246" s="128">
        <v>45918</v>
      </c>
      <c r="G246" s="20">
        <f>IFERROR(WEEKNUM(Table4[[#This Row],[Confirmed Pick-up Date]]),"TBD")</f>
        <v>38</v>
      </c>
      <c r="H246" s="20" t="str">
        <f>IFERROR(TEXT(Table4[[#This Row],[Confirmed Pick-up Date]],"yy-mm"),"TBD")</f>
        <v>25-09</v>
      </c>
      <c r="I246" s="129" t="s">
        <v>1628</v>
      </c>
      <c r="J246" s="20" t="str">
        <f>IFERROR(VLOOKUP(Table4[[#This Row],[FromSite-UPS]],Table1[[#All],[Company or Name]:[FromSite3]],15,FALSE),"")</f>
        <v>Funchal WWTP</v>
      </c>
      <c r="K246" s="20" t="str">
        <f>IFERROR(VLOOKUP(Table4[[#This Row],[FromSite-UPS]],Table1[[#All],[Company or Name]:[FromSite3]],16,FALSE),"")</f>
        <v>Madeira, 10 locations</v>
      </c>
      <c r="L246" s="20">
        <f>IFERROR(VLOOKUP(Table4[[#This Row],[FromSite-UPS]],Table1[[#All],[Company or Name]:[FromSite3]],14,FALSE),"")</f>
        <v>0.70833333333333337</v>
      </c>
      <c r="M246" s="13" t="s">
        <v>1011</v>
      </c>
      <c r="N246" s="20" t="s">
        <v>134</v>
      </c>
      <c r="O246" s="118">
        <v>5988527355</v>
      </c>
      <c r="P246" s="20"/>
      <c r="Q246" s="20" t="s">
        <v>1555</v>
      </c>
      <c r="R246" s="20" t="s">
        <v>1651</v>
      </c>
      <c r="S246" s="20" t="s">
        <v>125</v>
      </c>
      <c r="T246" s="20" t="s">
        <v>856</v>
      </c>
      <c r="U246" s="20"/>
      <c r="V246" s="20"/>
      <c r="W246" s="20" t="str">
        <f>TEXT(Table4[[#This Row],[Confirmed Sampling Date]], "yyyy") &amp; "_" &amp; TEXT(Table4[[#This Row],[Confirmed Sampling Date]], "mm") &amp; "_" &amp; TEXT(Table4[[#This Row],[Confirmed Sampling Date]], "dd")</f>
        <v>2025_09_17</v>
      </c>
      <c r="X246" s="20" t="str">
        <f t="shared" si="3"/>
        <v>Funchal</v>
      </c>
      <c r="Y246" s="20" t="str">
        <f>VLOOKUP(Table4[[#This Row],[FromSite-UPS]],Table1[[Company or Name]:[NOTES]],2,FALSE)</f>
        <v>Portugal</v>
      </c>
      <c r="Z246" s="20">
        <f>IFERROR(WEEKNUM(Table4[[#This Row],[Confirmed Sampling Date]] - 10, 21), "TBD")</f>
        <v>36</v>
      </c>
      <c r="AA246" s="20" t="str">
        <f>_xlfn.XLOOKUP(Table4[[#This Row],[FromSite-UPS]],sites!D:D,sites!W:W,"",0)</f>
        <v>R. do Matadouro 4, Funchal, 9050-100, Portugal</v>
      </c>
      <c r="AB246" s="20" t="str">
        <f>_xlfn.XLOOKUP(Table4[[#This Row],[ToLab]],labs!D:D,labs!P:P,"no adres",0)</f>
        <v>Av. Rovisco Pais 1, Laboratorio de Analises de Agua, Lisbon, 1049-001, Portugal</v>
      </c>
      <c r="AC246" s="20">
        <f>_xlfn.XLOOKUP(Table4[[#This Row],[combi]],AREA!E:E,AREA!F:F,"",0)</f>
        <v>89</v>
      </c>
      <c r="AD246" s="20" t="str">
        <f>_xlfn.XLOOKUP(Table4[[#This Row],[combi]],AREA!E:E,AREA!G:G,"",0)</f>
        <v>Pick-up service of hypothetic package as defined in the Tech. Specs. and delivery to lots
2 and 3 contractors according to Scenario 1</v>
      </c>
      <c r="AE246" s="20" t="s">
        <v>125</v>
      </c>
      <c r="AF246" s="20" t="str">
        <f>_xlfn.XLOOKUP(Table4[[#This Row],[FromSite-UPS]],sites!D:D,sites!AB:AB,"",0)&amp;_xlfn.XLOOKUP(Table4[[#This Row],[ToLab]],labs!D:D,labs!Q:Q,"",0)</f>
        <v>EUEU</v>
      </c>
    </row>
    <row r="247" spans="2:32" ht="15.6" hidden="1" customHeight="1" x14ac:dyDescent="0.25">
      <c r="B247" s="13">
        <v>315</v>
      </c>
      <c r="C247" s="14" t="s">
        <v>53</v>
      </c>
      <c r="D247" s="13">
        <v>1</v>
      </c>
      <c r="E247" s="127">
        <v>45917</v>
      </c>
      <c r="F247" s="128">
        <v>45918</v>
      </c>
      <c r="G247" s="20">
        <f>IFERROR(WEEKNUM(Table4[[#This Row],[Confirmed Pick-up Date]]),"TBD")</f>
        <v>38</v>
      </c>
      <c r="H247" s="20" t="str">
        <f>IFERROR(TEXT(Table4[[#This Row],[Confirmed Pick-up Date]],"yy-mm"),"TBD")</f>
        <v>25-09</v>
      </c>
      <c r="I247" s="129" t="s">
        <v>1628</v>
      </c>
      <c r="J247" s="20" t="str">
        <f>IFERROR(VLOOKUP(Table4[[#This Row],[FromSite-UPS]],Table1[[#All],[Company or Name]:[FromSite3]],15,FALSE),"")</f>
        <v>Funchal WWTP</v>
      </c>
      <c r="K247" s="20" t="str">
        <f>IFERROR(VLOOKUP(Table4[[#This Row],[FromSite-UPS]],Table1[[#All],[Company or Name]:[FromSite3]],16,FALSE),"")</f>
        <v>Madeira, 10 locations</v>
      </c>
      <c r="L247" s="20">
        <f>IFERROR(VLOOKUP(Table4[[#This Row],[FromSite-UPS]],Table1[[#All],[Company or Name]:[FromSite3]],14,FALSE),"")</f>
        <v>0.70833333333333337</v>
      </c>
      <c r="M247" s="13" t="s">
        <v>1011</v>
      </c>
      <c r="N247" s="20" t="s">
        <v>134</v>
      </c>
      <c r="O247" s="118">
        <v>5988527355</v>
      </c>
      <c r="P247" s="20"/>
      <c r="Q247" s="20" t="s">
        <v>1857</v>
      </c>
      <c r="R247" s="20" t="s">
        <v>1652</v>
      </c>
      <c r="S247" s="20" t="s">
        <v>125</v>
      </c>
      <c r="T247" s="20" t="s">
        <v>856</v>
      </c>
      <c r="U247" s="20"/>
      <c r="V247" s="20"/>
      <c r="W247" s="20" t="str">
        <f>TEXT(Table4[[#This Row],[Confirmed Sampling Date]], "yyyy") &amp; "_" &amp; TEXT(Table4[[#This Row],[Confirmed Sampling Date]], "mm") &amp; "_" &amp; TEXT(Table4[[#This Row],[Confirmed Sampling Date]], "dd")</f>
        <v>2025_09_17</v>
      </c>
      <c r="X247" s="20" t="str">
        <f t="shared" si="3"/>
        <v>Funchal</v>
      </c>
      <c r="Y247" s="20" t="str">
        <f>VLOOKUP(Table4[[#This Row],[FromSite-UPS]],Table1[[Company or Name]:[NOTES]],2,FALSE)</f>
        <v>Portugal</v>
      </c>
      <c r="Z247" s="20">
        <f>IFERROR(WEEKNUM(Table4[[#This Row],[Confirmed Sampling Date]] - 10, 21), "TBD")</f>
        <v>36</v>
      </c>
      <c r="AA247" s="20" t="str">
        <f>_xlfn.XLOOKUP(Table4[[#This Row],[FromSite-UPS]],sites!D:D,sites!W:W,"",0)</f>
        <v>R. do Matadouro 4, Funchal, 9050-100, Portugal</v>
      </c>
      <c r="AB247" s="20" t="str">
        <f>_xlfn.XLOOKUP(Table4[[#This Row],[ToLab]],labs!D:D,labs!P:P,"no adres",0)</f>
        <v>Av. Rovisco Pais 1, Laboratorio de Analises de Agua, Lisbon, 1049-001, Portugal</v>
      </c>
      <c r="AC247" s="20">
        <f>_xlfn.XLOOKUP(Table4[[#This Row],[combi]],AREA!E:E,AREA!F:F,"",0)</f>
        <v>89</v>
      </c>
      <c r="AD247" s="20" t="str">
        <f>_xlfn.XLOOKUP(Table4[[#This Row],[combi]],AREA!E:E,AREA!G:G,"",0)</f>
        <v>Pick-up service of hypothetic package as defined in the Tech. Specs. and delivery to lots
2 and 3 contractors according to Scenario 1</v>
      </c>
      <c r="AE247" s="20" t="s">
        <v>125</v>
      </c>
      <c r="AF247" s="20" t="str">
        <f>_xlfn.XLOOKUP(Table4[[#This Row],[FromSite-UPS]],sites!D:D,sites!AB:AB,"",0)&amp;_xlfn.XLOOKUP(Table4[[#This Row],[ToLab]],labs!D:D,labs!Q:Q,"",0)</f>
        <v>EUEU</v>
      </c>
    </row>
    <row r="248" spans="2:32" ht="15.6" hidden="1" customHeight="1" x14ac:dyDescent="0.25">
      <c r="B248" s="13">
        <v>325</v>
      </c>
      <c r="C248" s="14" t="s">
        <v>53</v>
      </c>
      <c r="D248" s="13">
        <v>1</v>
      </c>
      <c r="E248" s="79">
        <v>45917</v>
      </c>
      <c r="F248" s="81">
        <v>45918</v>
      </c>
      <c r="G248" s="20">
        <f>IFERROR(WEEKNUM(Table4[[#This Row],[Confirmed Pick-up Date]]),"TBD")</f>
        <v>38</v>
      </c>
      <c r="H248" s="20" t="str">
        <f>IFERROR(TEXT(Table4[[#This Row],[Confirmed Pick-up Date]],"yy-mm"),"TBD")</f>
        <v>25-09</v>
      </c>
      <c r="I248" s="67" t="s">
        <v>1628</v>
      </c>
      <c r="J248" s="20" t="str">
        <f>IFERROR(VLOOKUP(Table4[[#This Row],[FromSite-UPS]],Table1[[#All],[Company or Name]:[FromSite3]],15,FALSE),"")</f>
        <v>Funchal WWTP</v>
      </c>
      <c r="K248" s="20" t="str">
        <f>IFERROR(VLOOKUP(Table4[[#This Row],[FromSite-UPS]],Table1[[#All],[Company or Name]:[FromSite3]],16,FALSE),"")</f>
        <v>Madeira, 10 locations</v>
      </c>
      <c r="L248" s="20">
        <f>IFERROR(VLOOKUP(Table4[[#This Row],[FromSite-UPS]],Table1[[#All],[Company or Name]:[FromSite3]],14,FALSE),"")</f>
        <v>0.70833333333333337</v>
      </c>
      <c r="M248" s="13" t="s">
        <v>1011</v>
      </c>
      <c r="N248" s="20" t="s">
        <v>134</v>
      </c>
      <c r="O248" s="118">
        <v>5988527355</v>
      </c>
      <c r="P248" s="65"/>
      <c r="Q248" s="65" t="s">
        <v>1555</v>
      </c>
      <c r="R248" s="20" t="s">
        <v>1669</v>
      </c>
      <c r="S248" s="20" t="s">
        <v>125</v>
      </c>
      <c r="T248" s="20" t="s">
        <v>856</v>
      </c>
      <c r="U248" s="20"/>
      <c r="V248" s="20"/>
      <c r="W248" s="20" t="str">
        <f>TEXT(Table4[[#This Row],[Confirmed Sampling Date]], "yyyy") &amp; "_" &amp; TEXT(Table4[[#This Row],[Confirmed Sampling Date]], "mm") &amp; "_" &amp; TEXT(Table4[[#This Row],[Confirmed Sampling Date]], "dd")</f>
        <v>2025_09_17</v>
      </c>
      <c r="X248" s="20" t="str">
        <f t="shared" si="3"/>
        <v>Funchal</v>
      </c>
      <c r="Y248" s="20" t="str">
        <f>VLOOKUP(Table4[[#This Row],[FromSite-UPS]],Table1[[Company or Name]:[NOTES]],2,FALSE)</f>
        <v>Portugal</v>
      </c>
      <c r="Z248" s="20">
        <f>IFERROR(WEEKNUM(Table4[[#This Row],[Confirmed Sampling Date]] - 10, 21), "TBD")</f>
        <v>36</v>
      </c>
      <c r="AA248" s="20" t="str">
        <f>_xlfn.XLOOKUP(Table4[[#This Row],[FromSite-UPS]],sites!D:D,sites!W:W,"",0)</f>
        <v>R. do Matadouro 4, Funchal, 9050-100, Portugal</v>
      </c>
      <c r="AB248" s="20" t="str">
        <f>_xlfn.XLOOKUP(Table4[[#This Row],[ToLab]],labs!D:D,labs!P:P,"no adres",0)</f>
        <v>Av. Rovisco Pais 1, Laboratorio de Analises de Agua, Lisbon, 1049-001, Portugal</v>
      </c>
      <c r="AC248" s="20">
        <f>_xlfn.XLOOKUP(Table4[[#This Row],[combi]],AREA!E:E,AREA!F:F,"",0)</f>
        <v>89</v>
      </c>
      <c r="AD248" s="20" t="str">
        <f>_xlfn.XLOOKUP(Table4[[#This Row],[combi]],AREA!E:E,AREA!G:G,"",0)</f>
        <v>Pick-up service of hypothetic package as defined in the Tech. Specs. and delivery to lots
2 and 3 contractors according to Scenario 1</v>
      </c>
      <c r="AE248" s="20" t="s">
        <v>125</v>
      </c>
      <c r="AF248" s="20" t="str">
        <f>_xlfn.XLOOKUP(Table4[[#This Row],[FromSite-UPS]],sites!D:D,sites!AB:AB,"",0)&amp;_xlfn.XLOOKUP(Table4[[#This Row],[ToLab]],labs!D:D,labs!Q:Q,"",0)</f>
        <v>EUEU</v>
      </c>
    </row>
    <row r="249" spans="2:32" ht="15.6" hidden="1" customHeight="1" x14ac:dyDescent="0.25">
      <c r="B249" s="13">
        <v>335</v>
      </c>
      <c r="C249" s="14" t="s">
        <v>53</v>
      </c>
      <c r="D249" s="13">
        <v>1</v>
      </c>
      <c r="E249" s="79">
        <v>45917</v>
      </c>
      <c r="F249" s="81">
        <v>45918</v>
      </c>
      <c r="G249" s="20">
        <f>IFERROR(WEEKNUM(Table4[[#This Row],[Confirmed Pick-up Date]]),"TBD")</f>
        <v>38</v>
      </c>
      <c r="H249" s="20" t="str">
        <f>IFERROR(TEXT(Table4[[#This Row],[Confirmed Pick-up Date]],"yy-mm"),"TBD")</f>
        <v>25-09</v>
      </c>
      <c r="I249" s="67" t="s">
        <v>1628</v>
      </c>
      <c r="J249" s="20" t="str">
        <f>IFERROR(VLOOKUP(Table4[[#This Row],[FromSite-UPS]],Table1[[#All],[Company or Name]:[FromSite3]],15,FALSE),"")</f>
        <v>Funchal WWTP</v>
      </c>
      <c r="K249" s="20" t="str">
        <f>IFERROR(VLOOKUP(Table4[[#This Row],[FromSite-UPS]],Table1[[#All],[Company or Name]:[FromSite3]],16,FALSE),"")</f>
        <v>Madeira, 10 locations</v>
      </c>
      <c r="L249" s="20">
        <f>IFERROR(VLOOKUP(Table4[[#This Row],[FromSite-UPS]],Table1[[#All],[Company or Name]:[FromSite3]],14,FALSE),"")</f>
        <v>0.70833333333333337</v>
      </c>
      <c r="M249" s="13" t="s">
        <v>1011</v>
      </c>
      <c r="N249" s="20" t="s">
        <v>134</v>
      </c>
      <c r="O249" s="118">
        <v>5988527355</v>
      </c>
      <c r="P249" s="65"/>
      <c r="Q249" s="65" t="s">
        <v>1555</v>
      </c>
      <c r="R249" s="20" t="s">
        <v>1653</v>
      </c>
      <c r="S249" s="20" t="s">
        <v>125</v>
      </c>
      <c r="T249" s="20" t="s">
        <v>856</v>
      </c>
      <c r="U249" s="20"/>
      <c r="V249" s="20"/>
      <c r="W249" s="20" t="str">
        <f>TEXT(Table4[[#This Row],[Confirmed Sampling Date]], "yyyy") &amp; "_" &amp; TEXT(Table4[[#This Row],[Confirmed Sampling Date]], "mm") &amp; "_" &amp; TEXT(Table4[[#This Row],[Confirmed Sampling Date]], "dd")</f>
        <v>2025_09_17</v>
      </c>
      <c r="X249" s="20" t="str">
        <f t="shared" si="3"/>
        <v>Funchal</v>
      </c>
      <c r="Y249" s="20" t="str">
        <f>VLOOKUP(Table4[[#This Row],[FromSite-UPS]],Table1[[Company or Name]:[NOTES]],2,FALSE)</f>
        <v>Portugal</v>
      </c>
      <c r="Z249" s="20">
        <f>IFERROR(WEEKNUM(Table4[[#This Row],[Confirmed Sampling Date]] - 10, 21), "TBD")</f>
        <v>36</v>
      </c>
      <c r="AA249" s="20" t="str">
        <f>_xlfn.XLOOKUP(Table4[[#This Row],[FromSite-UPS]],sites!D:D,sites!W:W,"",0)</f>
        <v>R. do Matadouro 4, Funchal, 9050-100, Portugal</v>
      </c>
      <c r="AB249" s="20" t="str">
        <f>_xlfn.XLOOKUP(Table4[[#This Row],[ToLab]],labs!D:D,labs!P:P,"no adres",0)</f>
        <v>Av. Rovisco Pais 1, Laboratorio de Analises de Agua, Lisbon, 1049-001, Portugal</v>
      </c>
      <c r="AC249" s="20">
        <f>_xlfn.XLOOKUP(Table4[[#This Row],[combi]],AREA!E:E,AREA!F:F,"",0)</f>
        <v>89</v>
      </c>
      <c r="AD249" s="20" t="str">
        <f>_xlfn.XLOOKUP(Table4[[#This Row],[combi]],AREA!E:E,AREA!G:G,"",0)</f>
        <v>Pick-up service of hypothetic package as defined in the Tech. Specs. and delivery to lots
2 and 3 contractors according to Scenario 1</v>
      </c>
      <c r="AE249" s="20" t="s">
        <v>125</v>
      </c>
      <c r="AF249" s="20" t="str">
        <f>_xlfn.XLOOKUP(Table4[[#This Row],[FromSite-UPS]],sites!D:D,sites!AB:AB,"",0)&amp;_xlfn.XLOOKUP(Table4[[#This Row],[ToLab]],labs!D:D,labs!Q:Q,"",0)</f>
        <v>EUEU</v>
      </c>
    </row>
    <row r="250" spans="2:32" ht="15.6" hidden="1" customHeight="1" x14ac:dyDescent="0.25">
      <c r="B250" s="13">
        <v>345</v>
      </c>
      <c r="C250" s="14" t="s">
        <v>53</v>
      </c>
      <c r="D250" s="13">
        <v>1</v>
      </c>
      <c r="E250" s="79">
        <v>45917</v>
      </c>
      <c r="F250" s="81">
        <v>45918</v>
      </c>
      <c r="G250" s="20">
        <f>IFERROR(WEEKNUM(Table4[[#This Row],[Confirmed Pick-up Date]]),"TBD")</f>
        <v>38</v>
      </c>
      <c r="H250" s="20" t="str">
        <f>IFERROR(TEXT(Table4[[#This Row],[Confirmed Pick-up Date]],"yy-mm"),"TBD")</f>
        <v>25-09</v>
      </c>
      <c r="I250" s="67" t="s">
        <v>1628</v>
      </c>
      <c r="J250" s="20" t="str">
        <f>IFERROR(VLOOKUP(Table4[[#This Row],[FromSite-UPS]],Table1[[#All],[Company or Name]:[FromSite3]],15,FALSE),"")</f>
        <v>Funchal WWTP</v>
      </c>
      <c r="K250" s="20" t="str">
        <f>IFERROR(VLOOKUP(Table4[[#This Row],[FromSite-UPS]],Table1[[#All],[Company or Name]:[FromSite3]],16,FALSE),"")</f>
        <v>Madeira, 10 locations</v>
      </c>
      <c r="L250" s="20">
        <f>IFERROR(VLOOKUP(Table4[[#This Row],[FromSite-UPS]],Table1[[#All],[Company or Name]:[FromSite3]],14,FALSE),"")</f>
        <v>0.70833333333333337</v>
      </c>
      <c r="M250" s="13" t="s">
        <v>1011</v>
      </c>
      <c r="N250" s="20" t="s">
        <v>134</v>
      </c>
      <c r="O250" s="118">
        <v>5988527355</v>
      </c>
      <c r="P250" s="101"/>
      <c r="Q250" s="101" t="s">
        <v>1555</v>
      </c>
      <c r="R250" s="20" t="s">
        <v>1654</v>
      </c>
      <c r="S250" s="20" t="s">
        <v>125</v>
      </c>
      <c r="T250" s="20" t="s">
        <v>856</v>
      </c>
      <c r="U250" s="20"/>
      <c r="V250" s="20"/>
      <c r="W250" s="20" t="str">
        <f>TEXT(Table4[[#This Row],[Confirmed Sampling Date]], "yyyy") &amp; "_" &amp; TEXT(Table4[[#This Row],[Confirmed Sampling Date]], "mm") &amp; "_" &amp; TEXT(Table4[[#This Row],[Confirmed Sampling Date]], "dd")</f>
        <v>2025_09_17</v>
      </c>
      <c r="X250" s="20" t="str">
        <f t="shared" si="3"/>
        <v>Funchal</v>
      </c>
      <c r="Y250" s="20" t="str">
        <f>VLOOKUP(Table4[[#This Row],[FromSite-UPS]],Table1[[Company or Name]:[NOTES]],2,FALSE)</f>
        <v>Portugal</v>
      </c>
      <c r="Z250" s="20">
        <f>IFERROR(WEEKNUM(Table4[[#This Row],[Confirmed Sampling Date]] - 10, 21), "TBD")</f>
        <v>36</v>
      </c>
      <c r="AA250" s="20" t="str">
        <f>_xlfn.XLOOKUP(Table4[[#This Row],[FromSite-UPS]],sites!D:D,sites!W:W,"",0)</f>
        <v>R. do Matadouro 4, Funchal, 9050-100, Portugal</v>
      </c>
      <c r="AB250" s="20" t="str">
        <f>_xlfn.XLOOKUP(Table4[[#This Row],[ToLab]],labs!D:D,labs!P:P,"no adres",0)</f>
        <v>Av. Rovisco Pais 1, Laboratorio de Analises de Agua, Lisbon, 1049-001, Portugal</v>
      </c>
      <c r="AC250" s="20">
        <f>_xlfn.XLOOKUP(Table4[[#This Row],[combi]],AREA!E:E,AREA!F:F,"",0)</f>
        <v>89</v>
      </c>
      <c r="AD250" s="20" t="str">
        <f>_xlfn.XLOOKUP(Table4[[#This Row],[combi]],AREA!E:E,AREA!G:G,"",0)</f>
        <v>Pick-up service of hypothetic package as defined in the Tech. Specs. and delivery to lots
2 and 3 contractors according to Scenario 1</v>
      </c>
      <c r="AE250" s="20" t="s">
        <v>125</v>
      </c>
      <c r="AF250" s="20" t="str">
        <f>_xlfn.XLOOKUP(Table4[[#This Row],[FromSite-UPS]],sites!D:D,sites!AB:AB,"",0)&amp;_xlfn.XLOOKUP(Table4[[#This Row],[ToLab]],labs!D:D,labs!Q:Q,"",0)</f>
        <v>EUEU</v>
      </c>
    </row>
    <row r="251" spans="2:32" ht="15.6" hidden="1" customHeight="1" x14ac:dyDescent="0.25">
      <c r="B251" s="13">
        <v>355</v>
      </c>
      <c r="C251" s="14" t="s">
        <v>53</v>
      </c>
      <c r="D251" s="13">
        <v>1</v>
      </c>
      <c r="E251" s="79">
        <v>45917</v>
      </c>
      <c r="F251" s="81">
        <v>45918</v>
      </c>
      <c r="G251" s="20">
        <f>IFERROR(WEEKNUM(Table4[[#This Row],[Confirmed Pick-up Date]]),"TBD")</f>
        <v>38</v>
      </c>
      <c r="H251" s="20" t="str">
        <f>IFERROR(TEXT(Table4[[#This Row],[Confirmed Pick-up Date]],"yy-mm"),"TBD")</f>
        <v>25-09</v>
      </c>
      <c r="I251" s="67" t="s">
        <v>1628</v>
      </c>
      <c r="J251" s="20" t="str">
        <f>IFERROR(VLOOKUP(Table4[[#This Row],[FromSite-UPS]],Table1[[#All],[Company or Name]:[FromSite3]],15,FALSE),"")</f>
        <v>Funchal WWTP</v>
      </c>
      <c r="K251" s="20" t="str">
        <f>IFERROR(VLOOKUP(Table4[[#This Row],[FromSite-UPS]],Table1[[#All],[Company or Name]:[FromSite3]],16,FALSE),"")</f>
        <v>Madeira, 10 locations</v>
      </c>
      <c r="L251" s="20">
        <f>IFERROR(VLOOKUP(Table4[[#This Row],[FromSite-UPS]],Table1[[#All],[Company or Name]:[FromSite3]],14,FALSE),"")</f>
        <v>0.70833333333333337</v>
      </c>
      <c r="M251" s="13" t="s">
        <v>1011</v>
      </c>
      <c r="N251" s="20" t="s">
        <v>134</v>
      </c>
      <c r="O251" s="118">
        <v>5988527355</v>
      </c>
      <c r="P251" s="101"/>
      <c r="Q251" s="101" t="s">
        <v>1555</v>
      </c>
      <c r="R251" s="20" t="s">
        <v>1655</v>
      </c>
      <c r="S251" s="20" t="s">
        <v>125</v>
      </c>
      <c r="T251" s="20" t="s">
        <v>856</v>
      </c>
      <c r="U251" s="20"/>
      <c r="V251" s="20"/>
      <c r="W251" s="20" t="str">
        <f>TEXT(Table4[[#This Row],[Confirmed Sampling Date]], "yyyy") &amp; "_" &amp; TEXT(Table4[[#This Row],[Confirmed Sampling Date]], "mm") &amp; "_" &amp; TEXT(Table4[[#This Row],[Confirmed Sampling Date]], "dd")</f>
        <v>2025_09_17</v>
      </c>
      <c r="X251" s="20" t="str">
        <f t="shared" si="3"/>
        <v>Funchal</v>
      </c>
      <c r="Y251" s="20" t="str">
        <f>VLOOKUP(Table4[[#This Row],[FromSite-UPS]],Table1[[Company or Name]:[NOTES]],2,FALSE)</f>
        <v>Portugal</v>
      </c>
      <c r="Z251" s="20">
        <f>IFERROR(WEEKNUM(Table4[[#This Row],[Confirmed Sampling Date]] - 10, 21), "TBD")</f>
        <v>36</v>
      </c>
      <c r="AA251" s="20" t="str">
        <f>_xlfn.XLOOKUP(Table4[[#This Row],[FromSite-UPS]],sites!D:D,sites!W:W,"",0)</f>
        <v>R. do Matadouro 4, Funchal, 9050-100, Portugal</v>
      </c>
      <c r="AB251" s="20" t="str">
        <f>_xlfn.XLOOKUP(Table4[[#This Row],[ToLab]],labs!D:D,labs!P:P,"no adres",0)</f>
        <v>Av. Rovisco Pais 1, Laboratorio de Analises de Agua, Lisbon, 1049-001, Portugal</v>
      </c>
      <c r="AC251" s="20">
        <f>_xlfn.XLOOKUP(Table4[[#This Row],[combi]],AREA!E:E,AREA!F:F,"",0)</f>
        <v>89</v>
      </c>
      <c r="AD251" s="20" t="str">
        <f>_xlfn.XLOOKUP(Table4[[#This Row],[combi]],AREA!E:E,AREA!G:G,"",0)</f>
        <v>Pick-up service of hypothetic package as defined in the Tech. Specs. and delivery to lots
2 and 3 contractors according to Scenario 1</v>
      </c>
      <c r="AE251" s="20" t="s">
        <v>125</v>
      </c>
      <c r="AF251" s="20" t="str">
        <f>_xlfn.XLOOKUP(Table4[[#This Row],[FromSite-UPS]],sites!D:D,sites!AB:AB,"",0)&amp;_xlfn.XLOOKUP(Table4[[#This Row],[ToLab]],labs!D:D,labs!Q:Q,"",0)</f>
        <v>EUEU</v>
      </c>
    </row>
    <row r="252" spans="2:32" ht="15.6" hidden="1" customHeight="1" x14ac:dyDescent="0.25">
      <c r="B252" s="13">
        <v>365</v>
      </c>
      <c r="C252" s="14" t="s">
        <v>53</v>
      </c>
      <c r="D252" s="13">
        <v>1</v>
      </c>
      <c r="E252" s="79">
        <v>45917</v>
      </c>
      <c r="F252" s="81">
        <v>45918</v>
      </c>
      <c r="G252" s="20">
        <f>IFERROR(WEEKNUM(Table4[[#This Row],[Confirmed Pick-up Date]]),"TBD")</f>
        <v>38</v>
      </c>
      <c r="H252" s="20" t="str">
        <f>IFERROR(TEXT(Table4[[#This Row],[Confirmed Pick-up Date]],"yy-mm"),"TBD")</f>
        <v>25-09</v>
      </c>
      <c r="I252" s="67" t="s">
        <v>1628</v>
      </c>
      <c r="J252" s="20" t="str">
        <f>IFERROR(VLOOKUP(Table4[[#This Row],[FromSite-UPS]],Table1[[#All],[Company or Name]:[FromSite3]],15,FALSE),"")</f>
        <v>Funchal WWTP</v>
      </c>
      <c r="K252" s="20" t="str">
        <f>IFERROR(VLOOKUP(Table4[[#This Row],[FromSite-UPS]],Table1[[#All],[Company or Name]:[FromSite3]],16,FALSE),"")</f>
        <v>Madeira, 10 locations</v>
      </c>
      <c r="L252" s="20">
        <f>IFERROR(VLOOKUP(Table4[[#This Row],[FromSite-UPS]],Table1[[#All],[Company or Name]:[FromSite3]],14,FALSE),"")</f>
        <v>0.70833333333333337</v>
      </c>
      <c r="M252" s="13" t="s">
        <v>1011</v>
      </c>
      <c r="N252" s="20" t="s">
        <v>134</v>
      </c>
      <c r="O252" s="118">
        <v>5988527355</v>
      </c>
      <c r="P252" s="101"/>
      <c r="Q252" s="101" t="s">
        <v>1555</v>
      </c>
      <c r="R252" s="20" t="s">
        <v>1656</v>
      </c>
      <c r="S252" s="20" t="s">
        <v>125</v>
      </c>
      <c r="T252" s="20" t="s">
        <v>856</v>
      </c>
      <c r="U252" s="20"/>
      <c r="V252" s="20"/>
      <c r="W252" s="20" t="str">
        <f>TEXT(Table4[[#This Row],[Confirmed Sampling Date]], "yyyy") &amp; "_" &amp; TEXT(Table4[[#This Row],[Confirmed Sampling Date]], "mm") &amp; "_" &amp; TEXT(Table4[[#This Row],[Confirmed Sampling Date]], "dd")</f>
        <v>2025_09_17</v>
      </c>
      <c r="X252" s="20" t="str">
        <f t="shared" si="3"/>
        <v>Funchal</v>
      </c>
      <c r="Y252" s="20" t="str">
        <f>VLOOKUP(Table4[[#This Row],[FromSite-UPS]],Table1[[Company or Name]:[NOTES]],2,FALSE)</f>
        <v>Portugal</v>
      </c>
      <c r="Z252" s="20">
        <f>IFERROR(WEEKNUM(Table4[[#This Row],[Confirmed Sampling Date]] - 10, 21), "TBD")</f>
        <v>36</v>
      </c>
      <c r="AA252" s="20" t="str">
        <f>_xlfn.XLOOKUP(Table4[[#This Row],[FromSite-UPS]],sites!D:D,sites!W:W,"",0)</f>
        <v>R. do Matadouro 4, Funchal, 9050-100, Portugal</v>
      </c>
      <c r="AB252" s="20" t="str">
        <f>_xlfn.XLOOKUP(Table4[[#This Row],[ToLab]],labs!D:D,labs!P:P,"no adres",0)</f>
        <v>Av. Rovisco Pais 1, Laboratorio de Analises de Agua, Lisbon, 1049-001, Portugal</v>
      </c>
      <c r="AC252" s="20">
        <f>_xlfn.XLOOKUP(Table4[[#This Row],[combi]],AREA!E:E,AREA!F:F,"",0)</f>
        <v>89</v>
      </c>
      <c r="AD252" s="20" t="str">
        <f>_xlfn.XLOOKUP(Table4[[#This Row],[combi]],AREA!E:E,AREA!G:G,"",0)</f>
        <v>Pick-up service of hypothetic package as defined in the Tech. Specs. and delivery to lots
2 and 3 contractors according to Scenario 1</v>
      </c>
      <c r="AE252" s="20" t="s">
        <v>125</v>
      </c>
      <c r="AF252" s="20" t="str">
        <f>_xlfn.XLOOKUP(Table4[[#This Row],[FromSite-UPS]],sites!D:D,sites!AB:AB,"",0)&amp;_xlfn.XLOOKUP(Table4[[#This Row],[ToLab]],labs!D:D,labs!Q:Q,"",0)</f>
        <v>EUEU</v>
      </c>
    </row>
    <row r="253" spans="2:32" ht="15.6" hidden="1" customHeight="1" x14ac:dyDescent="0.25">
      <c r="B253" s="13">
        <v>375</v>
      </c>
      <c r="C253" s="14" t="s">
        <v>53</v>
      </c>
      <c r="D253" s="13">
        <v>1</v>
      </c>
      <c r="E253" s="79">
        <v>45917</v>
      </c>
      <c r="F253" s="81">
        <v>45918</v>
      </c>
      <c r="G253" s="20">
        <f>IFERROR(WEEKNUM(Table4[[#This Row],[Confirmed Pick-up Date]]),"TBD")</f>
        <v>38</v>
      </c>
      <c r="H253" s="20" t="str">
        <f>IFERROR(TEXT(Table4[[#This Row],[Confirmed Pick-up Date]],"yy-mm"),"TBD")</f>
        <v>25-09</v>
      </c>
      <c r="I253" s="67" t="s">
        <v>1628</v>
      </c>
      <c r="J253" s="20" t="str">
        <f>IFERROR(VLOOKUP(Table4[[#This Row],[FromSite-UPS]],Table1[[#All],[Company or Name]:[FromSite3]],15,FALSE),"")</f>
        <v>Funchal WWTP</v>
      </c>
      <c r="K253" s="20" t="str">
        <f>IFERROR(VLOOKUP(Table4[[#This Row],[FromSite-UPS]],Table1[[#All],[Company or Name]:[FromSite3]],16,FALSE),"")</f>
        <v>Madeira, 10 locations</v>
      </c>
      <c r="L253" s="20">
        <f>IFERROR(VLOOKUP(Table4[[#This Row],[FromSite-UPS]],Table1[[#All],[Company or Name]:[FromSite3]],14,FALSE),"")</f>
        <v>0.70833333333333337</v>
      </c>
      <c r="M253" s="13" t="s">
        <v>1011</v>
      </c>
      <c r="N253" s="20" t="s">
        <v>134</v>
      </c>
      <c r="O253" s="118">
        <v>5988527355</v>
      </c>
      <c r="P253" s="101"/>
      <c r="Q253" s="101" t="s">
        <v>1555</v>
      </c>
      <c r="R253" s="20" t="s">
        <v>1657</v>
      </c>
      <c r="S253" s="20" t="s">
        <v>125</v>
      </c>
      <c r="T253" s="20" t="s">
        <v>856</v>
      </c>
      <c r="U253" s="20"/>
      <c r="V253" s="20"/>
      <c r="W253" s="20" t="str">
        <f>TEXT(Table4[[#This Row],[Confirmed Sampling Date]], "yyyy") &amp; "_" &amp; TEXT(Table4[[#This Row],[Confirmed Sampling Date]], "mm") &amp; "_" &amp; TEXT(Table4[[#This Row],[Confirmed Sampling Date]], "dd")</f>
        <v>2025_09_17</v>
      </c>
      <c r="X253" s="20" t="str">
        <f t="shared" si="3"/>
        <v>Funchal</v>
      </c>
      <c r="Y253" s="20" t="str">
        <f>VLOOKUP(Table4[[#This Row],[FromSite-UPS]],Table1[[Company or Name]:[NOTES]],2,FALSE)</f>
        <v>Portugal</v>
      </c>
      <c r="Z253" s="20">
        <f>IFERROR(WEEKNUM(Table4[[#This Row],[Confirmed Sampling Date]] - 10, 21), "TBD")</f>
        <v>36</v>
      </c>
      <c r="AA253" s="20" t="str">
        <f>_xlfn.XLOOKUP(Table4[[#This Row],[FromSite-UPS]],sites!D:D,sites!W:W,"",0)</f>
        <v>R. do Matadouro 4, Funchal, 9050-100, Portugal</v>
      </c>
      <c r="AB253" s="20" t="str">
        <f>_xlfn.XLOOKUP(Table4[[#This Row],[ToLab]],labs!D:D,labs!P:P,"no adres",0)</f>
        <v>Av. Rovisco Pais 1, Laboratorio de Analises de Agua, Lisbon, 1049-001, Portugal</v>
      </c>
      <c r="AC253" s="20">
        <f>_xlfn.XLOOKUP(Table4[[#This Row],[combi]],AREA!E:E,AREA!F:F,"",0)</f>
        <v>89</v>
      </c>
      <c r="AD253" s="20" t="str">
        <f>_xlfn.XLOOKUP(Table4[[#This Row],[combi]],AREA!E:E,AREA!G:G,"",0)</f>
        <v>Pick-up service of hypothetic package as defined in the Tech. Specs. and delivery to lots
2 and 3 contractors according to Scenario 1</v>
      </c>
      <c r="AE253" s="20" t="s">
        <v>125</v>
      </c>
      <c r="AF253" s="20" t="str">
        <f>_xlfn.XLOOKUP(Table4[[#This Row],[FromSite-UPS]],sites!D:D,sites!AB:AB,"",0)&amp;_xlfn.XLOOKUP(Table4[[#This Row],[ToLab]],labs!D:D,labs!Q:Q,"",0)</f>
        <v>EUEU</v>
      </c>
    </row>
    <row r="254" spans="2:32" ht="15.6" hidden="1" customHeight="1" x14ac:dyDescent="0.25">
      <c r="B254" s="13">
        <v>385</v>
      </c>
      <c r="C254" s="14" t="s">
        <v>53</v>
      </c>
      <c r="D254" s="13">
        <v>1</v>
      </c>
      <c r="E254" s="79">
        <v>45917</v>
      </c>
      <c r="F254" s="81">
        <v>45918</v>
      </c>
      <c r="G254" s="20">
        <f>IFERROR(WEEKNUM(Table4[[#This Row],[Confirmed Pick-up Date]]),"TBD")</f>
        <v>38</v>
      </c>
      <c r="H254" s="20" t="str">
        <f>IFERROR(TEXT(Table4[[#This Row],[Confirmed Pick-up Date]],"yy-mm"),"TBD")</f>
        <v>25-09</v>
      </c>
      <c r="I254" s="67" t="s">
        <v>1628</v>
      </c>
      <c r="J254" s="20" t="str">
        <f>IFERROR(VLOOKUP(Table4[[#This Row],[FromSite-UPS]],Table1[[#All],[Company or Name]:[FromSite3]],15,FALSE),"")</f>
        <v>Funchal WWTP</v>
      </c>
      <c r="K254" s="20" t="str">
        <f>IFERROR(VLOOKUP(Table4[[#This Row],[FromSite-UPS]],Table1[[#All],[Company or Name]:[FromSite3]],16,FALSE),"")</f>
        <v>Madeira, 10 locations</v>
      </c>
      <c r="L254" s="20">
        <f>IFERROR(VLOOKUP(Table4[[#This Row],[FromSite-UPS]],Table1[[#All],[Company or Name]:[FromSite3]],14,FALSE),"")</f>
        <v>0.70833333333333337</v>
      </c>
      <c r="M254" s="13" t="s">
        <v>1011</v>
      </c>
      <c r="N254" s="20" t="s">
        <v>134</v>
      </c>
      <c r="O254" s="118">
        <v>5988527355</v>
      </c>
      <c r="P254" s="101"/>
      <c r="Q254" s="101" t="s">
        <v>1555</v>
      </c>
      <c r="R254" s="20" t="s">
        <v>1658</v>
      </c>
      <c r="S254" s="20" t="s">
        <v>125</v>
      </c>
      <c r="T254" s="20" t="s">
        <v>856</v>
      </c>
      <c r="U254" s="20"/>
      <c r="V254" s="20"/>
      <c r="W254" s="20" t="str">
        <f>TEXT(Table4[[#This Row],[Confirmed Sampling Date]], "yyyy") &amp; "_" &amp; TEXT(Table4[[#This Row],[Confirmed Sampling Date]], "mm") &amp; "_" &amp; TEXT(Table4[[#This Row],[Confirmed Sampling Date]], "dd")</f>
        <v>2025_09_17</v>
      </c>
      <c r="X254" s="20" t="str">
        <f t="shared" si="3"/>
        <v>Funchal</v>
      </c>
      <c r="Y254" s="20" t="str">
        <f>VLOOKUP(Table4[[#This Row],[FromSite-UPS]],Table1[[Company or Name]:[NOTES]],2,FALSE)</f>
        <v>Portugal</v>
      </c>
      <c r="Z254" s="20">
        <f>IFERROR(WEEKNUM(Table4[[#This Row],[Confirmed Sampling Date]] - 10, 21), "TBD")</f>
        <v>36</v>
      </c>
      <c r="AA254" s="20" t="str">
        <f>_xlfn.XLOOKUP(Table4[[#This Row],[FromSite-UPS]],sites!D:D,sites!W:W,"",0)</f>
        <v>R. do Matadouro 4, Funchal, 9050-100, Portugal</v>
      </c>
      <c r="AB254" s="20" t="str">
        <f>_xlfn.XLOOKUP(Table4[[#This Row],[ToLab]],labs!D:D,labs!P:P,"no adres",0)</f>
        <v>Av. Rovisco Pais 1, Laboratorio de Analises de Agua, Lisbon, 1049-001, Portugal</v>
      </c>
      <c r="AC254" s="20">
        <f>_xlfn.XLOOKUP(Table4[[#This Row],[combi]],AREA!E:E,AREA!F:F,"",0)</f>
        <v>89</v>
      </c>
      <c r="AD254" s="20" t="str">
        <f>_xlfn.XLOOKUP(Table4[[#This Row],[combi]],AREA!E:E,AREA!G:G,"",0)</f>
        <v>Pick-up service of hypothetic package as defined in the Tech. Specs. and delivery to lots
2 and 3 contractors according to Scenario 1</v>
      </c>
      <c r="AE254" s="20" t="s">
        <v>125</v>
      </c>
      <c r="AF254" s="20" t="str">
        <f>_xlfn.XLOOKUP(Table4[[#This Row],[FromSite-UPS]],sites!D:D,sites!AB:AB,"",0)&amp;_xlfn.XLOOKUP(Table4[[#This Row],[ToLab]],labs!D:D,labs!Q:Q,"",0)</f>
        <v>EUEU</v>
      </c>
    </row>
    <row r="255" spans="2:32" ht="15.6" hidden="1" customHeight="1" x14ac:dyDescent="0.25">
      <c r="B255" s="13">
        <v>395</v>
      </c>
      <c r="C255" s="14" t="s">
        <v>53</v>
      </c>
      <c r="D255" s="13">
        <v>1</v>
      </c>
      <c r="E255" s="79">
        <v>45917</v>
      </c>
      <c r="F255" s="81">
        <v>45918</v>
      </c>
      <c r="G255" s="20">
        <f>IFERROR(WEEKNUM(Table4[[#This Row],[Confirmed Pick-up Date]]),"TBD")</f>
        <v>38</v>
      </c>
      <c r="H255" s="20" t="str">
        <f>IFERROR(TEXT(Table4[[#This Row],[Confirmed Pick-up Date]],"yy-mm"),"TBD")</f>
        <v>25-09</v>
      </c>
      <c r="I255" s="67" t="s">
        <v>1628</v>
      </c>
      <c r="J255" s="20" t="str">
        <f>IFERROR(VLOOKUP(Table4[[#This Row],[FromSite-UPS]],Table1[[#All],[Company or Name]:[FromSite3]],15,FALSE),"")</f>
        <v>Funchal WWTP</v>
      </c>
      <c r="K255" s="20" t="str">
        <f>IFERROR(VLOOKUP(Table4[[#This Row],[FromSite-UPS]],Table1[[#All],[Company or Name]:[FromSite3]],16,FALSE),"")</f>
        <v>Madeira, 10 locations</v>
      </c>
      <c r="L255" s="20">
        <f>IFERROR(VLOOKUP(Table4[[#This Row],[FromSite-UPS]],Table1[[#All],[Company or Name]:[FromSite3]],14,FALSE),"")</f>
        <v>0.70833333333333337</v>
      </c>
      <c r="M255" s="13" t="s">
        <v>1011</v>
      </c>
      <c r="N255" s="20" t="s">
        <v>134</v>
      </c>
      <c r="O255" s="118">
        <v>5988527355</v>
      </c>
      <c r="P255" s="101"/>
      <c r="Q255" s="101" t="s">
        <v>1555</v>
      </c>
      <c r="R255" s="20" t="s">
        <v>1659</v>
      </c>
      <c r="S255" s="20" t="s">
        <v>125</v>
      </c>
      <c r="T255" s="20" t="s">
        <v>856</v>
      </c>
      <c r="U255" s="20"/>
      <c r="V255" s="20"/>
      <c r="W255" s="20" t="str">
        <f>TEXT(Table4[[#This Row],[Confirmed Sampling Date]], "yyyy") &amp; "_" &amp; TEXT(Table4[[#This Row],[Confirmed Sampling Date]], "mm") &amp; "_" &amp; TEXT(Table4[[#This Row],[Confirmed Sampling Date]], "dd")</f>
        <v>2025_09_17</v>
      </c>
      <c r="X255" s="20" t="str">
        <f t="shared" si="3"/>
        <v>Funchal</v>
      </c>
      <c r="Y255" s="20" t="str">
        <f>VLOOKUP(Table4[[#This Row],[FromSite-UPS]],Table1[[Company or Name]:[NOTES]],2,FALSE)</f>
        <v>Portugal</v>
      </c>
      <c r="Z255" s="20">
        <f>IFERROR(WEEKNUM(Table4[[#This Row],[Confirmed Sampling Date]] - 10, 21), "TBD")</f>
        <v>36</v>
      </c>
      <c r="AA255" s="20" t="str">
        <f>_xlfn.XLOOKUP(Table4[[#This Row],[FromSite-UPS]],sites!D:D,sites!W:W,"",0)</f>
        <v>R. do Matadouro 4, Funchal, 9050-100, Portugal</v>
      </c>
      <c r="AB255" s="20" t="str">
        <f>_xlfn.XLOOKUP(Table4[[#This Row],[ToLab]],labs!D:D,labs!P:P,"no adres",0)</f>
        <v>Av. Rovisco Pais 1, Laboratorio de Analises de Agua, Lisbon, 1049-001, Portugal</v>
      </c>
      <c r="AC255" s="20">
        <f>_xlfn.XLOOKUP(Table4[[#This Row],[combi]],AREA!E:E,AREA!F:F,"",0)</f>
        <v>89</v>
      </c>
      <c r="AD255" s="20" t="str">
        <f>_xlfn.XLOOKUP(Table4[[#This Row],[combi]],AREA!E:E,AREA!G:G,"",0)</f>
        <v>Pick-up service of hypothetic package as defined in the Tech. Specs. and delivery to lots
2 and 3 contractors according to Scenario 1</v>
      </c>
      <c r="AE255" s="20" t="s">
        <v>125</v>
      </c>
      <c r="AF255" s="20" t="str">
        <f>_xlfn.XLOOKUP(Table4[[#This Row],[FromSite-UPS]],sites!D:D,sites!AB:AB,"",0)&amp;_xlfn.XLOOKUP(Table4[[#This Row],[ToLab]],labs!D:D,labs!Q:Q,"",0)</f>
        <v>EUEU</v>
      </c>
    </row>
    <row r="256" spans="2:32" ht="15.6" hidden="1" customHeight="1" x14ac:dyDescent="0.25">
      <c r="B256" s="13">
        <v>405</v>
      </c>
      <c r="C256" s="14" t="s">
        <v>53</v>
      </c>
      <c r="D256" s="13">
        <v>1</v>
      </c>
      <c r="E256" s="79">
        <v>45917</v>
      </c>
      <c r="F256" s="81">
        <v>45918</v>
      </c>
      <c r="G256" s="20">
        <f>IFERROR(WEEKNUM(Table4[[#This Row],[Confirmed Pick-up Date]]),"TBD")</f>
        <v>38</v>
      </c>
      <c r="H256" s="20" t="str">
        <f>IFERROR(TEXT(Table4[[#This Row],[Confirmed Pick-up Date]],"yy-mm"),"TBD")</f>
        <v>25-09</v>
      </c>
      <c r="I256" s="67" t="s">
        <v>1628</v>
      </c>
      <c r="J256" s="20" t="str">
        <f>IFERROR(VLOOKUP(Table4[[#This Row],[FromSite-UPS]],Table1[[#All],[Company or Name]:[FromSite3]],15,FALSE),"")</f>
        <v>Funchal WWTP</v>
      </c>
      <c r="K256" s="20" t="str">
        <f>IFERROR(VLOOKUP(Table4[[#This Row],[FromSite-UPS]],Table1[[#All],[Company or Name]:[FromSite3]],16,FALSE),"")</f>
        <v>Madeira, 10 locations</v>
      </c>
      <c r="L256" s="20">
        <f>IFERROR(VLOOKUP(Table4[[#This Row],[FromSite-UPS]],Table1[[#All],[Company or Name]:[FromSite3]],14,FALSE),"")</f>
        <v>0.70833333333333337</v>
      </c>
      <c r="M256" s="13" t="s">
        <v>1011</v>
      </c>
      <c r="N256" s="20" t="s">
        <v>134</v>
      </c>
      <c r="O256" s="118">
        <v>5988527355</v>
      </c>
      <c r="P256" s="101"/>
      <c r="Q256" s="101" t="s">
        <v>1555</v>
      </c>
      <c r="R256" s="20" t="s">
        <v>1660</v>
      </c>
      <c r="S256" s="20" t="s">
        <v>125</v>
      </c>
      <c r="T256" s="20" t="s">
        <v>856</v>
      </c>
      <c r="U256" s="20"/>
      <c r="V256" s="20"/>
      <c r="W256" s="20" t="str">
        <f>TEXT(Table4[[#This Row],[Confirmed Sampling Date]], "yyyy") &amp; "_" &amp; TEXT(Table4[[#This Row],[Confirmed Sampling Date]], "mm") &amp; "_" &amp; TEXT(Table4[[#This Row],[Confirmed Sampling Date]], "dd")</f>
        <v>2025_09_17</v>
      </c>
      <c r="X256" s="20" t="str">
        <f t="shared" si="3"/>
        <v>Funchal</v>
      </c>
      <c r="Y256" s="20" t="str">
        <f>VLOOKUP(Table4[[#This Row],[FromSite-UPS]],Table1[[Company or Name]:[NOTES]],2,FALSE)</f>
        <v>Portugal</v>
      </c>
      <c r="Z256" s="20">
        <f>IFERROR(WEEKNUM(Table4[[#This Row],[Confirmed Sampling Date]] - 10, 21), "TBD")</f>
        <v>36</v>
      </c>
      <c r="AA256" s="20" t="str">
        <f>_xlfn.XLOOKUP(Table4[[#This Row],[FromSite-UPS]],sites!D:D,sites!W:W,"",0)</f>
        <v>R. do Matadouro 4, Funchal, 9050-100, Portugal</v>
      </c>
      <c r="AB256" s="20" t="str">
        <f>_xlfn.XLOOKUP(Table4[[#This Row],[ToLab]],labs!D:D,labs!P:P,"no adres",0)</f>
        <v>Av. Rovisco Pais 1, Laboratorio de Analises de Agua, Lisbon, 1049-001, Portugal</v>
      </c>
      <c r="AC256" s="20">
        <f>_xlfn.XLOOKUP(Table4[[#This Row],[combi]],AREA!E:E,AREA!F:F,"",0)</f>
        <v>89</v>
      </c>
      <c r="AD256" s="20" t="str">
        <f>_xlfn.XLOOKUP(Table4[[#This Row],[combi]],AREA!E:E,AREA!G:G,"",0)</f>
        <v>Pick-up service of hypothetic package as defined in the Tech. Specs. and delivery to lots
2 and 3 contractors according to Scenario 1</v>
      </c>
      <c r="AE256" s="20" t="s">
        <v>125</v>
      </c>
      <c r="AF256" s="20" t="str">
        <f>_xlfn.XLOOKUP(Table4[[#This Row],[FromSite-UPS]],sites!D:D,sites!AB:AB,"",0)&amp;_xlfn.XLOOKUP(Table4[[#This Row],[ToLab]],labs!D:D,labs!Q:Q,"",0)</f>
        <v>EUEU</v>
      </c>
    </row>
    <row r="257" spans="2:32" ht="15.6" hidden="1" customHeight="1" x14ac:dyDescent="0.25">
      <c r="B257" s="13">
        <v>415</v>
      </c>
      <c r="C257" s="14" t="s">
        <v>53</v>
      </c>
      <c r="D257" s="13">
        <v>1</v>
      </c>
      <c r="E257" s="79">
        <v>45917</v>
      </c>
      <c r="F257" s="81">
        <v>45918</v>
      </c>
      <c r="G257" s="20">
        <f>IFERROR(WEEKNUM(Table4[[#This Row],[Confirmed Pick-up Date]]),"TBD")</f>
        <v>38</v>
      </c>
      <c r="H257" s="20" t="str">
        <f>IFERROR(TEXT(Table4[[#This Row],[Confirmed Pick-up Date]],"yy-mm"),"TBD")</f>
        <v>25-09</v>
      </c>
      <c r="I257" s="67" t="s">
        <v>1628</v>
      </c>
      <c r="J257" s="20" t="str">
        <f>IFERROR(VLOOKUP(Table4[[#This Row],[FromSite-UPS]],Table1[[#All],[Company or Name]:[FromSite3]],15,FALSE),"")</f>
        <v>Funchal WWTP</v>
      </c>
      <c r="K257" s="20" t="str">
        <f>IFERROR(VLOOKUP(Table4[[#This Row],[FromSite-UPS]],Table1[[#All],[Company or Name]:[FromSite3]],16,FALSE),"")</f>
        <v>Madeira, 10 locations</v>
      </c>
      <c r="L257" s="20">
        <f>IFERROR(VLOOKUP(Table4[[#This Row],[FromSite-UPS]],Table1[[#All],[Company or Name]:[FromSite3]],14,FALSE),"")</f>
        <v>0.70833333333333337</v>
      </c>
      <c r="M257" s="13" t="s">
        <v>1011</v>
      </c>
      <c r="N257" s="20" t="s">
        <v>134</v>
      </c>
      <c r="O257" s="118">
        <v>5988527355</v>
      </c>
      <c r="P257" s="101"/>
      <c r="Q257" s="65" t="s">
        <v>1555</v>
      </c>
      <c r="R257" s="20" t="s">
        <v>1661</v>
      </c>
      <c r="S257" s="20" t="s">
        <v>125</v>
      </c>
      <c r="T257" s="20" t="s">
        <v>856</v>
      </c>
      <c r="U257" s="20"/>
      <c r="V257" s="20"/>
      <c r="W257" s="20" t="str">
        <f>TEXT(Table4[[#This Row],[Confirmed Sampling Date]], "yyyy") &amp; "_" &amp; TEXT(Table4[[#This Row],[Confirmed Sampling Date]], "mm") &amp; "_" &amp; TEXT(Table4[[#This Row],[Confirmed Sampling Date]], "dd")</f>
        <v>2025_09_17</v>
      </c>
      <c r="X257" s="20" t="str">
        <f t="shared" si="3"/>
        <v>Funchal</v>
      </c>
      <c r="Y257" s="20" t="str">
        <f>VLOOKUP(Table4[[#This Row],[FromSite-UPS]],Table1[[Company or Name]:[NOTES]],2,FALSE)</f>
        <v>Portugal</v>
      </c>
      <c r="Z257" s="20">
        <f>IFERROR(WEEKNUM(Table4[[#This Row],[Confirmed Sampling Date]] - 10, 21), "TBD")</f>
        <v>36</v>
      </c>
      <c r="AA257" s="20" t="str">
        <f>_xlfn.XLOOKUP(Table4[[#This Row],[FromSite-UPS]],sites!D:D,sites!W:W,"",0)</f>
        <v>R. do Matadouro 4, Funchal, 9050-100, Portugal</v>
      </c>
      <c r="AB257" s="20" t="str">
        <f>_xlfn.XLOOKUP(Table4[[#This Row],[ToLab]],labs!D:D,labs!P:P,"no adres",0)</f>
        <v>Av. Rovisco Pais 1, Laboratorio de Analises de Agua, Lisbon, 1049-001, Portugal</v>
      </c>
      <c r="AC257" s="20">
        <f>_xlfn.XLOOKUP(Table4[[#This Row],[combi]],AREA!E:E,AREA!F:F,"",0)</f>
        <v>89</v>
      </c>
      <c r="AD257" s="20" t="str">
        <f>_xlfn.XLOOKUP(Table4[[#This Row],[combi]],AREA!E:E,AREA!G:G,"",0)</f>
        <v>Pick-up service of hypothetic package as defined in the Tech. Specs. and delivery to lots
2 and 3 contractors according to Scenario 1</v>
      </c>
      <c r="AE257" s="20" t="s">
        <v>125</v>
      </c>
      <c r="AF257" s="20" t="str">
        <f>_xlfn.XLOOKUP(Table4[[#This Row],[FromSite-UPS]],sites!D:D,sites!AB:AB,"",0)&amp;_xlfn.XLOOKUP(Table4[[#This Row],[ToLab]],labs!D:D,labs!Q:Q,"",0)</f>
        <v>EUEU</v>
      </c>
    </row>
    <row r="258" spans="2:32" ht="15.6" hidden="1" customHeight="1" x14ac:dyDescent="0.25">
      <c r="B258" s="13">
        <v>425</v>
      </c>
      <c r="C258" s="14" t="s">
        <v>53</v>
      </c>
      <c r="D258" s="13">
        <v>1</v>
      </c>
      <c r="E258" s="79">
        <v>45917</v>
      </c>
      <c r="F258" s="81">
        <v>45918</v>
      </c>
      <c r="G258" s="20">
        <f>IFERROR(WEEKNUM(Table4[[#This Row],[Confirmed Pick-up Date]]),"TBD")</f>
        <v>38</v>
      </c>
      <c r="H258" s="20" t="str">
        <f>IFERROR(TEXT(Table4[[#This Row],[Confirmed Pick-up Date]],"yy-mm"),"TBD")</f>
        <v>25-09</v>
      </c>
      <c r="I258" s="67" t="s">
        <v>1628</v>
      </c>
      <c r="J258" s="20" t="str">
        <f>IFERROR(VLOOKUP(Table4[[#This Row],[FromSite-UPS]],Table1[[#All],[Company or Name]:[FromSite3]],15,FALSE),"")</f>
        <v>Funchal WWTP</v>
      </c>
      <c r="K258" s="20" t="str">
        <f>IFERROR(VLOOKUP(Table4[[#This Row],[FromSite-UPS]],Table1[[#All],[Company or Name]:[FromSite3]],16,FALSE),"")</f>
        <v>Madeira, 10 locations</v>
      </c>
      <c r="L258" s="20">
        <f>IFERROR(VLOOKUP(Table4[[#This Row],[FromSite-UPS]],Table1[[#All],[Company or Name]:[FromSite3]],14,FALSE),"")</f>
        <v>0.70833333333333337</v>
      </c>
      <c r="M258" s="13" t="s">
        <v>1011</v>
      </c>
      <c r="N258" s="20" t="s">
        <v>134</v>
      </c>
      <c r="O258" s="118">
        <v>5988527355</v>
      </c>
      <c r="P258" s="101"/>
      <c r="Q258" s="65" t="s">
        <v>1555</v>
      </c>
      <c r="R258" s="20" t="s">
        <v>1662</v>
      </c>
      <c r="S258" s="20" t="s">
        <v>125</v>
      </c>
      <c r="T258" s="20" t="s">
        <v>856</v>
      </c>
      <c r="U258" s="20"/>
      <c r="V258" s="20"/>
      <c r="W258" s="20" t="str">
        <f>TEXT(Table4[[#This Row],[Confirmed Sampling Date]], "yyyy") &amp; "_" &amp; TEXT(Table4[[#This Row],[Confirmed Sampling Date]], "mm") &amp; "_" &amp; TEXT(Table4[[#This Row],[Confirmed Sampling Date]], "dd")</f>
        <v>2025_09_17</v>
      </c>
      <c r="X258" s="20" t="str">
        <f t="shared" si="3"/>
        <v>Funchal</v>
      </c>
      <c r="Y258" s="20" t="str">
        <f>VLOOKUP(Table4[[#This Row],[FromSite-UPS]],Table1[[Company or Name]:[NOTES]],2,FALSE)</f>
        <v>Portugal</v>
      </c>
      <c r="Z258" s="20">
        <f>IFERROR(WEEKNUM(Table4[[#This Row],[Confirmed Sampling Date]] - 10, 21), "TBD")</f>
        <v>36</v>
      </c>
      <c r="AA258" s="20" t="str">
        <f>_xlfn.XLOOKUP(Table4[[#This Row],[FromSite-UPS]],sites!D:D,sites!W:W,"",0)</f>
        <v>R. do Matadouro 4, Funchal, 9050-100, Portugal</v>
      </c>
      <c r="AB258" s="20" t="str">
        <f>_xlfn.XLOOKUP(Table4[[#This Row],[ToLab]],labs!D:D,labs!P:P,"no adres",0)</f>
        <v>Av. Rovisco Pais 1, Laboratorio de Analises de Agua, Lisbon, 1049-001, Portugal</v>
      </c>
      <c r="AC258" s="20">
        <f>_xlfn.XLOOKUP(Table4[[#This Row],[combi]],AREA!E:E,AREA!F:F,"",0)</f>
        <v>89</v>
      </c>
      <c r="AD258" s="20" t="str">
        <f>_xlfn.XLOOKUP(Table4[[#This Row],[combi]],AREA!E:E,AREA!G:G,"",0)</f>
        <v>Pick-up service of hypothetic package as defined in the Tech. Specs. and delivery to lots
2 and 3 contractors according to Scenario 1</v>
      </c>
      <c r="AE258" s="20" t="s">
        <v>125</v>
      </c>
      <c r="AF258" s="20" t="str">
        <f>_xlfn.XLOOKUP(Table4[[#This Row],[FromSite-UPS]],sites!D:D,sites!AB:AB,"",0)&amp;_xlfn.XLOOKUP(Table4[[#This Row],[ToLab]],labs!D:D,labs!Q:Q,"",0)</f>
        <v>EUEU</v>
      </c>
    </row>
    <row r="259" spans="2:32" ht="15.6" hidden="1" customHeight="1" x14ac:dyDescent="0.25">
      <c r="B259" s="13">
        <v>435</v>
      </c>
      <c r="C259" s="14" t="s">
        <v>53</v>
      </c>
      <c r="D259" s="13">
        <v>1</v>
      </c>
      <c r="E259" s="79">
        <v>45917</v>
      </c>
      <c r="F259" s="81">
        <v>45918</v>
      </c>
      <c r="G259" s="20">
        <f>IFERROR(WEEKNUM(Table4[[#This Row],[Confirmed Pick-up Date]]),"TBD")</f>
        <v>38</v>
      </c>
      <c r="H259" s="20" t="str">
        <f>IFERROR(TEXT(Table4[[#This Row],[Confirmed Pick-up Date]],"yy-mm"),"TBD")</f>
        <v>25-09</v>
      </c>
      <c r="I259" s="67" t="s">
        <v>1628</v>
      </c>
      <c r="J259" s="20" t="str">
        <f>IFERROR(VLOOKUP(Table4[[#This Row],[FromSite-UPS]],Table1[[#All],[Company or Name]:[FromSite3]],15,FALSE),"")</f>
        <v>Funchal WWTP</v>
      </c>
      <c r="K259" s="20" t="str">
        <f>IFERROR(VLOOKUP(Table4[[#This Row],[FromSite-UPS]],Table1[[#All],[Company or Name]:[FromSite3]],16,FALSE),"")</f>
        <v>Madeira, 10 locations</v>
      </c>
      <c r="L259" s="20">
        <f>IFERROR(VLOOKUP(Table4[[#This Row],[FromSite-UPS]],Table1[[#All],[Company or Name]:[FromSite3]],14,FALSE),"")</f>
        <v>0.70833333333333337</v>
      </c>
      <c r="M259" s="13" t="s">
        <v>1011</v>
      </c>
      <c r="N259" s="20" t="s">
        <v>134</v>
      </c>
      <c r="O259" s="118">
        <v>5988527355</v>
      </c>
      <c r="P259" s="20"/>
      <c r="Q259" s="20" t="s">
        <v>1555</v>
      </c>
      <c r="R259" s="20" t="s">
        <v>1663</v>
      </c>
      <c r="S259" s="20" t="s">
        <v>125</v>
      </c>
      <c r="T259" s="20" t="s">
        <v>856</v>
      </c>
      <c r="U259" s="20"/>
      <c r="V259" s="20"/>
      <c r="W259" s="20" t="str">
        <f>TEXT(Table4[[#This Row],[Confirmed Sampling Date]], "yyyy") &amp; "_" &amp; TEXT(Table4[[#This Row],[Confirmed Sampling Date]], "mm") &amp; "_" &amp; TEXT(Table4[[#This Row],[Confirmed Sampling Date]], "dd")</f>
        <v>2025_09_17</v>
      </c>
      <c r="X259" s="20" t="str">
        <f t="shared" si="3"/>
        <v>Funchal</v>
      </c>
      <c r="Y259" s="20" t="str">
        <f>VLOOKUP(Table4[[#This Row],[FromSite-UPS]],Table1[[Company or Name]:[NOTES]],2,FALSE)</f>
        <v>Portugal</v>
      </c>
      <c r="Z259" s="20">
        <f>IFERROR(WEEKNUM(Table4[[#This Row],[Confirmed Sampling Date]] - 10, 21), "TBD")</f>
        <v>36</v>
      </c>
      <c r="AA259" s="20" t="str">
        <f>_xlfn.XLOOKUP(Table4[[#This Row],[FromSite-UPS]],sites!D:D,sites!W:W,"",0)</f>
        <v>R. do Matadouro 4, Funchal, 9050-100, Portugal</v>
      </c>
      <c r="AB259" s="20" t="str">
        <f>_xlfn.XLOOKUP(Table4[[#This Row],[ToLab]],labs!D:D,labs!P:P,"no adres",0)</f>
        <v>Av. Rovisco Pais 1, Laboratorio de Analises de Agua, Lisbon, 1049-001, Portugal</v>
      </c>
      <c r="AC259" s="20">
        <f>_xlfn.XLOOKUP(Table4[[#This Row],[combi]],AREA!E:E,AREA!F:F,"",0)</f>
        <v>89</v>
      </c>
      <c r="AD259" s="20" t="str">
        <f>_xlfn.XLOOKUP(Table4[[#This Row],[combi]],AREA!E:E,AREA!G:G,"",0)</f>
        <v>Pick-up service of hypothetic package as defined in the Tech. Specs. and delivery to lots
2 and 3 contractors according to Scenario 1</v>
      </c>
      <c r="AE259" s="20" t="s">
        <v>125</v>
      </c>
      <c r="AF259" s="20" t="str">
        <f>_xlfn.XLOOKUP(Table4[[#This Row],[FromSite-UPS]],sites!D:D,sites!AB:AB,"",0)&amp;_xlfn.XLOOKUP(Table4[[#This Row],[ToLab]],labs!D:D,labs!Q:Q,"",0)</f>
        <v>EUEU</v>
      </c>
    </row>
    <row r="260" spans="2:32" ht="15.6" hidden="1" customHeight="1" x14ac:dyDescent="0.25">
      <c r="B260" s="13">
        <v>445</v>
      </c>
      <c r="C260" s="14" t="s">
        <v>53</v>
      </c>
      <c r="D260" s="13">
        <v>1</v>
      </c>
      <c r="E260" s="79">
        <v>45917</v>
      </c>
      <c r="F260" s="81">
        <v>45918</v>
      </c>
      <c r="G260" s="20">
        <f>IFERROR(WEEKNUM(Table4[[#This Row],[Confirmed Pick-up Date]]),"TBD")</f>
        <v>38</v>
      </c>
      <c r="H260" s="20" t="str">
        <f>IFERROR(TEXT(Table4[[#This Row],[Confirmed Pick-up Date]],"yy-mm"),"TBD")</f>
        <v>25-09</v>
      </c>
      <c r="I260" s="67" t="s">
        <v>1628</v>
      </c>
      <c r="J260" s="20" t="str">
        <f>IFERROR(VLOOKUP(Table4[[#This Row],[FromSite-UPS]],Table1[[#All],[Company or Name]:[FromSite3]],15,FALSE),"")</f>
        <v>Funchal WWTP</v>
      </c>
      <c r="K260" s="20" t="str">
        <f>IFERROR(VLOOKUP(Table4[[#This Row],[FromSite-UPS]],Table1[[#All],[Company or Name]:[FromSite3]],16,FALSE),"")</f>
        <v>Madeira, 10 locations</v>
      </c>
      <c r="L260" s="20">
        <f>IFERROR(VLOOKUP(Table4[[#This Row],[FromSite-UPS]],Table1[[#All],[Company or Name]:[FromSite3]],14,FALSE),"")</f>
        <v>0.70833333333333337</v>
      </c>
      <c r="M260" s="13" t="s">
        <v>1011</v>
      </c>
      <c r="N260" s="20" t="s">
        <v>134</v>
      </c>
      <c r="O260" s="118">
        <v>5988527355</v>
      </c>
      <c r="P260" s="65"/>
      <c r="Q260" s="65" t="s">
        <v>1555</v>
      </c>
      <c r="R260" s="20" t="s">
        <v>1664</v>
      </c>
      <c r="S260" s="20" t="s">
        <v>125</v>
      </c>
      <c r="T260" s="20" t="s">
        <v>856</v>
      </c>
      <c r="U260" s="20"/>
      <c r="V260" s="20"/>
      <c r="W260" s="20" t="str">
        <f>TEXT(Table4[[#This Row],[Confirmed Sampling Date]], "yyyy") &amp; "_" &amp; TEXT(Table4[[#This Row],[Confirmed Sampling Date]], "mm") &amp; "_" &amp; TEXT(Table4[[#This Row],[Confirmed Sampling Date]], "dd")</f>
        <v>2025_09_17</v>
      </c>
      <c r="X260" s="20" t="str">
        <f t="shared" si="3"/>
        <v>Funchal</v>
      </c>
      <c r="Y260" s="20" t="str">
        <f>VLOOKUP(Table4[[#This Row],[FromSite-UPS]],Table1[[Company or Name]:[NOTES]],2,FALSE)</f>
        <v>Portugal</v>
      </c>
      <c r="Z260" s="20">
        <f>IFERROR(WEEKNUM(Table4[[#This Row],[Confirmed Sampling Date]] - 10, 21), "TBD")</f>
        <v>36</v>
      </c>
      <c r="AA260" s="20" t="str">
        <f>_xlfn.XLOOKUP(Table4[[#This Row],[FromSite-UPS]],sites!D:D,sites!W:W,"",0)</f>
        <v>R. do Matadouro 4, Funchal, 9050-100, Portugal</v>
      </c>
      <c r="AB260" s="20" t="str">
        <f>_xlfn.XLOOKUP(Table4[[#This Row],[ToLab]],labs!D:D,labs!P:P,"no adres",0)</f>
        <v>Av. Rovisco Pais 1, Laboratorio de Analises de Agua, Lisbon, 1049-001, Portugal</v>
      </c>
      <c r="AC260" s="20">
        <f>_xlfn.XLOOKUP(Table4[[#This Row],[combi]],AREA!E:E,AREA!F:F,"",0)</f>
        <v>89</v>
      </c>
      <c r="AD260" s="20" t="str">
        <f>_xlfn.XLOOKUP(Table4[[#This Row],[combi]],AREA!E:E,AREA!G:G,"",0)</f>
        <v>Pick-up service of hypothetic package as defined in the Tech. Specs. and delivery to lots
2 and 3 contractors according to Scenario 1</v>
      </c>
      <c r="AE260" s="20" t="s">
        <v>125</v>
      </c>
      <c r="AF260" s="20" t="str">
        <f>_xlfn.XLOOKUP(Table4[[#This Row],[FromSite-UPS]],sites!D:D,sites!AB:AB,"",0)&amp;_xlfn.XLOOKUP(Table4[[#This Row],[ToLab]],labs!D:D,labs!Q:Q,"",0)</f>
        <v>EUEU</v>
      </c>
    </row>
    <row r="261" spans="2:32" ht="15.6" hidden="1" customHeight="1" x14ac:dyDescent="0.25">
      <c r="B261" s="13">
        <v>455</v>
      </c>
      <c r="C261" s="14" t="s">
        <v>53</v>
      </c>
      <c r="D261" s="13">
        <v>1</v>
      </c>
      <c r="E261" s="79">
        <v>45917</v>
      </c>
      <c r="F261" s="81">
        <v>45918</v>
      </c>
      <c r="G261" s="20">
        <f>IFERROR(WEEKNUM(Table4[[#This Row],[Confirmed Pick-up Date]]),"TBD")</f>
        <v>38</v>
      </c>
      <c r="H261" s="20" t="str">
        <f>IFERROR(TEXT(Table4[[#This Row],[Confirmed Pick-up Date]],"yy-mm"),"TBD")</f>
        <v>25-09</v>
      </c>
      <c r="I261" s="67" t="s">
        <v>1628</v>
      </c>
      <c r="J261" s="20" t="str">
        <f>IFERROR(VLOOKUP(Table4[[#This Row],[FromSite-UPS]],Table1[[#All],[Company or Name]:[FromSite3]],15,FALSE),"")</f>
        <v>Funchal WWTP</v>
      </c>
      <c r="K261" s="20" t="str">
        <f>IFERROR(VLOOKUP(Table4[[#This Row],[FromSite-UPS]],Table1[[#All],[Company or Name]:[FromSite3]],16,FALSE),"")</f>
        <v>Madeira, 10 locations</v>
      </c>
      <c r="L261" s="20">
        <f>IFERROR(VLOOKUP(Table4[[#This Row],[FromSite-UPS]],Table1[[#All],[Company or Name]:[FromSite3]],14,FALSE),"")</f>
        <v>0.70833333333333337</v>
      </c>
      <c r="M261" s="13" t="s">
        <v>1011</v>
      </c>
      <c r="N261" s="20" t="s">
        <v>134</v>
      </c>
      <c r="O261" s="118">
        <v>5988527355</v>
      </c>
      <c r="P261" s="20"/>
      <c r="Q261" s="20" t="s">
        <v>1555</v>
      </c>
      <c r="R261" s="20" t="s">
        <v>1665</v>
      </c>
      <c r="S261" s="20" t="s">
        <v>125</v>
      </c>
      <c r="T261" s="20" t="s">
        <v>856</v>
      </c>
      <c r="U261" s="20"/>
      <c r="V261" s="20"/>
      <c r="W261" s="20" t="str">
        <f>TEXT(Table4[[#This Row],[Confirmed Sampling Date]], "yyyy") &amp; "_" &amp; TEXT(Table4[[#This Row],[Confirmed Sampling Date]], "mm") &amp; "_" &amp; TEXT(Table4[[#This Row],[Confirmed Sampling Date]], "dd")</f>
        <v>2025_09_17</v>
      </c>
      <c r="X261" s="20" t="str">
        <f t="shared" ref="X261:X324" si="4">IFERROR(LEFT(J261, FIND(" ", J261) - 1), J261)</f>
        <v>Funchal</v>
      </c>
      <c r="Y261" s="20" t="str">
        <f>VLOOKUP(Table4[[#This Row],[FromSite-UPS]],Table1[[Company or Name]:[NOTES]],2,FALSE)</f>
        <v>Portugal</v>
      </c>
      <c r="Z261" s="20">
        <f>IFERROR(WEEKNUM(Table4[[#This Row],[Confirmed Sampling Date]] - 10, 21), "TBD")</f>
        <v>36</v>
      </c>
      <c r="AA261" s="20" t="str">
        <f>_xlfn.XLOOKUP(Table4[[#This Row],[FromSite-UPS]],sites!D:D,sites!W:W,"",0)</f>
        <v>R. do Matadouro 4, Funchal, 9050-100, Portugal</v>
      </c>
      <c r="AB261" s="20" t="str">
        <f>_xlfn.XLOOKUP(Table4[[#This Row],[ToLab]],labs!D:D,labs!P:P,"no adres",0)</f>
        <v>Av. Rovisco Pais 1, Laboratorio de Analises de Agua, Lisbon, 1049-001, Portugal</v>
      </c>
      <c r="AC261" s="20">
        <f>_xlfn.XLOOKUP(Table4[[#This Row],[combi]],AREA!E:E,AREA!F:F,"",0)</f>
        <v>89</v>
      </c>
      <c r="AD261" s="20" t="str">
        <f>_xlfn.XLOOKUP(Table4[[#This Row],[combi]],AREA!E:E,AREA!G:G,"",0)</f>
        <v>Pick-up service of hypothetic package as defined in the Tech. Specs. and delivery to lots
2 and 3 contractors according to Scenario 1</v>
      </c>
      <c r="AE261" s="20" t="s">
        <v>125</v>
      </c>
      <c r="AF261" s="20" t="str">
        <f>_xlfn.XLOOKUP(Table4[[#This Row],[FromSite-UPS]],sites!D:D,sites!AB:AB,"",0)&amp;_xlfn.XLOOKUP(Table4[[#This Row],[ToLab]],labs!D:D,labs!Q:Q,"",0)</f>
        <v>EUEU</v>
      </c>
    </row>
    <row r="262" spans="2:32" ht="15.6" hidden="1" customHeight="1" x14ac:dyDescent="0.25">
      <c r="B262" s="13">
        <v>465</v>
      </c>
      <c r="C262" s="14" t="s">
        <v>53</v>
      </c>
      <c r="D262" s="13">
        <v>1</v>
      </c>
      <c r="E262" s="79">
        <v>45917</v>
      </c>
      <c r="F262" s="81">
        <v>45918</v>
      </c>
      <c r="G262" s="20">
        <f>IFERROR(WEEKNUM(Table4[[#This Row],[Confirmed Pick-up Date]]),"TBD")</f>
        <v>38</v>
      </c>
      <c r="H262" s="20" t="str">
        <f>IFERROR(TEXT(Table4[[#This Row],[Confirmed Pick-up Date]],"yy-mm"),"TBD")</f>
        <v>25-09</v>
      </c>
      <c r="I262" s="78" t="s">
        <v>1628</v>
      </c>
      <c r="J262" s="20" t="str">
        <f>IFERROR(VLOOKUP(Table4[[#This Row],[FromSite-UPS]],Table1[[#All],[Company or Name]:[FromSite3]],15,FALSE),"")</f>
        <v>Funchal WWTP</v>
      </c>
      <c r="K262" s="20" t="str">
        <f>IFERROR(VLOOKUP(Table4[[#This Row],[FromSite-UPS]],Table1[[#All],[Company or Name]:[FromSite3]],16,FALSE),"")</f>
        <v>Madeira, 10 locations</v>
      </c>
      <c r="L262" s="20">
        <f>IFERROR(VLOOKUP(Table4[[#This Row],[FromSite-UPS]],Table1[[#All],[Company or Name]:[FromSite3]],14,FALSE),"")</f>
        <v>0.70833333333333337</v>
      </c>
      <c r="M262" s="13" t="s">
        <v>1011</v>
      </c>
      <c r="N262" s="20" t="s">
        <v>134</v>
      </c>
      <c r="O262" s="118">
        <v>5988527355</v>
      </c>
      <c r="P262" s="65"/>
      <c r="Q262" s="65" t="s">
        <v>1555</v>
      </c>
      <c r="R262" s="20" t="s">
        <v>1666</v>
      </c>
      <c r="S262" s="20" t="s">
        <v>125</v>
      </c>
      <c r="T262" s="20" t="s">
        <v>856</v>
      </c>
      <c r="U262" s="20"/>
      <c r="V262" s="20"/>
      <c r="W262" s="20" t="str">
        <f>TEXT(Table4[[#This Row],[Confirmed Sampling Date]], "yyyy") &amp; "_" &amp; TEXT(Table4[[#This Row],[Confirmed Sampling Date]], "mm") &amp; "_" &amp; TEXT(Table4[[#This Row],[Confirmed Sampling Date]], "dd")</f>
        <v>2025_09_17</v>
      </c>
      <c r="X262" s="20" t="str">
        <f t="shared" si="4"/>
        <v>Funchal</v>
      </c>
      <c r="Y262" s="20" t="str">
        <f>VLOOKUP(Table4[[#This Row],[FromSite-UPS]],Table1[[Company or Name]:[NOTES]],2,FALSE)</f>
        <v>Portugal</v>
      </c>
      <c r="Z262" s="20">
        <f>IFERROR(WEEKNUM(Table4[[#This Row],[Confirmed Sampling Date]] - 10, 21), "TBD")</f>
        <v>36</v>
      </c>
      <c r="AA262" s="20" t="str">
        <f>_xlfn.XLOOKUP(Table4[[#This Row],[FromSite-UPS]],sites!D:D,sites!W:W,"",0)</f>
        <v>R. do Matadouro 4, Funchal, 9050-100, Portugal</v>
      </c>
      <c r="AB262" s="20" t="str">
        <f>_xlfn.XLOOKUP(Table4[[#This Row],[ToLab]],labs!D:D,labs!P:P,"no adres",0)</f>
        <v>Av. Rovisco Pais 1, Laboratorio de Analises de Agua, Lisbon, 1049-001, Portugal</v>
      </c>
      <c r="AC262" s="20">
        <f>_xlfn.XLOOKUP(Table4[[#This Row],[combi]],AREA!E:E,AREA!F:F,"",0)</f>
        <v>89</v>
      </c>
      <c r="AD262" s="20" t="str">
        <f>_xlfn.XLOOKUP(Table4[[#This Row],[combi]],AREA!E:E,AREA!G:G,"",0)</f>
        <v>Pick-up service of hypothetic package as defined in the Tech. Specs. and delivery to lots
2 and 3 contractors according to Scenario 1</v>
      </c>
      <c r="AE262" s="20" t="s">
        <v>125</v>
      </c>
      <c r="AF262" s="20" t="str">
        <f>_xlfn.XLOOKUP(Table4[[#This Row],[FromSite-UPS]],sites!D:D,sites!AB:AB,"",0)&amp;_xlfn.XLOOKUP(Table4[[#This Row],[ToLab]],labs!D:D,labs!Q:Q,"",0)</f>
        <v>EUEU</v>
      </c>
    </row>
    <row r="263" spans="2:32" ht="15.6" hidden="1" customHeight="1" x14ac:dyDescent="0.25">
      <c r="B263" s="13">
        <v>475</v>
      </c>
      <c r="C263" s="14" t="s">
        <v>53</v>
      </c>
      <c r="D263" s="13">
        <v>1</v>
      </c>
      <c r="E263" s="79">
        <v>45917</v>
      </c>
      <c r="F263" s="81">
        <v>45918</v>
      </c>
      <c r="G263" s="20">
        <f>IFERROR(WEEKNUM(Table4[[#This Row],[Confirmed Pick-up Date]]),"TBD")</f>
        <v>38</v>
      </c>
      <c r="H263" s="20" t="str">
        <f>IFERROR(TEXT(Table4[[#This Row],[Confirmed Pick-up Date]],"yy-mm"),"TBD")</f>
        <v>25-09</v>
      </c>
      <c r="I263" s="78" t="s">
        <v>1628</v>
      </c>
      <c r="J263" s="20" t="str">
        <f>IFERROR(VLOOKUP(Table4[[#This Row],[FromSite-UPS]],Table1[[#All],[Company or Name]:[FromSite3]],15,FALSE),"")</f>
        <v>Funchal WWTP</v>
      </c>
      <c r="K263" s="20" t="str">
        <f>IFERROR(VLOOKUP(Table4[[#This Row],[FromSite-UPS]],Table1[[#All],[Company or Name]:[FromSite3]],16,FALSE),"")</f>
        <v>Madeira, 10 locations</v>
      </c>
      <c r="L263" s="20">
        <f>IFERROR(VLOOKUP(Table4[[#This Row],[FromSite-UPS]],Table1[[#All],[Company or Name]:[FromSite3]],14,FALSE),"")</f>
        <v>0.70833333333333337</v>
      </c>
      <c r="M263" s="13" t="s">
        <v>1011</v>
      </c>
      <c r="N263" s="20" t="s">
        <v>134</v>
      </c>
      <c r="O263" s="118">
        <v>5988527355</v>
      </c>
      <c r="P263" s="65"/>
      <c r="Q263" s="65" t="s">
        <v>1555</v>
      </c>
      <c r="R263" s="20" t="s">
        <v>1667</v>
      </c>
      <c r="S263" s="20" t="s">
        <v>125</v>
      </c>
      <c r="T263" s="20" t="s">
        <v>856</v>
      </c>
      <c r="U263" s="20"/>
      <c r="V263" s="20"/>
      <c r="W263" s="20" t="str">
        <f>TEXT(Table4[[#This Row],[Confirmed Sampling Date]], "yyyy") &amp; "_" &amp; TEXT(Table4[[#This Row],[Confirmed Sampling Date]], "mm") &amp; "_" &amp; TEXT(Table4[[#This Row],[Confirmed Sampling Date]], "dd")</f>
        <v>2025_09_17</v>
      </c>
      <c r="X263" s="20" t="str">
        <f t="shared" si="4"/>
        <v>Funchal</v>
      </c>
      <c r="Y263" s="20" t="str">
        <f>VLOOKUP(Table4[[#This Row],[FromSite-UPS]],Table1[[Company or Name]:[NOTES]],2,FALSE)</f>
        <v>Portugal</v>
      </c>
      <c r="Z263" s="20">
        <f>IFERROR(WEEKNUM(Table4[[#This Row],[Confirmed Sampling Date]] - 10, 21), "TBD")</f>
        <v>36</v>
      </c>
      <c r="AA263" s="20" t="str">
        <f>_xlfn.XLOOKUP(Table4[[#This Row],[FromSite-UPS]],sites!D:D,sites!W:W,"",0)</f>
        <v>R. do Matadouro 4, Funchal, 9050-100, Portugal</v>
      </c>
      <c r="AB263" s="20" t="str">
        <f>_xlfn.XLOOKUP(Table4[[#This Row],[ToLab]],labs!D:D,labs!P:P,"no adres",0)</f>
        <v>Av. Rovisco Pais 1, Laboratorio de Analises de Agua, Lisbon, 1049-001, Portugal</v>
      </c>
      <c r="AC263" s="20">
        <f>_xlfn.XLOOKUP(Table4[[#This Row],[combi]],AREA!E:E,AREA!F:F,"",0)</f>
        <v>89</v>
      </c>
      <c r="AD263" s="20" t="str">
        <f>_xlfn.XLOOKUP(Table4[[#This Row],[combi]],AREA!E:E,AREA!G:G,"",0)</f>
        <v>Pick-up service of hypothetic package as defined in the Tech. Specs. and delivery to lots
2 and 3 contractors according to Scenario 1</v>
      </c>
      <c r="AE263" s="20" t="s">
        <v>125</v>
      </c>
      <c r="AF263" s="20" t="str">
        <f>_xlfn.XLOOKUP(Table4[[#This Row],[FromSite-UPS]],sites!D:D,sites!AB:AB,"",0)&amp;_xlfn.XLOOKUP(Table4[[#This Row],[ToLab]],labs!D:D,labs!Q:Q,"",0)</f>
        <v>EUEU</v>
      </c>
    </row>
    <row r="264" spans="2:32" ht="15.6" hidden="1" customHeight="1" x14ac:dyDescent="0.25">
      <c r="B264" s="13">
        <v>485</v>
      </c>
      <c r="C264" s="14" t="s">
        <v>53</v>
      </c>
      <c r="D264" s="13">
        <v>1</v>
      </c>
      <c r="E264" s="79">
        <v>45917</v>
      </c>
      <c r="F264" s="81">
        <v>45918</v>
      </c>
      <c r="G264" s="20">
        <f>IFERROR(WEEKNUM(Table4[[#This Row],[Confirmed Pick-up Date]]),"TBD")</f>
        <v>38</v>
      </c>
      <c r="H264" s="20" t="str">
        <f>IFERROR(TEXT(Table4[[#This Row],[Confirmed Pick-up Date]],"yy-mm"),"TBD")</f>
        <v>25-09</v>
      </c>
      <c r="I264" s="78" t="s">
        <v>1628</v>
      </c>
      <c r="J264" s="20" t="str">
        <f>IFERROR(VLOOKUP(Table4[[#This Row],[FromSite-UPS]],Table1[[#All],[Company or Name]:[FromSite3]],15,FALSE),"")</f>
        <v>Funchal WWTP</v>
      </c>
      <c r="K264" s="20" t="str">
        <f>IFERROR(VLOOKUP(Table4[[#This Row],[FromSite-UPS]],Table1[[#All],[Company or Name]:[FromSite3]],16,FALSE),"")</f>
        <v>Madeira, 10 locations</v>
      </c>
      <c r="L264" s="20">
        <f>IFERROR(VLOOKUP(Table4[[#This Row],[FromSite-UPS]],Table1[[#All],[Company or Name]:[FromSite3]],14,FALSE),"")</f>
        <v>0.70833333333333337</v>
      </c>
      <c r="M264" s="13" t="s">
        <v>1011</v>
      </c>
      <c r="N264" s="20" t="s">
        <v>134</v>
      </c>
      <c r="O264" s="118">
        <v>5988527355</v>
      </c>
      <c r="P264" s="65"/>
      <c r="Q264" s="65" t="s">
        <v>1555</v>
      </c>
      <c r="R264" s="20" t="s">
        <v>1666</v>
      </c>
      <c r="S264" s="20" t="s">
        <v>125</v>
      </c>
      <c r="T264" s="20" t="s">
        <v>856</v>
      </c>
      <c r="U264" s="20"/>
      <c r="V264" s="20"/>
      <c r="W264" s="20" t="str">
        <f>TEXT(Table4[[#This Row],[Confirmed Sampling Date]], "yyyy") &amp; "_" &amp; TEXT(Table4[[#This Row],[Confirmed Sampling Date]], "mm") &amp; "_" &amp; TEXT(Table4[[#This Row],[Confirmed Sampling Date]], "dd")</f>
        <v>2025_09_17</v>
      </c>
      <c r="X264" s="20" t="str">
        <f t="shared" si="4"/>
        <v>Funchal</v>
      </c>
      <c r="Y264" s="20" t="str">
        <f>VLOOKUP(Table4[[#This Row],[FromSite-UPS]],Table1[[Company or Name]:[NOTES]],2,FALSE)</f>
        <v>Portugal</v>
      </c>
      <c r="Z264" s="20">
        <f>IFERROR(WEEKNUM(Table4[[#This Row],[Confirmed Sampling Date]] - 10, 21), "TBD")</f>
        <v>36</v>
      </c>
      <c r="AA264" s="20" t="str">
        <f>_xlfn.XLOOKUP(Table4[[#This Row],[FromSite-UPS]],sites!D:D,sites!W:W,"",0)</f>
        <v>R. do Matadouro 4, Funchal, 9050-100, Portugal</v>
      </c>
      <c r="AB264" s="20" t="str">
        <f>_xlfn.XLOOKUP(Table4[[#This Row],[ToLab]],labs!D:D,labs!P:P,"no adres",0)</f>
        <v>Av. Rovisco Pais 1, Laboratorio de Analises de Agua, Lisbon, 1049-001, Portugal</v>
      </c>
      <c r="AC264" s="20">
        <f>_xlfn.XLOOKUP(Table4[[#This Row],[combi]],AREA!E:E,AREA!F:F,"",0)</f>
        <v>89</v>
      </c>
      <c r="AD264" s="20" t="str">
        <f>_xlfn.XLOOKUP(Table4[[#This Row],[combi]],AREA!E:E,AREA!G:G,"",0)</f>
        <v>Pick-up service of hypothetic package as defined in the Tech. Specs. and delivery to lots
2 and 3 contractors according to Scenario 1</v>
      </c>
      <c r="AE264" s="20" t="s">
        <v>125</v>
      </c>
      <c r="AF264" s="20" t="str">
        <f>_xlfn.XLOOKUP(Table4[[#This Row],[FromSite-UPS]],sites!D:D,sites!AB:AB,"",0)&amp;_xlfn.XLOOKUP(Table4[[#This Row],[ToLab]],labs!D:D,labs!Q:Q,"",0)</f>
        <v>EUEU</v>
      </c>
    </row>
    <row r="265" spans="2:32" ht="15.6" hidden="1" customHeight="1" x14ac:dyDescent="0.25">
      <c r="B265" s="13">
        <v>495</v>
      </c>
      <c r="C265" s="14" t="s">
        <v>53</v>
      </c>
      <c r="D265" s="13">
        <v>1</v>
      </c>
      <c r="E265" s="79">
        <v>45917</v>
      </c>
      <c r="F265" s="81">
        <v>45918</v>
      </c>
      <c r="G265" s="20">
        <f>IFERROR(WEEKNUM(Table4[[#This Row],[Confirmed Pick-up Date]]),"TBD")</f>
        <v>38</v>
      </c>
      <c r="H265" s="20" t="str">
        <f>IFERROR(TEXT(Table4[[#This Row],[Confirmed Pick-up Date]],"yy-mm"),"TBD")</f>
        <v>25-09</v>
      </c>
      <c r="I265" s="78" t="s">
        <v>1628</v>
      </c>
      <c r="J265" s="20" t="str">
        <f>IFERROR(VLOOKUP(Table4[[#This Row],[FromSite-UPS]],Table1[[#All],[Company or Name]:[FromSite3]],15,FALSE),"")</f>
        <v>Funchal WWTP</v>
      </c>
      <c r="K265" s="20" t="str">
        <f>IFERROR(VLOOKUP(Table4[[#This Row],[FromSite-UPS]],Table1[[#All],[Company or Name]:[FromSite3]],16,FALSE),"")</f>
        <v>Madeira, 10 locations</v>
      </c>
      <c r="L265" s="20">
        <f>IFERROR(VLOOKUP(Table4[[#This Row],[FromSite-UPS]],Table1[[#All],[Company or Name]:[FromSite3]],14,FALSE),"")</f>
        <v>0.70833333333333337</v>
      </c>
      <c r="M265" s="13" t="s">
        <v>1011</v>
      </c>
      <c r="N265" s="20" t="s">
        <v>134</v>
      </c>
      <c r="O265" s="118">
        <v>5988527355</v>
      </c>
      <c r="P265" s="20"/>
      <c r="Q265" s="20" t="s">
        <v>1555</v>
      </c>
      <c r="R265" s="20" t="s">
        <v>1668</v>
      </c>
      <c r="S265" s="20" t="s">
        <v>125</v>
      </c>
      <c r="T265" s="20" t="s">
        <v>856</v>
      </c>
      <c r="U265" s="20"/>
      <c r="V265" s="20"/>
      <c r="W265" s="20" t="str">
        <f>TEXT(Table4[[#This Row],[Confirmed Sampling Date]], "yyyy") &amp; "_" &amp; TEXT(Table4[[#This Row],[Confirmed Sampling Date]], "mm") &amp; "_" &amp; TEXT(Table4[[#This Row],[Confirmed Sampling Date]], "dd")</f>
        <v>2025_09_17</v>
      </c>
      <c r="X265" s="20" t="str">
        <f t="shared" si="4"/>
        <v>Funchal</v>
      </c>
      <c r="Y265" s="20" t="str">
        <f>VLOOKUP(Table4[[#This Row],[FromSite-UPS]],Table1[[Company or Name]:[NOTES]],2,FALSE)</f>
        <v>Portugal</v>
      </c>
      <c r="Z265" s="20">
        <f>IFERROR(WEEKNUM(Table4[[#This Row],[Confirmed Sampling Date]] - 10, 21), "TBD")</f>
        <v>36</v>
      </c>
      <c r="AA265" s="20" t="str">
        <f>_xlfn.XLOOKUP(Table4[[#This Row],[FromSite-UPS]],sites!D:D,sites!W:W,"",0)</f>
        <v>R. do Matadouro 4, Funchal, 9050-100, Portugal</v>
      </c>
      <c r="AB265" s="20" t="str">
        <f>_xlfn.XLOOKUP(Table4[[#This Row],[ToLab]],labs!D:D,labs!P:P,"no adres",0)</f>
        <v>Av. Rovisco Pais 1, Laboratorio de Analises de Agua, Lisbon, 1049-001, Portugal</v>
      </c>
      <c r="AC265" s="20">
        <f>_xlfn.XLOOKUP(Table4[[#This Row],[combi]],AREA!E:E,AREA!F:F,"",0)</f>
        <v>89</v>
      </c>
      <c r="AD265" s="20" t="str">
        <f>_xlfn.XLOOKUP(Table4[[#This Row],[combi]],AREA!E:E,AREA!G:G,"",0)</f>
        <v>Pick-up service of hypothetic package as defined in the Tech. Specs. and delivery to lots
2 and 3 contractors according to Scenario 1</v>
      </c>
      <c r="AE265" s="20" t="s">
        <v>125</v>
      </c>
      <c r="AF265" s="20" t="str">
        <f>_xlfn.XLOOKUP(Table4[[#This Row],[FromSite-UPS]],sites!D:D,sites!AB:AB,"",0)&amp;_xlfn.XLOOKUP(Table4[[#This Row],[ToLab]],labs!D:D,labs!Q:Q,"",0)</f>
        <v>EUEU</v>
      </c>
    </row>
    <row r="266" spans="2:32" ht="15.6" hidden="1" customHeight="1" x14ac:dyDescent="0.25">
      <c r="B266" s="13">
        <v>504</v>
      </c>
      <c r="C266" s="14" t="s">
        <v>53</v>
      </c>
      <c r="D266" s="13">
        <v>1</v>
      </c>
      <c r="E266" s="22">
        <v>45915</v>
      </c>
      <c r="F266" s="22">
        <v>45918</v>
      </c>
      <c r="G266" s="20">
        <f>IFERROR(WEEKNUM(Table4[[#This Row],[Confirmed Pick-up Date]]),"TBD")</f>
        <v>38</v>
      </c>
      <c r="H266" s="20" t="str">
        <f>IFERROR(TEXT(Table4[[#This Row],[Confirmed Pick-up Date]],"yy-mm"),"TBD")</f>
        <v>25-09</v>
      </c>
      <c r="I266" s="67" t="s">
        <v>1114</v>
      </c>
      <c r="J266" s="20" t="str">
        <f>IFERROR(VLOOKUP(Table4[[#This Row],[FromSite-UPS]],Table1[[#All],[Company or Name]:[FromSite3]],15,FALSE),"")</f>
        <v>Uppsala WWTP</v>
      </c>
      <c r="K266" s="20" t="str">
        <f>IFERROR(VLOOKUP(Table4[[#This Row],[FromSite-UPS]],Table1[[#All],[Company or Name]:[FromSite3]],16,FALSE),"")</f>
        <v>-</v>
      </c>
      <c r="L266" s="20">
        <f>IFERROR(VLOOKUP(Table4[[#This Row],[FromSite-UPS]],Table1[[#All],[Company or Name]:[FromSite3]],14,FALSE),"")</f>
        <v>0.58333333333333337</v>
      </c>
      <c r="M266" s="13" t="s">
        <v>1011</v>
      </c>
      <c r="N266" s="20" t="s">
        <v>134</v>
      </c>
      <c r="O266" s="20" t="s">
        <v>1496</v>
      </c>
      <c r="P266" s="65" t="s">
        <v>892</v>
      </c>
      <c r="Q266" s="65" t="s">
        <v>1710</v>
      </c>
      <c r="R266" s="20" t="s">
        <v>1582</v>
      </c>
      <c r="S266" s="20" t="s">
        <v>125</v>
      </c>
      <c r="T266" s="20" t="s">
        <v>110</v>
      </c>
      <c r="U266" s="20"/>
      <c r="V266" s="20"/>
      <c r="W266" s="20" t="str">
        <f>TEXT(Table4[[#This Row],[Confirmed Sampling Date]], "yyyy") &amp; "_" &amp; TEXT(Table4[[#This Row],[Confirmed Sampling Date]], "mm") &amp; "_" &amp; TEXT(Table4[[#This Row],[Confirmed Sampling Date]], "dd")</f>
        <v>2025_09_15</v>
      </c>
      <c r="X266" s="20" t="str">
        <f t="shared" si="4"/>
        <v>Uppsala</v>
      </c>
      <c r="Y266" s="20" t="str">
        <f>VLOOKUP(Table4[[#This Row],[FromSite-UPS]],Table1[[Company or Name]:[NOTES]],2,FALSE)</f>
        <v>Sweden</v>
      </c>
      <c r="Z266" s="20">
        <f>IFERROR(WEEKNUM(Table4[[#This Row],[Confirmed Sampling Date]] - 10, 21), "TBD")</f>
        <v>36</v>
      </c>
      <c r="AA266" s="20" t="str">
        <f>_xlfn.XLOOKUP(Table4[[#This Row],[FromSite-UPS]],sites!D:D,sites!W:W,"",0)</f>
        <v>Gerda Nilssons väg 5, Uppsala, 756 51, Sweden</v>
      </c>
      <c r="AB266" s="20" t="str">
        <f>_xlfn.XLOOKUP(Table4[[#This Row],[ToLab]],labs!D:D,labs!P:P,"no adres",0)</f>
        <v>Av. Rovisco Pais 1, Laboratorio de Analises de Agua, Lisbon, 1049-001, Portugal</v>
      </c>
      <c r="AC266" s="20">
        <f>_xlfn.XLOOKUP(Table4[[#This Row],[combi]],AREA!E:E,AREA!F:F,"",0)</f>
        <v>89</v>
      </c>
      <c r="AD266" s="20" t="str">
        <f>_xlfn.XLOOKUP(Table4[[#This Row],[combi]],AREA!E:E,AREA!G:G,"",0)</f>
        <v>Pick-up service of hypothetic package as defined in the Tech. Specs. and delivery to lots
2 and 3 contractors according to Scenario 1</v>
      </c>
      <c r="AE266" s="20" t="s">
        <v>125</v>
      </c>
      <c r="AF266" s="20" t="str">
        <f>_xlfn.XLOOKUP(Table4[[#This Row],[FromSite-UPS]],sites!D:D,sites!AB:AB,"",0)&amp;_xlfn.XLOOKUP(Table4[[#This Row],[ToLab]],labs!D:D,labs!Q:Q,"",0)</f>
        <v>EUEU</v>
      </c>
    </row>
    <row r="267" spans="2:32" ht="15.6" hidden="1" customHeight="1" x14ac:dyDescent="0.25">
      <c r="B267" s="13">
        <v>540</v>
      </c>
      <c r="C267" s="14" t="s">
        <v>53</v>
      </c>
      <c r="D267" s="13">
        <v>1</v>
      </c>
      <c r="E267" s="83">
        <v>45917</v>
      </c>
      <c r="F267" s="83">
        <v>45918</v>
      </c>
      <c r="G267" s="20">
        <f>IFERROR(WEEKNUM(Table4[[#This Row],[Confirmed Pick-up Date]]),"TBD")</f>
        <v>38</v>
      </c>
      <c r="H267" s="20" t="str">
        <f>IFERROR(TEXT(Table4[[#This Row],[Confirmed Pick-up Date]],"yy-mm"),"TBD")</f>
        <v>25-09</v>
      </c>
      <c r="I267" s="13" t="s">
        <v>1628</v>
      </c>
      <c r="J267" s="20" t="str">
        <f>IFERROR(VLOOKUP(Table4[[#This Row],[FromSite-UPS]],Table1[[#All],[Company or Name]:[FromSite3]],15,FALSE),"")</f>
        <v>Funchal WWTP</v>
      </c>
      <c r="K267" s="20" t="str">
        <f>IFERROR(VLOOKUP(Table4[[#This Row],[FromSite-UPS]],Table1[[#All],[Company or Name]:[FromSite3]],16,FALSE),"")</f>
        <v>Madeira, 10 locations</v>
      </c>
      <c r="L267" s="20">
        <f>IFERROR(VLOOKUP(Table4[[#This Row],[FromSite-UPS]],Table1[[#All],[Company or Name]:[FromSite3]],14,FALSE),"")</f>
        <v>0.70833333333333337</v>
      </c>
      <c r="M267" s="13" t="s">
        <v>1283</v>
      </c>
      <c r="N267" s="20" t="s">
        <v>134</v>
      </c>
      <c r="O267" s="20">
        <v>1198186010</v>
      </c>
      <c r="P267" s="20"/>
      <c r="Q267" s="20" t="s">
        <v>1555</v>
      </c>
      <c r="R267" s="20" t="s">
        <v>1647</v>
      </c>
      <c r="S267" s="20" t="s">
        <v>125</v>
      </c>
      <c r="T267" s="20" t="s">
        <v>856</v>
      </c>
      <c r="U267" s="20"/>
      <c r="V267" s="20"/>
      <c r="W267" s="20" t="str">
        <f>TEXT(Table4[[#This Row],[Confirmed Sampling Date]], "yyyy") &amp; "_" &amp; TEXT(Table4[[#This Row],[Confirmed Sampling Date]], "mm") &amp; "_" &amp; TEXT(Table4[[#This Row],[Confirmed Sampling Date]], "dd")</f>
        <v>2025_09_17</v>
      </c>
      <c r="X267" s="20" t="str">
        <f t="shared" si="4"/>
        <v>Funchal</v>
      </c>
      <c r="Y267" s="20" t="str">
        <f>VLOOKUP(Table4[[#This Row],[FromSite-UPS]],Table1[[Company or Name]:[NOTES]],2,FALSE)</f>
        <v>Portugal</v>
      </c>
      <c r="Z267" s="20">
        <f>IFERROR(WEEKNUM(Table4[[#This Row],[Confirmed Sampling Date]] - 10, 21), "TBD")</f>
        <v>36</v>
      </c>
      <c r="AA267" s="20" t="str">
        <f>_xlfn.XLOOKUP(Table4[[#This Row],[FromSite-UPS]],sites!D:D,sites!W:W,"",0)</f>
        <v>R. do Matadouro 4, Funchal, 9050-100, Portugal</v>
      </c>
      <c r="AB267" s="20" t="str">
        <f>_xlfn.XLOOKUP(Table4[[#This Row],[ToLab]],labs!D:D,labs!P:P,"no adres",0)</f>
        <v>C. del Dracma 16-18, Labaqua SAU - Sede Alicante, Alicante, 03114 , Spain</v>
      </c>
      <c r="AC267" s="20">
        <f>_xlfn.XLOOKUP(Table4[[#This Row],[combi]],AREA!E:E,AREA!F:F,"",0)</f>
        <v>89</v>
      </c>
      <c r="AD267" s="20" t="str">
        <f>_xlfn.XLOOKUP(Table4[[#This Row],[combi]],AREA!E:E,AREA!G:G,"",0)</f>
        <v>Pick-up service of hypothetic package as defined in the Tech. Specs. and delivery to lots
2 and 3 contractors according to Scenario 1</v>
      </c>
      <c r="AE267" s="20" t="s">
        <v>125</v>
      </c>
      <c r="AF267" s="20" t="str">
        <f>_xlfn.XLOOKUP(Table4[[#This Row],[FromSite-UPS]],sites!D:D,sites!AB:AB,"",0)&amp;_xlfn.XLOOKUP(Table4[[#This Row],[ToLab]],labs!D:D,labs!Q:Q,"",0)</f>
        <v>EUEU</v>
      </c>
    </row>
    <row r="268" spans="2:32" ht="15.6" hidden="1" customHeight="1" x14ac:dyDescent="0.25">
      <c r="B268" s="13">
        <v>564</v>
      </c>
      <c r="C268" s="14" t="s">
        <v>53</v>
      </c>
      <c r="D268" s="13">
        <v>1</v>
      </c>
      <c r="E268" s="83">
        <v>45917</v>
      </c>
      <c r="F268" s="83">
        <v>45918</v>
      </c>
      <c r="G268" s="20">
        <f>IFERROR(WEEKNUM(Table4[[#This Row],[Confirmed Pick-up Date]]),"TBD")</f>
        <v>38</v>
      </c>
      <c r="H268" s="20" t="str">
        <f>IFERROR(TEXT(Table4[[#This Row],[Confirmed Pick-up Date]],"yy-mm"),"TBD")</f>
        <v>25-09</v>
      </c>
      <c r="I268" s="13" t="s">
        <v>1628</v>
      </c>
      <c r="J268" s="20" t="str">
        <f>IFERROR(VLOOKUP(Table4[[#This Row],[FromSite-UPS]],Table1[[#All],[Company or Name]:[FromSite3]],15,FALSE),"")</f>
        <v>Funchal WWTP</v>
      </c>
      <c r="K268" s="20" t="str">
        <f>IFERROR(VLOOKUP(Table4[[#This Row],[FromSite-UPS]],Table1[[#All],[Company or Name]:[FromSite3]],16,FALSE),"")</f>
        <v>Madeira, 10 locations</v>
      </c>
      <c r="L268" s="13" t="s">
        <v>1283</v>
      </c>
      <c r="M268" s="13" t="s">
        <v>1283</v>
      </c>
      <c r="N268" s="20" t="s">
        <v>134</v>
      </c>
      <c r="O268" s="20">
        <v>1198186010</v>
      </c>
      <c r="P268" s="20"/>
      <c r="Q268" s="20" t="s">
        <v>1555</v>
      </c>
      <c r="R268" s="20" t="s">
        <v>1648</v>
      </c>
      <c r="S268" s="20" t="s">
        <v>125</v>
      </c>
      <c r="T268" s="20" t="s">
        <v>856</v>
      </c>
      <c r="U268" s="20"/>
      <c r="V268" s="20"/>
      <c r="W268" s="20" t="str">
        <f>TEXT(Table4[[#This Row],[Confirmed Sampling Date]], "yyyy") &amp; "_" &amp; TEXT(Table4[[#This Row],[Confirmed Sampling Date]], "mm") &amp; "_" &amp; TEXT(Table4[[#This Row],[Confirmed Sampling Date]], "dd")</f>
        <v>2025_09_17</v>
      </c>
      <c r="X268" s="20" t="str">
        <f t="shared" si="4"/>
        <v>Funchal</v>
      </c>
      <c r="Y268" s="20" t="str">
        <f>VLOOKUP(Table4[[#This Row],[FromSite-UPS]],Table1[[Company or Name]:[NOTES]],2,FALSE)</f>
        <v>Portugal</v>
      </c>
      <c r="Z268" s="20">
        <f>IFERROR(WEEKNUM(Table4[[#This Row],[Confirmed Sampling Date]] - 10, 21), "TBD")</f>
        <v>36</v>
      </c>
      <c r="AA268" s="20" t="str">
        <f>_xlfn.XLOOKUP(Table4[[#This Row],[FromSite-UPS]],sites!D:D,sites!W:W,"",0)</f>
        <v>R. do Matadouro 4, Funchal, 9050-100, Portugal</v>
      </c>
      <c r="AB268" s="20" t="str">
        <f>_xlfn.XLOOKUP(Table4[[#This Row],[ToLab]],labs!D:D,labs!P:P,"no adres",0)</f>
        <v>C. del Dracma 16-18, Labaqua SAU - Sede Alicante, Alicante, 03114 , Spain</v>
      </c>
      <c r="AC268" s="20">
        <f>_xlfn.XLOOKUP(Table4[[#This Row],[combi]],AREA!E:E,AREA!F:F,"",0)</f>
        <v>89</v>
      </c>
      <c r="AD268" s="20" t="str">
        <f>_xlfn.XLOOKUP(Table4[[#This Row],[combi]],AREA!E:E,AREA!G:G,"",0)</f>
        <v>Pick-up service of hypothetic package as defined in the Tech. Specs. and delivery to lots
2 and 3 contractors according to Scenario 1</v>
      </c>
      <c r="AE268" s="20" t="s">
        <v>125</v>
      </c>
      <c r="AF268" s="20" t="str">
        <f>_xlfn.XLOOKUP(Table4[[#This Row],[FromSite-UPS]],sites!D:D,sites!AB:AB,"",0)&amp;_xlfn.XLOOKUP(Table4[[#This Row],[ToLab]],labs!D:D,labs!Q:Q,"",0)</f>
        <v>EUEU</v>
      </c>
    </row>
    <row r="269" spans="2:32" ht="15.6" hidden="1" customHeight="1" x14ac:dyDescent="0.25">
      <c r="B269" s="13">
        <v>572</v>
      </c>
      <c r="C269" s="14" t="s">
        <v>53</v>
      </c>
      <c r="D269" s="13">
        <v>1</v>
      </c>
      <c r="E269" s="83">
        <v>45917</v>
      </c>
      <c r="F269" s="83">
        <v>45918</v>
      </c>
      <c r="G269" s="20">
        <f>IFERROR(WEEKNUM(Table4[[#This Row],[Confirmed Pick-up Date]]),"TBD")</f>
        <v>38</v>
      </c>
      <c r="H269" s="20" t="str">
        <f>IFERROR(TEXT(Table4[[#This Row],[Confirmed Pick-up Date]],"yy-mm"),"TBD")</f>
        <v>25-09</v>
      </c>
      <c r="I269" s="13" t="s">
        <v>1628</v>
      </c>
      <c r="J269" s="20" t="str">
        <f>IFERROR(VLOOKUP(Table4[[#This Row],[FromSite-UPS]],Table1[[#All],[Company or Name]:[FromSite3]],15,FALSE),"")</f>
        <v>Funchal WWTP</v>
      </c>
      <c r="K269" s="20" t="str">
        <f>IFERROR(VLOOKUP(Table4[[#This Row],[FromSite-UPS]],Table1[[#All],[Company or Name]:[FromSite3]],16,FALSE),"")</f>
        <v>Madeira, 10 locations</v>
      </c>
      <c r="L269" s="13" t="s">
        <v>1283</v>
      </c>
      <c r="M269" s="13" t="s">
        <v>1283</v>
      </c>
      <c r="N269" s="20" t="s">
        <v>134</v>
      </c>
      <c r="O269" s="20">
        <v>1198186010</v>
      </c>
      <c r="P269" s="20"/>
      <c r="Q269" s="20" t="s">
        <v>1555</v>
      </c>
      <c r="R269" s="20" t="s">
        <v>1649</v>
      </c>
      <c r="S269" s="20" t="s">
        <v>125</v>
      </c>
      <c r="T269" s="20" t="s">
        <v>856</v>
      </c>
      <c r="U269" s="20"/>
      <c r="V269" s="20"/>
      <c r="W269" s="20" t="str">
        <f>TEXT(Table4[[#This Row],[Confirmed Sampling Date]], "yyyy") &amp; "_" &amp; TEXT(Table4[[#This Row],[Confirmed Sampling Date]], "mm") &amp; "_" &amp; TEXT(Table4[[#This Row],[Confirmed Sampling Date]], "dd")</f>
        <v>2025_09_17</v>
      </c>
      <c r="X269" s="20" t="str">
        <f t="shared" si="4"/>
        <v>Funchal</v>
      </c>
      <c r="Y269" s="20" t="str">
        <f>VLOOKUP(Table4[[#This Row],[FromSite-UPS]],Table1[[Company or Name]:[NOTES]],2,FALSE)</f>
        <v>Portugal</v>
      </c>
      <c r="Z269" s="20">
        <f>IFERROR(WEEKNUM(Table4[[#This Row],[Confirmed Sampling Date]] - 10, 21), "TBD")</f>
        <v>36</v>
      </c>
      <c r="AA269" s="20" t="str">
        <f>_xlfn.XLOOKUP(Table4[[#This Row],[FromSite-UPS]],sites!D:D,sites!W:W,"",0)</f>
        <v>R. do Matadouro 4, Funchal, 9050-100, Portugal</v>
      </c>
      <c r="AB269" s="20" t="str">
        <f>_xlfn.XLOOKUP(Table4[[#This Row],[ToLab]],labs!D:D,labs!P:P,"no adres",0)</f>
        <v>C. del Dracma 16-18, Labaqua SAU - Sede Alicante, Alicante, 03114 , Spain</v>
      </c>
      <c r="AC269" s="20">
        <f>_xlfn.XLOOKUP(Table4[[#This Row],[combi]],AREA!E:E,AREA!F:F,"",0)</f>
        <v>89</v>
      </c>
      <c r="AD269" s="20" t="str">
        <f>_xlfn.XLOOKUP(Table4[[#This Row],[combi]],AREA!E:E,AREA!G:G,"",0)</f>
        <v>Pick-up service of hypothetic package as defined in the Tech. Specs. and delivery to lots
2 and 3 contractors according to Scenario 1</v>
      </c>
      <c r="AE269" s="20" t="s">
        <v>125</v>
      </c>
      <c r="AF269" s="20" t="str">
        <f>_xlfn.XLOOKUP(Table4[[#This Row],[FromSite-UPS]],sites!D:D,sites!AB:AB,"",0)&amp;_xlfn.XLOOKUP(Table4[[#This Row],[ToLab]],labs!D:D,labs!Q:Q,"",0)</f>
        <v>EUEU</v>
      </c>
    </row>
    <row r="270" spans="2:32" ht="15.6" hidden="1" customHeight="1" x14ac:dyDescent="0.25">
      <c r="B270" s="13">
        <v>580</v>
      </c>
      <c r="C270" s="14" t="s">
        <v>53</v>
      </c>
      <c r="D270" s="13">
        <v>1</v>
      </c>
      <c r="E270" s="83">
        <v>45917</v>
      </c>
      <c r="F270" s="83">
        <v>45918</v>
      </c>
      <c r="G270" s="20">
        <f>IFERROR(WEEKNUM(Table4[[#This Row],[Confirmed Pick-up Date]]),"TBD")</f>
        <v>38</v>
      </c>
      <c r="H270" s="20" t="str">
        <f>IFERROR(TEXT(Table4[[#This Row],[Confirmed Pick-up Date]],"yy-mm"),"TBD")</f>
        <v>25-09</v>
      </c>
      <c r="I270" s="13" t="s">
        <v>1628</v>
      </c>
      <c r="J270" s="20" t="str">
        <f>IFERROR(VLOOKUP(Table4[[#This Row],[FromSite-UPS]],Table1[[#All],[Company or Name]:[FromSite3]],15,FALSE),"")</f>
        <v>Funchal WWTP</v>
      </c>
      <c r="K270" s="20" t="str">
        <f>IFERROR(VLOOKUP(Table4[[#This Row],[FromSite-UPS]],Table1[[#All],[Company or Name]:[FromSite3]],16,FALSE),"")</f>
        <v>Madeira, 10 locations</v>
      </c>
      <c r="L270" s="13" t="s">
        <v>1283</v>
      </c>
      <c r="M270" s="13" t="s">
        <v>1283</v>
      </c>
      <c r="N270" s="20" t="s">
        <v>134</v>
      </c>
      <c r="O270" s="20">
        <v>1198186010</v>
      </c>
      <c r="P270" s="20"/>
      <c r="Q270" s="20" t="s">
        <v>1555</v>
      </c>
      <c r="R270" s="20" t="s">
        <v>1650</v>
      </c>
      <c r="S270" s="20" t="s">
        <v>125</v>
      </c>
      <c r="T270" s="20" t="s">
        <v>856</v>
      </c>
      <c r="U270" s="20"/>
      <c r="V270" s="20"/>
      <c r="W270" s="20" t="str">
        <f>TEXT(Table4[[#This Row],[Confirmed Sampling Date]], "yyyy") &amp; "_" &amp; TEXT(Table4[[#This Row],[Confirmed Sampling Date]], "mm") &amp; "_" &amp; TEXT(Table4[[#This Row],[Confirmed Sampling Date]], "dd")</f>
        <v>2025_09_17</v>
      </c>
      <c r="X270" s="20" t="str">
        <f t="shared" si="4"/>
        <v>Funchal</v>
      </c>
      <c r="Y270" s="20" t="str">
        <f>VLOOKUP(Table4[[#This Row],[FromSite-UPS]],Table1[[Company or Name]:[NOTES]],2,FALSE)</f>
        <v>Portugal</v>
      </c>
      <c r="Z270" s="20">
        <f>IFERROR(WEEKNUM(Table4[[#This Row],[Confirmed Sampling Date]] - 10, 21), "TBD")</f>
        <v>36</v>
      </c>
      <c r="AA270" s="20" t="str">
        <f>_xlfn.XLOOKUP(Table4[[#This Row],[FromSite-UPS]],sites!D:D,sites!W:W,"",0)</f>
        <v>R. do Matadouro 4, Funchal, 9050-100, Portugal</v>
      </c>
      <c r="AB270" s="20" t="str">
        <f>_xlfn.XLOOKUP(Table4[[#This Row],[ToLab]],labs!D:D,labs!P:P,"no adres",0)</f>
        <v>C. del Dracma 16-18, Labaqua SAU - Sede Alicante, Alicante, 03114 , Spain</v>
      </c>
      <c r="AC270" s="20">
        <f>_xlfn.XLOOKUP(Table4[[#This Row],[combi]],AREA!E:E,AREA!F:F,"",0)</f>
        <v>89</v>
      </c>
      <c r="AD270" s="20" t="str">
        <f>_xlfn.XLOOKUP(Table4[[#This Row],[combi]],AREA!E:E,AREA!G:G,"",0)</f>
        <v>Pick-up service of hypothetic package as defined in the Tech. Specs. and delivery to lots
2 and 3 contractors according to Scenario 1</v>
      </c>
      <c r="AE270" s="20" t="s">
        <v>125</v>
      </c>
      <c r="AF270" s="20" t="str">
        <f>_xlfn.XLOOKUP(Table4[[#This Row],[FromSite-UPS]],sites!D:D,sites!AB:AB,"",0)&amp;_xlfn.XLOOKUP(Table4[[#This Row],[ToLab]],labs!D:D,labs!Q:Q,"",0)</f>
        <v>EUEU</v>
      </c>
    </row>
    <row r="271" spans="2:32" ht="15.6" hidden="1" customHeight="1" x14ac:dyDescent="0.25">
      <c r="B271" s="13">
        <v>132</v>
      </c>
      <c r="C271" s="14" t="s">
        <v>53</v>
      </c>
      <c r="D271" s="13">
        <v>1</v>
      </c>
      <c r="E271" s="22">
        <v>45922</v>
      </c>
      <c r="F271" s="22">
        <v>45923</v>
      </c>
      <c r="G271" s="20">
        <f>IFERROR(WEEKNUM(Table4[[#This Row],[Confirmed Pick-up Date]]),"TBD")</f>
        <v>39</v>
      </c>
      <c r="H271" s="20" t="str">
        <f>IFERROR(TEXT(Table4[[#This Row],[Confirmed Pick-up Date]],"yy-mm"),"TBD")</f>
        <v>25-09</v>
      </c>
      <c r="I271" s="64" t="s">
        <v>637</v>
      </c>
      <c r="J271" s="20" t="str">
        <f>IFERROR(VLOOKUP(Table4[[#This Row],[FromSite-UPS]],Table1[[#All],[Company or Name]:[FromSite3]],15,FALSE),"")</f>
        <v>Luxembourg (Beggen) WWTP</v>
      </c>
      <c r="K271" s="20" t="str">
        <f>IFERROR(VLOOKUP(Table4[[#This Row],[FromSite-UPS]],Table1[[#All],[Company or Name]:[FromSite3]],16,FALSE),"")</f>
        <v>Luxembourg Airport</v>
      </c>
      <c r="L271" s="20">
        <f>IFERROR(VLOOKUP(Table4[[#This Row],[FromSite-UPS]],Table1[[#All],[Company or Name]:[FromSite3]],14,FALSE),"")</f>
        <v>0.66666666666666663</v>
      </c>
      <c r="M271" s="13" t="s">
        <v>1011</v>
      </c>
      <c r="N271" s="20" t="s">
        <v>813</v>
      </c>
      <c r="O271" s="13" t="s">
        <v>1618</v>
      </c>
      <c r="P271" s="64" t="s">
        <v>892</v>
      </c>
      <c r="Q271" s="65" t="s">
        <v>1808</v>
      </c>
      <c r="R271" s="20"/>
      <c r="S271" s="20" t="s">
        <v>125</v>
      </c>
      <c r="T271" s="20" t="s">
        <v>856</v>
      </c>
      <c r="U271" s="20"/>
      <c r="V271" s="20"/>
      <c r="W271" s="20" t="str">
        <f>TEXT(Table4[[#This Row],[Confirmed Sampling Date]], "yyyy") &amp; "_" &amp; TEXT(Table4[[#This Row],[Confirmed Sampling Date]], "mm") &amp; "_" &amp; TEXT(Table4[[#This Row],[Confirmed Sampling Date]], "dd")</f>
        <v>2025_09_22</v>
      </c>
      <c r="X271" s="20" t="str">
        <f t="shared" si="4"/>
        <v>Luxembourg</v>
      </c>
      <c r="Y271" s="20" t="str">
        <f>VLOOKUP(Table4[[#This Row],[FromSite-UPS]],Table1[[Company or Name]:[NOTES]],2,FALSE)</f>
        <v>Luxembourg</v>
      </c>
      <c r="Z271" s="20">
        <f>IFERROR(WEEKNUM(Table4[[#This Row],[Confirmed Sampling Date]] - 10, 21), "TBD")</f>
        <v>37</v>
      </c>
      <c r="AA271" s="20" t="str">
        <f>_xlfn.XLOOKUP(Table4[[#This Row],[FromSite-UPS]],sites!D:D,sites!W:W,"",0)</f>
        <v>41 rue du Brill, Luxembourg, L-4422 , Luxembourg</v>
      </c>
      <c r="AB271" s="20" t="str">
        <f>_xlfn.XLOOKUP(Table4[[#This Row],[ToLab]],labs!D:D,labs!P:P,"no adres",0)</f>
        <v>Av. Rovisco Pais 1, Laboratorio de Analises de Agua, Lisbon, 1049-001, Portugal</v>
      </c>
      <c r="AC271" s="20">
        <f>_xlfn.XLOOKUP(Table4[[#This Row],[combi]],AREA!E:E,AREA!F:F,"",0)</f>
        <v>89</v>
      </c>
      <c r="AD271" s="20" t="str">
        <f>_xlfn.XLOOKUP(Table4[[#This Row],[combi]],AREA!E:E,AREA!G:G,"",0)</f>
        <v>Pick-up service of hypothetic package as defined in the Tech. Specs. and delivery to lots
2 and 3 contractors according to Scenario 1</v>
      </c>
      <c r="AE271" s="20" t="s">
        <v>125</v>
      </c>
      <c r="AF271" s="20" t="str">
        <f>_xlfn.XLOOKUP(Table4[[#This Row],[FromSite-UPS]],sites!D:D,sites!AB:AB,"",0)&amp;_xlfn.XLOOKUP(Table4[[#This Row],[ToLab]],labs!D:D,labs!Q:Q,"",0)</f>
        <v>EUEU</v>
      </c>
    </row>
    <row r="272" spans="2:32" ht="15.6" hidden="1" customHeight="1" x14ac:dyDescent="0.25">
      <c r="B272" s="13">
        <v>268</v>
      </c>
      <c r="C272" s="14" t="s">
        <v>53</v>
      </c>
      <c r="D272" s="13">
        <v>1</v>
      </c>
      <c r="E272" s="22">
        <v>45922</v>
      </c>
      <c r="F272" s="22">
        <v>45923</v>
      </c>
      <c r="G272" s="20">
        <f>IFERROR(WEEKNUM(Table4[[#This Row],[Confirmed Pick-up Date]]),"TBD")</f>
        <v>39</v>
      </c>
      <c r="H272" s="20" t="str">
        <f>IFERROR(TEXT(Table4[[#This Row],[Confirmed Pick-up Date]],"yy-mm"),"TBD")</f>
        <v>25-09</v>
      </c>
      <c r="I272" s="64" t="s">
        <v>637</v>
      </c>
      <c r="J272" s="20" t="str">
        <f>IFERROR(VLOOKUP(Table4[[#This Row],[FromSite-UPS]],Table1[[#All],[Company or Name]:[FromSite3]],15,FALSE),"")</f>
        <v>Luxembourg (Beggen) WWTP</v>
      </c>
      <c r="K272" s="20" t="str">
        <f>IFERROR(VLOOKUP(Table4[[#This Row],[FromSite-UPS]],Table1[[#All],[Company or Name]:[FromSite3]],16,FALSE),"")</f>
        <v>Luxembourg Airport</v>
      </c>
      <c r="L272" s="20">
        <f>IFERROR(VLOOKUP(Table4[[#This Row],[FromSite-UPS]],Table1[[#All],[Company or Name]:[FromSite3]],14,FALSE),"")</f>
        <v>0.66666666666666663</v>
      </c>
      <c r="M272" s="13" t="s">
        <v>1011</v>
      </c>
      <c r="N272" s="20" t="s">
        <v>813</v>
      </c>
      <c r="O272" s="20" t="s">
        <v>1619</v>
      </c>
      <c r="P272" s="65" t="s">
        <v>892</v>
      </c>
      <c r="Q272" s="65" t="s">
        <v>1808</v>
      </c>
      <c r="R272" s="20"/>
      <c r="S272" s="20" t="s">
        <v>125</v>
      </c>
      <c r="T272" s="20" t="s">
        <v>856</v>
      </c>
      <c r="U272" s="20"/>
      <c r="V272" s="20"/>
      <c r="W272" s="20" t="str">
        <f>TEXT(Table4[[#This Row],[Confirmed Sampling Date]], "yyyy") &amp; "_" &amp; TEXT(Table4[[#This Row],[Confirmed Sampling Date]], "mm") &amp; "_" &amp; TEXT(Table4[[#This Row],[Confirmed Sampling Date]], "dd")</f>
        <v>2025_09_22</v>
      </c>
      <c r="X272" s="20" t="str">
        <f t="shared" si="4"/>
        <v>Luxembourg</v>
      </c>
      <c r="Y272" s="20" t="str">
        <f>VLOOKUP(Table4[[#This Row],[FromSite-UPS]],Table1[[Company or Name]:[NOTES]],2,FALSE)</f>
        <v>Luxembourg</v>
      </c>
      <c r="Z272" s="20">
        <f>IFERROR(WEEKNUM(Table4[[#This Row],[Confirmed Sampling Date]] - 10, 21), "TBD")</f>
        <v>37</v>
      </c>
      <c r="AA272" s="20" t="str">
        <f>_xlfn.XLOOKUP(Table4[[#This Row],[FromSite-UPS]],sites!D:D,sites!W:W,"",0)</f>
        <v>41 rue du Brill, Luxembourg, L-4422 , Luxembourg</v>
      </c>
      <c r="AB272" s="20" t="str">
        <f>_xlfn.XLOOKUP(Table4[[#This Row],[ToLab]],labs!D:D,labs!P:P,"no adres",0)</f>
        <v>Av. Rovisco Pais 1, Laboratorio de Analises de Agua, Lisbon, 1049-001, Portugal</v>
      </c>
      <c r="AC272" s="20">
        <f>_xlfn.XLOOKUP(Table4[[#This Row],[combi]],AREA!E:E,AREA!F:F,"",0)</f>
        <v>89</v>
      </c>
      <c r="AD272" s="20" t="str">
        <f>_xlfn.XLOOKUP(Table4[[#This Row],[combi]],AREA!E:E,AREA!G:G,"",0)</f>
        <v>Pick-up service of hypothetic package as defined in the Tech. Specs. and delivery to lots
2 and 3 contractors according to Scenario 1</v>
      </c>
      <c r="AE272" s="20" t="s">
        <v>125</v>
      </c>
      <c r="AF272" s="20" t="str">
        <f>_xlfn.XLOOKUP(Table4[[#This Row],[FromSite-UPS]],sites!D:D,sites!AB:AB,"",0)&amp;_xlfn.XLOOKUP(Table4[[#This Row],[ToLab]],labs!D:D,labs!Q:Q,"",0)</f>
        <v>EUEU</v>
      </c>
    </row>
    <row r="273" spans="2:32" ht="15.6" hidden="1" customHeight="1" x14ac:dyDescent="0.25">
      <c r="B273" s="13">
        <v>605</v>
      </c>
      <c r="C273" s="14" t="s">
        <v>53</v>
      </c>
      <c r="D273" s="13">
        <v>1</v>
      </c>
      <c r="E273" s="83">
        <v>45923</v>
      </c>
      <c r="F273" s="83">
        <v>45924</v>
      </c>
      <c r="G273" s="20">
        <f>IFERROR(WEEKNUM(Table4[[#This Row],[Confirmed Pick-up Date]]),"TBD")</f>
        <v>39</v>
      </c>
      <c r="H273" s="20" t="str">
        <f>IFERROR(TEXT(Table4[[#This Row],[Confirmed Pick-up Date]],"yy-mm"),"TBD")</f>
        <v>25-09</v>
      </c>
      <c r="I273" s="13" t="s">
        <v>1590</v>
      </c>
      <c r="J273" s="20" t="str">
        <f>IFERROR(VLOOKUP(Table4[[#This Row],[FromSite-UPS]],Table1[[#All],[Company or Name]:[FromSite3]],15,FALSE),"")</f>
        <v>Àthens WWTP</v>
      </c>
      <c r="K273" s="20" t="str">
        <f>IFERROR(VLOOKUP(Table4[[#This Row],[FromSite-UPS]],Table1[[#All],[Company or Name]:[FromSite3]],16,FALSE),"")</f>
        <v>Athens Airport</v>
      </c>
      <c r="L273" s="20">
        <f>IFERROR(VLOOKUP(Table4[[#This Row],[FromSite-UPS]],Table1[[#All],[Company or Name]:[FromSite3]],14,FALSE),"")</f>
        <v>0.66666666666666663</v>
      </c>
      <c r="M273" s="13" t="s">
        <v>1011</v>
      </c>
      <c r="N273" s="20" t="s">
        <v>813</v>
      </c>
      <c r="O273" s="20" t="s">
        <v>1620</v>
      </c>
      <c r="P273" s="20" t="s">
        <v>892</v>
      </c>
      <c r="Q273" s="37" t="s">
        <v>1819</v>
      </c>
      <c r="R273" s="20"/>
      <c r="S273" s="20" t="s">
        <v>125</v>
      </c>
      <c r="T273" s="20" t="s">
        <v>856</v>
      </c>
      <c r="U273" s="20"/>
      <c r="V273" s="20"/>
      <c r="W273" s="20" t="str">
        <f>TEXT(Table4[[#This Row],[Confirmed Sampling Date]], "yyyy") &amp; "_" &amp; TEXT(Table4[[#This Row],[Confirmed Sampling Date]], "mm") &amp; "_" &amp; TEXT(Table4[[#This Row],[Confirmed Sampling Date]], "dd")</f>
        <v>2025_09_23</v>
      </c>
      <c r="X273" s="20" t="str">
        <f t="shared" si="4"/>
        <v>Àthens</v>
      </c>
      <c r="Y273" s="20" t="str">
        <f>VLOOKUP(Table4[[#This Row],[FromSite-UPS]],Table1[[Company or Name]:[NOTES]],2,FALSE)</f>
        <v>Greece</v>
      </c>
      <c r="Z273" s="20">
        <f>IFERROR(WEEKNUM(Table4[[#This Row],[Confirmed Sampling Date]] - 10, 21), "TBD")</f>
        <v>37</v>
      </c>
      <c r="AA273" s="20" t="str">
        <f>_xlfn.XLOOKUP(Table4[[#This Row],[FromSite-UPS]],sites!D:D,sites!W:W,"",0)</f>
        <v>Zografou, 4ος όροφος, εργαστήριο αριθμός 8, Athens,  157 71, Greece</v>
      </c>
      <c r="AB273" s="20" t="str">
        <f>_xlfn.XLOOKUP(Table4[[#This Row],[ToLab]],labs!D:D,labs!P:P,"no adres",0)</f>
        <v>Av. Rovisco Pais 1, Laboratorio de Analises de Agua, Lisbon, 1049-001, Portugal</v>
      </c>
      <c r="AC273" s="20">
        <f>_xlfn.XLOOKUP(Table4[[#This Row],[combi]],AREA!E:E,AREA!F:F,"",0)</f>
        <v>89</v>
      </c>
      <c r="AD273" s="20" t="str">
        <f>_xlfn.XLOOKUP(Table4[[#This Row],[combi]],AREA!E:E,AREA!G:G,"",0)</f>
        <v>Pick-up service of hypothetic package as defined in the Tech. Specs. and delivery to lots
2 and 3 contractors according to Scenario 1</v>
      </c>
      <c r="AE273" s="20" t="s">
        <v>125</v>
      </c>
      <c r="AF273" s="20" t="str">
        <f>_xlfn.XLOOKUP(Table4[[#This Row],[FromSite-UPS]],sites!D:D,sites!AB:AB,"",0)&amp;_xlfn.XLOOKUP(Table4[[#This Row],[ToLab]],labs!D:D,labs!Q:Q,"",0)</f>
        <v>EUEU</v>
      </c>
    </row>
    <row r="274" spans="2:32" ht="15.6" hidden="1" customHeight="1" x14ac:dyDescent="0.25">
      <c r="B274" s="13">
        <v>612</v>
      </c>
      <c r="C274" s="14" t="s">
        <v>53</v>
      </c>
      <c r="D274" s="13">
        <v>1</v>
      </c>
      <c r="E274" s="34">
        <v>45924</v>
      </c>
      <c r="F274" s="34">
        <v>45925</v>
      </c>
      <c r="G274" s="20">
        <f>IFERROR(WEEKNUM(Table4[[#This Row],[Confirmed Pick-up Date]]),"TBD")</f>
        <v>39</v>
      </c>
      <c r="H274" s="20" t="str">
        <f>IFERROR(TEXT(Table4[[#This Row],[Confirmed Pick-up Date]],"yy-mm"),"TBD")</f>
        <v>25-09</v>
      </c>
      <c r="I274" s="13" t="s">
        <v>1590</v>
      </c>
      <c r="J274" s="20" t="str">
        <f>IFERROR(VLOOKUP(Table4[[#This Row],[FromSite-UPS]],Table1[[#All],[Company or Name]:[FromSite3]],15,FALSE),"")</f>
        <v>Àthens WWTP</v>
      </c>
      <c r="K274" s="20" t="str">
        <f>IFERROR(VLOOKUP(Table4[[#This Row],[FromSite-UPS]],Table1[[#All],[Company or Name]:[FromSite3]],16,FALSE),"")</f>
        <v>Athens Airport</v>
      </c>
      <c r="L274" s="20">
        <f>IFERROR(VLOOKUP(Table4[[#This Row],[FromSite-UPS]],Table1[[#All],[Company or Name]:[FromSite3]],14,FALSE),"")</f>
        <v>0.66666666666666663</v>
      </c>
      <c r="M274" s="13" t="s">
        <v>1011</v>
      </c>
      <c r="N274" s="20" t="s">
        <v>813</v>
      </c>
      <c r="O274" s="20" t="s">
        <v>1621</v>
      </c>
      <c r="P274" s="20" t="s">
        <v>892</v>
      </c>
      <c r="Q274" s="37" t="s">
        <v>1820</v>
      </c>
      <c r="R274" s="20"/>
      <c r="S274" s="20" t="s">
        <v>125</v>
      </c>
      <c r="T274" s="20" t="s">
        <v>856</v>
      </c>
      <c r="U274" s="20"/>
      <c r="V274" s="20"/>
      <c r="W274" s="20" t="str">
        <f>TEXT(Table4[[#This Row],[Confirmed Sampling Date]], "yyyy") &amp; "_" &amp; TEXT(Table4[[#This Row],[Confirmed Sampling Date]], "mm") &amp; "_" &amp; TEXT(Table4[[#This Row],[Confirmed Sampling Date]], "dd")</f>
        <v>2025_09_24</v>
      </c>
      <c r="X274" s="20" t="str">
        <f t="shared" si="4"/>
        <v>Àthens</v>
      </c>
      <c r="Y274" s="20" t="str">
        <f>VLOOKUP(Table4[[#This Row],[FromSite-UPS]],Table1[[Company or Name]:[NOTES]],2,FALSE)</f>
        <v>Greece</v>
      </c>
      <c r="Z274" s="20">
        <f>IFERROR(WEEKNUM(Table4[[#This Row],[Confirmed Sampling Date]] - 10, 21), "TBD")</f>
        <v>37</v>
      </c>
      <c r="AA274" s="20" t="str">
        <f>_xlfn.XLOOKUP(Table4[[#This Row],[FromSite-UPS]],sites!D:D,sites!W:W,"",0)</f>
        <v>Zografou, 4ος όροφος, εργαστήριο αριθμός 8, Athens,  157 71, Greece</v>
      </c>
      <c r="AB274" s="20" t="str">
        <f>_xlfn.XLOOKUP(Table4[[#This Row],[ToLab]],labs!D:D,labs!P:P,"no adres",0)</f>
        <v>Av. Rovisco Pais 1, Laboratorio de Analises de Agua, Lisbon, 1049-001, Portugal</v>
      </c>
      <c r="AC274" s="20">
        <f>_xlfn.XLOOKUP(Table4[[#This Row],[combi]],AREA!E:E,AREA!F:F,"",0)</f>
        <v>89</v>
      </c>
      <c r="AD274" s="20" t="str">
        <f>_xlfn.XLOOKUP(Table4[[#This Row],[combi]],AREA!E:E,AREA!G:G,"",0)</f>
        <v>Pick-up service of hypothetic package as defined in the Tech. Specs. and delivery to lots
2 and 3 contractors according to Scenario 1</v>
      </c>
      <c r="AE274" s="20" t="s">
        <v>125</v>
      </c>
      <c r="AF274" s="20" t="str">
        <f>_xlfn.XLOOKUP(Table4[[#This Row],[FromSite-UPS]],sites!D:D,sites!AB:AB,"",0)&amp;_xlfn.XLOOKUP(Table4[[#This Row],[ToLab]],labs!D:D,labs!Q:Q,"",0)</f>
        <v>EUEU</v>
      </c>
    </row>
    <row r="275" spans="2:32" ht="15.6" hidden="1" customHeight="1" x14ac:dyDescent="0.25">
      <c r="B275" s="13">
        <v>619</v>
      </c>
      <c r="C275" s="14" t="s">
        <v>53</v>
      </c>
      <c r="D275" s="13">
        <v>1</v>
      </c>
      <c r="E275" s="34">
        <v>45924</v>
      </c>
      <c r="F275" s="34">
        <v>45925</v>
      </c>
      <c r="G275" s="20">
        <f>IFERROR(WEEKNUM(Table4[[#This Row],[Confirmed Pick-up Date]]),"TBD")</f>
        <v>39</v>
      </c>
      <c r="H275" s="20" t="str">
        <f>IFERROR(TEXT(Table4[[#This Row],[Confirmed Pick-up Date]],"yy-mm"),"TBD")</f>
        <v>25-09</v>
      </c>
      <c r="I275" s="13" t="s">
        <v>1598</v>
      </c>
      <c r="J275" s="20" t="str">
        <f>IFERROR(VLOOKUP(Table4[[#This Row],[FromSite-UPS]],Table1[[#All],[Company or Name]:[FromSite3]],15,FALSE),"")</f>
        <v>Heraklion WWTP</v>
      </c>
      <c r="K275" s="20" t="str">
        <f>IFERROR(VLOOKUP(Table4[[#This Row],[FromSite-UPS]],Table1[[#All],[Company or Name]:[FromSite3]],16,FALSE),"")</f>
        <v>Heraklion Airport</v>
      </c>
      <c r="L275" s="20">
        <f>IFERROR(VLOOKUP(Table4[[#This Row],[FromSite-UPS]],Table1[[#All],[Company or Name]:[FromSite3]],14,FALSE),"")</f>
        <v>0.5</v>
      </c>
      <c r="M275" s="13" t="s">
        <v>1011</v>
      </c>
      <c r="N275" s="20" t="s">
        <v>813</v>
      </c>
      <c r="O275" s="20" t="s">
        <v>1643</v>
      </c>
      <c r="P275" s="20" t="s">
        <v>892</v>
      </c>
      <c r="Q275" s="20" t="s">
        <v>1810</v>
      </c>
      <c r="R275" s="20" t="s">
        <v>1645</v>
      </c>
      <c r="S275" s="20" t="s">
        <v>125</v>
      </c>
      <c r="T275" s="20" t="s">
        <v>856</v>
      </c>
      <c r="U275" s="20"/>
      <c r="V275" s="20"/>
      <c r="W275" s="20" t="str">
        <f>TEXT(Table4[[#This Row],[Confirmed Sampling Date]], "yyyy") &amp; "_" &amp; TEXT(Table4[[#This Row],[Confirmed Sampling Date]], "mm") &amp; "_" &amp; TEXT(Table4[[#This Row],[Confirmed Sampling Date]], "dd")</f>
        <v>2025_09_24</v>
      </c>
      <c r="X275" s="20" t="str">
        <f t="shared" si="4"/>
        <v>Heraklion</v>
      </c>
      <c r="Y275" s="20" t="str">
        <f>VLOOKUP(Table4[[#This Row],[FromSite-UPS]],Table1[[Company or Name]:[NOTES]],2,FALSE)</f>
        <v>Greece</v>
      </c>
      <c r="Z275" s="20">
        <f>IFERROR(WEEKNUM(Table4[[#This Row],[Confirmed Sampling Date]] - 10, 21), "TBD")</f>
        <v>37</v>
      </c>
      <c r="AA275" s="20" t="str">
        <f>_xlfn.XLOOKUP(Table4[[#This Row],[FromSite-UPS]],sites!D:D,sites!W:W,"",0)</f>
        <v>Andrea Kalokerinou 13, Pteryga 3D, Giofirakia, 715 00, Greece</v>
      </c>
      <c r="AB275" s="20" t="str">
        <f>_xlfn.XLOOKUP(Table4[[#This Row],[ToLab]],labs!D:D,labs!P:P,"no adres",0)</f>
        <v>Av. Rovisco Pais 1, Laboratorio de Analises de Agua, Lisbon, 1049-001, Portugal</v>
      </c>
      <c r="AC275" s="20">
        <f>_xlfn.XLOOKUP(Table4[[#This Row],[combi]],AREA!E:E,AREA!F:F,"",0)</f>
        <v>89</v>
      </c>
      <c r="AD275" s="20" t="str">
        <f>_xlfn.XLOOKUP(Table4[[#This Row],[combi]],AREA!E:E,AREA!G:G,"",0)</f>
        <v>Pick-up service of hypothetic package as defined in the Tech. Specs. and delivery to lots
2 and 3 contractors according to Scenario 1</v>
      </c>
      <c r="AE275" s="20" t="s">
        <v>125</v>
      </c>
      <c r="AF275" s="20" t="str">
        <f>_xlfn.XLOOKUP(Table4[[#This Row],[FromSite-UPS]],sites!D:D,sites!AB:AB,"",0)&amp;_xlfn.XLOOKUP(Table4[[#This Row],[ToLab]],labs!D:D,labs!Q:Q,"",0)</f>
        <v>EUEU</v>
      </c>
    </row>
    <row r="276" spans="2:32" ht="15.6" hidden="1" customHeight="1" x14ac:dyDescent="0.25">
      <c r="B276" s="13">
        <v>626</v>
      </c>
      <c r="C276" s="14" t="s">
        <v>53</v>
      </c>
      <c r="D276" s="13">
        <v>1</v>
      </c>
      <c r="E276" s="34">
        <v>45924</v>
      </c>
      <c r="F276" s="34">
        <v>45925</v>
      </c>
      <c r="G276" s="20">
        <f>IFERROR(WEEKNUM(Table4[[#This Row],[Confirmed Pick-up Date]]),"TBD")</f>
        <v>39</v>
      </c>
      <c r="H276" s="20" t="str">
        <f>IFERROR(TEXT(Table4[[#This Row],[Confirmed Pick-up Date]],"yy-mm"),"TBD")</f>
        <v>25-09</v>
      </c>
      <c r="I276" s="13" t="s">
        <v>1598</v>
      </c>
      <c r="J276" s="20" t="str">
        <f>IFERROR(VLOOKUP(Table4[[#This Row],[FromSite-UPS]],Table1[[#All],[Company or Name]:[FromSite3]],15,FALSE),"")</f>
        <v>Heraklion WWTP</v>
      </c>
      <c r="K276" s="20" t="str">
        <f>IFERROR(VLOOKUP(Table4[[#This Row],[FromSite-UPS]],Table1[[#All],[Company or Name]:[FromSite3]],16,FALSE),"")</f>
        <v>Heraklion Airport</v>
      </c>
      <c r="L276" s="20">
        <f>IFERROR(VLOOKUP(Table4[[#This Row],[FromSite-UPS]],Table1[[#All],[Company or Name]:[FromSite3]],14,FALSE),"")</f>
        <v>0.5</v>
      </c>
      <c r="M276" s="13" t="s">
        <v>1011</v>
      </c>
      <c r="N276" s="20" t="s">
        <v>813</v>
      </c>
      <c r="O276" s="20" t="s">
        <v>1644</v>
      </c>
      <c r="P276" s="20" t="s">
        <v>892</v>
      </c>
      <c r="Q276" s="65" t="s">
        <v>1810</v>
      </c>
      <c r="R276" s="20" t="s">
        <v>1646</v>
      </c>
      <c r="S276" s="20" t="s">
        <v>125</v>
      </c>
      <c r="T276" s="20" t="s">
        <v>856</v>
      </c>
      <c r="U276" s="20"/>
      <c r="V276" s="20"/>
      <c r="W276" s="20" t="str">
        <f>TEXT(Table4[[#This Row],[Confirmed Sampling Date]], "yyyy") &amp; "_" &amp; TEXT(Table4[[#This Row],[Confirmed Sampling Date]], "mm") &amp; "_" &amp; TEXT(Table4[[#This Row],[Confirmed Sampling Date]], "dd")</f>
        <v>2025_09_24</v>
      </c>
      <c r="X276" s="20" t="str">
        <f t="shared" si="4"/>
        <v>Heraklion</v>
      </c>
      <c r="Y276" s="20" t="str">
        <f>VLOOKUP(Table4[[#This Row],[FromSite-UPS]],Table1[[Company or Name]:[NOTES]],2,FALSE)</f>
        <v>Greece</v>
      </c>
      <c r="Z276" s="20">
        <f>IFERROR(WEEKNUM(Table4[[#This Row],[Confirmed Sampling Date]] - 10, 21), "TBD")</f>
        <v>37</v>
      </c>
      <c r="AA276" s="20" t="str">
        <f>_xlfn.XLOOKUP(Table4[[#This Row],[FromSite-UPS]],sites!D:D,sites!W:W,"",0)</f>
        <v>Andrea Kalokerinou 13, Pteryga 3D, Giofirakia, 715 00, Greece</v>
      </c>
      <c r="AB276" s="20" t="str">
        <f>_xlfn.XLOOKUP(Table4[[#This Row],[ToLab]],labs!D:D,labs!P:P,"no adres",0)</f>
        <v>Av. Rovisco Pais 1, Laboratorio de Analises de Agua, Lisbon, 1049-001, Portugal</v>
      </c>
      <c r="AC276" s="20">
        <f>_xlfn.XLOOKUP(Table4[[#This Row],[combi]],AREA!E:E,AREA!F:F,"",0)</f>
        <v>89</v>
      </c>
      <c r="AD276" s="20" t="str">
        <f>_xlfn.XLOOKUP(Table4[[#This Row],[combi]],AREA!E:E,AREA!G:G,"",0)</f>
        <v>Pick-up service of hypothetic package as defined in the Tech. Specs. and delivery to lots
2 and 3 contractors according to Scenario 1</v>
      </c>
      <c r="AE276" s="20" t="s">
        <v>125</v>
      </c>
      <c r="AF276" s="20" t="str">
        <f>_xlfn.XLOOKUP(Table4[[#This Row],[FromSite-UPS]],sites!D:D,sites!AB:AB,"",0)&amp;_xlfn.XLOOKUP(Table4[[#This Row],[ToLab]],labs!D:D,labs!Q:Q,"",0)</f>
        <v>EUEU</v>
      </c>
    </row>
    <row r="277" spans="2:32" ht="15.6" hidden="1" customHeight="1" x14ac:dyDescent="0.25">
      <c r="B277" s="13">
        <v>633</v>
      </c>
      <c r="C277" s="14" t="s">
        <v>53</v>
      </c>
      <c r="D277" s="13">
        <v>1</v>
      </c>
      <c r="E277" s="34">
        <v>45924</v>
      </c>
      <c r="F277" s="34">
        <v>45925</v>
      </c>
      <c r="G277" s="20">
        <f>IFERROR(WEEKNUM(Table4[[#This Row],[Confirmed Pick-up Date]]),"TBD")</f>
        <v>39</v>
      </c>
      <c r="H277" s="20" t="str">
        <f>IFERROR(TEXT(Table4[[#This Row],[Confirmed Pick-up Date]],"yy-mm"),"TBD")</f>
        <v>25-09</v>
      </c>
      <c r="I277" s="13" t="s">
        <v>1813</v>
      </c>
      <c r="J277" s="20" t="str">
        <f>IFERROR(VLOOKUP(Table4[[#This Row],[FromSite-UPS]],Table1[[#All],[Company or Name]:[FromSite3]],15,FALSE),"")</f>
        <v>Riga WWTP</v>
      </c>
      <c r="K277" s="20" t="str">
        <f>IFERROR(VLOOKUP(Table4[[#This Row],[FromSite-UPS]],Table1[[#All],[Company or Name]:[FromSite3]],16,FALSE),"")</f>
        <v>-</v>
      </c>
      <c r="L277" s="20">
        <f>IFERROR(VLOOKUP(Table4[[#This Row],[FromSite-UPS]],Table1[[#All],[Company or Name]:[FromSite3]],14,FALSE),"")</f>
        <v>0.70833333333333337</v>
      </c>
      <c r="M277" s="13" t="s">
        <v>1011</v>
      </c>
      <c r="N277" s="20" t="s">
        <v>813</v>
      </c>
      <c r="O277" s="20" t="s">
        <v>1796</v>
      </c>
      <c r="P277" s="20" t="s">
        <v>134</v>
      </c>
      <c r="Q277" s="20" t="s">
        <v>1818</v>
      </c>
      <c r="R277" s="20"/>
      <c r="S277" s="20" t="s">
        <v>125</v>
      </c>
      <c r="T277" s="20" t="s">
        <v>856</v>
      </c>
      <c r="U277" s="20"/>
      <c r="V277" s="20"/>
      <c r="W277" s="20" t="str">
        <f>TEXT(Table4[[#This Row],[Confirmed Sampling Date]], "yyyy") &amp; "_" &amp; TEXT(Table4[[#This Row],[Confirmed Sampling Date]], "mm") &amp; "_" &amp; TEXT(Table4[[#This Row],[Confirmed Sampling Date]], "dd")</f>
        <v>2025_09_24</v>
      </c>
      <c r="X277" s="20" t="str">
        <f t="shared" si="4"/>
        <v>Riga</v>
      </c>
      <c r="Y277" s="20" t="str">
        <f>VLOOKUP(Table4[[#This Row],[FromSite-UPS]],Table1[[Company or Name]:[NOTES]],2,FALSE)</f>
        <v>Latvia</v>
      </c>
      <c r="Z277" s="20">
        <f>IFERROR(WEEKNUM(Table4[[#This Row],[Confirmed Sampling Date]] - 10, 21), "TBD")</f>
        <v>37</v>
      </c>
      <c r="AA277" s="20" t="str">
        <f>_xlfn.XLOOKUP(Table4[[#This Row],[FromSite-UPS]],sites!D:D,sites!W:W,"",0)</f>
        <v>Pilsonu iela 13, Zemgales priekšpilsēta, Rīga, LV-1002, Latvia</v>
      </c>
      <c r="AB277" s="20" t="str">
        <f>_xlfn.XLOOKUP(Table4[[#This Row],[ToLab]],labs!D:D,labs!P:P,"no adres",0)</f>
        <v>Av. Rovisco Pais 1, Laboratorio de Analises de Agua, Lisbon, 1049-001, Portugal</v>
      </c>
      <c r="AC277" s="20">
        <f>_xlfn.XLOOKUP(Table4[[#This Row],[combi]],AREA!E:E,AREA!F:F,"",0)</f>
        <v>89</v>
      </c>
      <c r="AD277" s="20" t="str">
        <f>_xlfn.XLOOKUP(Table4[[#This Row],[combi]],AREA!E:E,AREA!G:G,"",0)</f>
        <v>Pick-up service of hypothetic package as defined in the Tech. Specs. and delivery to lots
2 and 3 contractors according to Scenario 1</v>
      </c>
      <c r="AE277" s="20" t="s">
        <v>125</v>
      </c>
      <c r="AF277" s="20" t="str">
        <f>_xlfn.XLOOKUP(Table4[[#This Row],[FromSite-UPS]],sites!D:D,sites!AB:AB,"",0)&amp;_xlfn.XLOOKUP(Table4[[#This Row],[ToLab]],labs!D:D,labs!Q:Q,"",0)</f>
        <v>EUEU</v>
      </c>
    </row>
    <row r="278" spans="2:32" ht="15.6" hidden="1" customHeight="1" x14ac:dyDescent="0.25">
      <c r="B278" s="13">
        <v>634</v>
      </c>
      <c r="C278" s="14" t="s">
        <v>53</v>
      </c>
      <c r="D278" s="13">
        <v>1</v>
      </c>
      <c r="E278" s="83">
        <v>45925</v>
      </c>
      <c r="F278" s="83">
        <v>45925</v>
      </c>
      <c r="G278" s="20">
        <f>IFERROR(WEEKNUM(Table4[[#This Row],[Confirmed Pick-up Date]]),"TBD")</f>
        <v>39</v>
      </c>
      <c r="H278" s="20" t="str">
        <f>IFERROR(TEXT(Table4[[#This Row],[Confirmed Pick-up Date]],"yy-mm"),"TBD")</f>
        <v>25-09</v>
      </c>
      <c r="I278" s="13" t="s">
        <v>1813</v>
      </c>
      <c r="J278" s="20" t="str">
        <f>IFERROR(VLOOKUP(Table4[[#This Row],[FromSite-UPS]],Table1[[#All],[Company or Name]:[FromSite3]],15,FALSE),"")</f>
        <v>Riga WWTP</v>
      </c>
      <c r="K278" s="20" t="str">
        <f>IFERROR(VLOOKUP(Table4[[#This Row],[FromSite-UPS]],Table1[[#All],[Company or Name]:[FromSite3]],16,FALSE),"")</f>
        <v>-</v>
      </c>
      <c r="L278" s="20">
        <f>IFERROR(VLOOKUP(Table4[[#This Row],[FromSite-UPS]],Table1[[#All],[Company or Name]:[FromSite3]],14,FALSE),"")</f>
        <v>0.70833333333333337</v>
      </c>
      <c r="M278" s="13" t="s">
        <v>1011</v>
      </c>
      <c r="N278" s="20" t="s">
        <v>813</v>
      </c>
      <c r="O278" s="20" t="s">
        <v>1797</v>
      </c>
      <c r="P278" s="20" t="s">
        <v>134</v>
      </c>
      <c r="Q278" s="20" t="s">
        <v>1818</v>
      </c>
      <c r="R278" s="20"/>
      <c r="S278" s="20" t="s">
        <v>125</v>
      </c>
      <c r="T278" s="20" t="s">
        <v>856</v>
      </c>
      <c r="U278" s="20"/>
      <c r="V278" s="20"/>
      <c r="W278" s="20" t="str">
        <f>TEXT(Table4[[#This Row],[Confirmed Sampling Date]], "yyyy") &amp; "_" &amp; TEXT(Table4[[#This Row],[Confirmed Sampling Date]], "mm") &amp; "_" &amp; TEXT(Table4[[#This Row],[Confirmed Sampling Date]], "dd")</f>
        <v>2025_09_25</v>
      </c>
      <c r="X278" s="20" t="str">
        <f t="shared" si="4"/>
        <v>Riga</v>
      </c>
      <c r="Y278" s="20" t="str">
        <f>VLOOKUP(Table4[[#This Row],[FromSite-UPS]],Table1[[Company or Name]:[NOTES]],2,FALSE)</f>
        <v>Latvia</v>
      </c>
      <c r="Z278" s="20">
        <f>IFERROR(WEEKNUM(Table4[[#This Row],[Confirmed Sampling Date]] - 10, 21), "TBD")</f>
        <v>38</v>
      </c>
      <c r="AA278" s="20" t="str">
        <f>_xlfn.XLOOKUP(Table4[[#This Row],[FromSite-UPS]],sites!D:D,sites!W:W,"",0)</f>
        <v>Pilsonu iela 13, Zemgales priekšpilsēta, Rīga, LV-1002, Latvia</v>
      </c>
      <c r="AB278" s="20" t="str">
        <f>_xlfn.XLOOKUP(Table4[[#This Row],[ToLab]],labs!D:D,labs!P:P,"no adres",0)</f>
        <v>Av. Rovisco Pais 1, Laboratorio de Analises de Agua, Lisbon, 1049-001, Portugal</v>
      </c>
      <c r="AC278" s="20">
        <f>_xlfn.XLOOKUP(Table4[[#This Row],[combi]],AREA!E:E,AREA!F:F,"",0)</f>
        <v>89</v>
      </c>
      <c r="AD278" s="20" t="str">
        <f>_xlfn.XLOOKUP(Table4[[#This Row],[combi]],AREA!E:E,AREA!G:G,"",0)</f>
        <v>Pick-up service of hypothetic package as defined in the Tech. Specs. and delivery to lots
2 and 3 contractors according to Scenario 1</v>
      </c>
      <c r="AE278" s="20" t="s">
        <v>125</v>
      </c>
      <c r="AF278" s="20" t="str">
        <f>_xlfn.XLOOKUP(Table4[[#This Row],[FromSite-UPS]],sites!D:D,sites!AB:AB,"",0)&amp;_xlfn.XLOOKUP(Table4[[#This Row],[ToLab]],labs!D:D,labs!Q:Q,"",0)</f>
        <v>EUEU</v>
      </c>
    </row>
    <row r="279" spans="2:32" ht="15.6" hidden="1" customHeight="1" x14ac:dyDescent="0.25">
      <c r="B279" s="13">
        <v>5</v>
      </c>
      <c r="C279" s="14" t="s">
        <v>53</v>
      </c>
      <c r="D279" s="13">
        <v>1</v>
      </c>
      <c r="E279" s="22">
        <v>45927</v>
      </c>
      <c r="F279" s="22">
        <v>45930</v>
      </c>
      <c r="G279" s="20">
        <f>IFERROR(WEEKNUM(Table4[[#This Row],[Confirmed Pick-up Date]]),"TBD")</f>
        <v>40</v>
      </c>
      <c r="H279" s="20" t="str">
        <f>IFERROR(TEXT(Table4[[#This Row],[Confirmed Pick-up Date]],"yy-mm"),"TBD")</f>
        <v>25-09</v>
      </c>
      <c r="I279" s="64" t="s">
        <v>33</v>
      </c>
      <c r="J279" s="20" t="str">
        <f>IFERROR(VLOOKUP(Table4[[#This Row],[FromSite-UPS]],Table1[[#All],[Company or Name]:[FromSite3]],15,FALSE),"")</f>
        <v>Osaka Expo</v>
      </c>
      <c r="K279" s="20" t="str">
        <f>IFERROR(VLOOKUP(Table4[[#This Row],[FromSite-UPS]],Table1[[#All],[Company or Name]:[FromSite3]],16,FALSE),"")</f>
        <v>-</v>
      </c>
      <c r="L279" s="20">
        <f>IFERROR(VLOOKUP(Table4[[#This Row],[FromSite-UPS]],Table1[[#All],[Company or Name]:[FromSite3]],14,FALSE),"")</f>
        <v>0.58333333333333337</v>
      </c>
      <c r="M279" s="13" t="s">
        <v>1011</v>
      </c>
      <c r="N279" s="20" t="s">
        <v>813</v>
      </c>
      <c r="O279" s="20" t="s">
        <v>1716</v>
      </c>
      <c r="P279" s="20" t="s">
        <v>813</v>
      </c>
      <c r="Q279" s="20" t="s">
        <v>1828</v>
      </c>
      <c r="R279" s="20" t="s">
        <v>1717</v>
      </c>
      <c r="S279" s="20" t="s">
        <v>125</v>
      </c>
      <c r="T279" s="20" t="s">
        <v>856</v>
      </c>
      <c r="U279" s="20"/>
      <c r="V279" s="20"/>
      <c r="W279" s="20" t="str">
        <f>TEXT(Table4[[#This Row],[Confirmed Sampling Date]], "yyyy") &amp; "_" &amp; TEXT(Table4[[#This Row],[Confirmed Sampling Date]], "mm") &amp; "_" &amp; TEXT(Table4[[#This Row],[Confirmed Sampling Date]], "dd")</f>
        <v>2025_09_27</v>
      </c>
      <c r="X279" s="20" t="str">
        <f t="shared" si="4"/>
        <v>Osaka</v>
      </c>
      <c r="Y279" s="20" t="str">
        <f>VLOOKUP(Table4[[#This Row],[FromSite-UPS]],Table1[[Company or Name]:[NOTES]],2,FALSE)</f>
        <v>Japan</v>
      </c>
      <c r="Z279" s="20">
        <f>IFERROR(WEEKNUM(Table4[[#This Row],[Confirmed Sampling Date]] - 10, 21), "TBD")</f>
        <v>38</v>
      </c>
      <c r="AA279" s="20" t="str">
        <f>_xlfn.XLOOKUP(Table4[[#This Row],[FromSite-UPS]],sites!D:D,sites!W:W,"",0)</f>
        <v>1-3-3 Nakamichi, Higashinari-ku, Osaka, 537-0025, Japan</v>
      </c>
      <c r="AB279" s="20" t="str">
        <f>_xlfn.XLOOKUP(Table4[[#This Row],[ToLab]],labs!D:D,labs!P:P,"no adres",0)</f>
        <v>Av. Rovisco Pais 1, Laboratorio de Analises de Agua, Lisbon, 1049-001, Portugal</v>
      </c>
      <c r="AC279" s="20">
        <f>_xlfn.XLOOKUP(Table4[[#This Row],[combi]],AREA!E:E,AREA!F:F,"",0)</f>
        <v>92</v>
      </c>
      <c r="AD279" s="20" t="str">
        <f>_xlfn.XLOOKUP(Table4[[#This Row],[combi]],AREA!E:E,AREA!G:G,"",0)</f>
        <v>Pick-up service of hypothetic package as defined in the Tech. Specs. and delivery to lots
2 and 3 contractors according to Scenario 4</v>
      </c>
      <c r="AE279" s="20" t="s">
        <v>125</v>
      </c>
      <c r="AF279" s="20" t="str">
        <f>_xlfn.XLOOKUP(Table4[[#This Row],[FromSite-UPS]],sites!D:D,sites!AB:AB,"",0)&amp;_xlfn.XLOOKUP(Table4[[#This Row],[ToLab]],labs!D:D,labs!Q:Q,"",0)</f>
        <v>Non-EuropeEU</v>
      </c>
    </row>
    <row r="280" spans="2:32" ht="15.6" hidden="1" customHeight="1" x14ac:dyDescent="0.25">
      <c r="B280" s="13">
        <v>532</v>
      </c>
      <c r="C280" s="14" t="s">
        <v>53</v>
      </c>
      <c r="D280" s="13">
        <v>1</v>
      </c>
      <c r="E280" s="83">
        <v>45936</v>
      </c>
      <c r="F280" s="83">
        <v>45938</v>
      </c>
      <c r="G280" s="20">
        <f>IFERROR(WEEKNUM(Table4[[#This Row],[Confirmed Pick-up Date]]),"TBD")</f>
        <v>41</v>
      </c>
      <c r="H280" s="20" t="str">
        <f>IFERROR(TEXT(Table4[[#This Row],[Confirmed Pick-up Date]],"yy-mm"),"TBD")</f>
        <v>25-10</v>
      </c>
      <c r="I280" s="78" t="s">
        <v>1187</v>
      </c>
      <c r="J280" s="20" t="str">
        <f>IFERROR(VLOOKUP(Table4[[#This Row],[FromSite-UPS]],Table1[[#All],[Company or Name]:[FromSite3]],15,FALSE),"")</f>
        <v>Aachen WWTP</v>
      </c>
      <c r="K280" s="20" t="str">
        <f>IFERROR(VLOOKUP(Table4[[#This Row],[FromSite-UPS]],Table1[[#All],[Company or Name]:[FromSite3]],16,FALSE),"")</f>
        <v>Aachen Hospital</v>
      </c>
      <c r="L280" s="20">
        <f>IFERROR(VLOOKUP(Table4[[#This Row],[FromSite-UPS]],Table1[[#All],[Company or Name]:[FromSite3]],14,FALSE),"")</f>
        <v>0.66666666666666663</v>
      </c>
      <c r="M280" s="13" t="s">
        <v>1011</v>
      </c>
      <c r="N280" s="20" t="s">
        <v>813</v>
      </c>
      <c r="O280" s="20" t="s">
        <v>1681</v>
      </c>
      <c r="P280" s="20" t="s">
        <v>134</v>
      </c>
      <c r="Q280" s="37" t="s">
        <v>1848</v>
      </c>
      <c r="R280" s="20" t="s">
        <v>1736</v>
      </c>
      <c r="S280" s="20" t="s">
        <v>125</v>
      </c>
      <c r="T280" s="20" t="s">
        <v>856</v>
      </c>
      <c r="U280" s="20"/>
      <c r="V280" s="20"/>
      <c r="W280" s="20" t="str">
        <f>TEXT(Table4[[#This Row],[Confirmed Sampling Date]], "yyyy") &amp; "_" &amp; TEXT(Table4[[#This Row],[Confirmed Sampling Date]], "mm") &amp; "_" &amp; TEXT(Table4[[#This Row],[Confirmed Sampling Date]], "dd")</f>
        <v>2025_10_06</v>
      </c>
      <c r="X280" s="20" t="str">
        <f t="shared" si="4"/>
        <v>Aachen</v>
      </c>
      <c r="Y280" s="20" t="str">
        <f>VLOOKUP(Table4[[#This Row],[FromSite-UPS]],Table1[[Company or Name]:[NOTES]],2,FALSE)</f>
        <v>Germany</v>
      </c>
      <c r="Z280" s="20">
        <f>IFERROR(WEEKNUM(Table4[[#This Row],[Confirmed Sampling Date]] - 10, 21), "TBD")</f>
        <v>39</v>
      </c>
      <c r="AA280" s="20" t="str">
        <f>_xlfn.XLOOKUP(Table4[[#This Row],[FromSite-UPS]],sites!D:D,sites!W:W,"",0)</f>
        <v>Krefelder Str. 299, Aachen, 52070, Germany</v>
      </c>
      <c r="AB280" s="20" t="str">
        <f>_xlfn.XLOOKUP(Table4[[#This Row],[ToLab]],labs!D:D,labs!P:P,"no adres",0)</f>
        <v>Av. Rovisco Pais 1, Laboratorio de Analises de Agua, Lisbon, 1049-001, Portugal</v>
      </c>
      <c r="AC280" s="20">
        <f>_xlfn.XLOOKUP(Table4[[#This Row],[combi]],AREA!E:E,AREA!F:F,"",0)</f>
        <v>89</v>
      </c>
      <c r="AD280" s="20" t="str">
        <f>_xlfn.XLOOKUP(Table4[[#This Row],[combi]],AREA!E:E,AREA!G:G,"",0)</f>
        <v>Pick-up service of hypothetic package as defined in the Tech. Specs. and delivery to lots
2 and 3 contractors according to Scenario 1</v>
      </c>
      <c r="AE280" s="20" t="s">
        <v>125</v>
      </c>
      <c r="AF280" s="20" t="str">
        <f>_xlfn.XLOOKUP(Table4[[#This Row],[FromSite-UPS]],sites!D:D,sites!AB:AB,"",0)&amp;_xlfn.XLOOKUP(Table4[[#This Row],[ToLab]],labs!D:D,labs!Q:Q,"",0)</f>
        <v>EUEU</v>
      </c>
    </row>
    <row r="281" spans="2:32" ht="15.6" hidden="1" customHeight="1" x14ac:dyDescent="0.2">
      <c r="B281" s="13">
        <v>597</v>
      </c>
      <c r="C281" s="14" t="s">
        <v>53</v>
      </c>
      <c r="D281" s="13">
        <v>1</v>
      </c>
      <c r="E281" s="83">
        <v>45936</v>
      </c>
      <c r="F281" s="83">
        <v>45938</v>
      </c>
      <c r="G281" s="20">
        <f>IFERROR(WEEKNUM(Table4[[#This Row],[Confirmed Pick-up Date]]),"TBD")</f>
        <v>41</v>
      </c>
      <c r="H281" s="20" t="str">
        <f>IFERROR(TEXT(Table4[[#This Row],[Confirmed Pick-up Date]],"yy-mm"),"TBD")</f>
        <v>25-10</v>
      </c>
      <c r="I281" s="78" t="s">
        <v>1187</v>
      </c>
      <c r="J281" s="20" t="str">
        <f>IFERROR(VLOOKUP(Table4[[#This Row],[FromSite-UPS]],Table1[[#All],[Company or Name]:[FromSite3]],15,FALSE),"")</f>
        <v>Aachen WWTP</v>
      </c>
      <c r="K281" s="20" t="str">
        <f>IFERROR(VLOOKUP(Table4[[#This Row],[FromSite-UPS]],Table1[[#All],[Company or Name]:[FromSite3]],16,FALSE),"")</f>
        <v>Aachen Hospital</v>
      </c>
      <c r="L281" s="20">
        <f>IFERROR(VLOOKUP(Table4[[#This Row],[FromSite-UPS]],Table1[[#All],[Company or Name]:[FromSite3]],14,FALSE),"")</f>
        <v>0.66666666666666663</v>
      </c>
      <c r="M281" s="13" t="s">
        <v>1011</v>
      </c>
      <c r="N281" s="20" t="s">
        <v>813</v>
      </c>
      <c r="O281" s="20" t="s">
        <v>1682</v>
      </c>
      <c r="P281" s="20" t="s">
        <v>134</v>
      </c>
      <c r="Q281" s="121" t="s">
        <v>1848</v>
      </c>
      <c r="R281" s="112" t="s">
        <v>1731</v>
      </c>
      <c r="S281" s="20" t="s">
        <v>125</v>
      </c>
      <c r="T281" s="20" t="s">
        <v>856</v>
      </c>
      <c r="U281" s="20"/>
      <c r="V281" s="20"/>
      <c r="W281" s="20" t="str">
        <f>TEXT(Table4[[#This Row],[Confirmed Sampling Date]], "yyyy") &amp; "_" &amp; TEXT(Table4[[#This Row],[Confirmed Sampling Date]], "mm") &amp; "_" &amp; TEXT(Table4[[#This Row],[Confirmed Sampling Date]], "dd")</f>
        <v>2025_10_06</v>
      </c>
      <c r="X281" s="20" t="str">
        <f t="shared" si="4"/>
        <v>Aachen</v>
      </c>
      <c r="Y281" s="20" t="str">
        <f>VLOOKUP(Table4[[#This Row],[FromSite-UPS]],Table1[[Company or Name]:[NOTES]],2,FALSE)</f>
        <v>Germany</v>
      </c>
      <c r="Z281" s="20">
        <f>IFERROR(WEEKNUM(Table4[[#This Row],[Confirmed Sampling Date]] - 10, 21), "TBD")</f>
        <v>39</v>
      </c>
      <c r="AA281" s="20" t="str">
        <f>_xlfn.XLOOKUP(Table4[[#This Row],[FromSite-UPS]],sites!D:D,sites!W:W,"",0)</f>
        <v>Krefelder Str. 299, Aachen, 52070, Germany</v>
      </c>
      <c r="AB281" s="20" t="str">
        <f>_xlfn.XLOOKUP(Table4[[#This Row],[ToLab]],labs!D:D,labs!P:P,"no adres",0)</f>
        <v>Av. Rovisco Pais 1, Laboratorio de Analises de Agua, Lisbon, 1049-001, Portugal</v>
      </c>
      <c r="AC281" s="20">
        <f>_xlfn.XLOOKUP(Table4[[#This Row],[combi]],AREA!E:E,AREA!F:F,"",0)</f>
        <v>89</v>
      </c>
      <c r="AD281" s="20" t="str">
        <f>_xlfn.XLOOKUP(Table4[[#This Row],[combi]],AREA!E:E,AREA!G:G,"",0)</f>
        <v>Pick-up service of hypothetic package as defined in the Tech. Specs. and delivery to lots
2 and 3 contractors according to Scenario 1</v>
      </c>
      <c r="AE281" s="20" t="s">
        <v>125</v>
      </c>
      <c r="AF281" s="20" t="str">
        <f>_xlfn.XLOOKUP(Table4[[#This Row],[FromSite-UPS]],sites!D:D,sites!AB:AB,"",0)&amp;_xlfn.XLOOKUP(Table4[[#This Row],[ToLab]],labs!D:D,labs!Q:Q,"",0)</f>
        <v>EUEU</v>
      </c>
    </row>
    <row r="282" spans="2:32" ht="15.6" customHeight="1" x14ac:dyDescent="0.25">
      <c r="B282" s="13">
        <v>533</v>
      </c>
      <c r="C282" s="14" t="s">
        <v>53</v>
      </c>
      <c r="D282" s="13">
        <v>1</v>
      </c>
      <c r="E282" s="83">
        <v>45950</v>
      </c>
      <c r="F282" s="83">
        <v>45952</v>
      </c>
      <c r="G282" s="13">
        <f>IFERROR(WEEKNUM(Table4[[#This Row],[Confirmed Pick-up Date]]),"TBD")</f>
        <v>43</v>
      </c>
      <c r="H282" s="13" t="str">
        <f>IFERROR(TEXT(Table4[[#This Row],[Confirmed Pick-up Date]],"yy-mm"),"TBD")</f>
        <v>25-10</v>
      </c>
      <c r="I282" s="78" t="s">
        <v>1187</v>
      </c>
      <c r="J282" s="20" t="str">
        <f>IFERROR(VLOOKUP(Table4[[#This Row],[FromSite-UPS]],Table1[[#All],[Company or Name]:[FromSite3]],15,FALSE),"")</f>
        <v>Aachen WWTP</v>
      </c>
      <c r="K282" s="20" t="str">
        <f>IFERROR(VLOOKUP(Table4[[#This Row],[FromSite-UPS]],Table1[[#All],[Company or Name]:[FromSite3]],16,FALSE),"")</f>
        <v>Aachen Hospital</v>
      </c>
      <c r="L282" s="20">
        <f>IFERROR(VLOOKUP(Table4[[#This Row],[FromSite-UPS]],Table1[[#All],[Company or Name]:[FromSite3]],14,FALSE),"")</f>
        <v>0.66666666666666663</v>
      </c>
      <c r="M282" s="13" t="s">
        <v>1011</v>
      </c>
      <c r="N282" s="20" t="s">
        <v>134</v>
      </c>
      <c r="O282" s="20" t="s">
        <v>1776</v>
      </c>
      <c r="P282" s="20"/>
      <c r="Q282" s="20"/>
      <c r="R282" s="20"/>
      <c r="S282" s="20" t="s">
        <v>125</v>
      </c>
      <c r="T282" s="20" t="s">
        <v>856</v>
      </c>
      <c r="U282" s="20"/>
      <c r="V282" s="20"/>
      <c r="W282" s="20" t="str">
        <f>TEXT(Table4[[#This Row],[Confirmed Sampling Date]], "yyyy") &amp; "_" &amp; TEXT(Table4[[#This Row],[Confirmed Sampling Date]], "mm") &amp; "_" &amp; TEXT(Table4[[#This Row],[Confirmed Sampling Date]], "dd")</f>
        <v>2025_10_20</v>
      </c>
      <c r="X282" s="20" t="str">
        <f t="shared" si="4"/>
        <v>Aachen</v>
      </c>
      <c r="Y282" s="20" t="str">
        <f>VLOOKUP(Table4[[#This Row],[FromSite-UPS]],Table1[[Company or Name]:[NOTES]],2,FALSE)</f>
        <v>Germany</v>
      </c>
      <c r="Z282" s="20">
        <f>IFERROR(WEEKNUM(Table4[[#This Row],[Confirmed Sampling Date]] - 10, 21), "TBD")</f>
        <v>41</v>
      </c>
      <c r="AA282" s="20" t="str">
        <f>_xlfn.XLOOKUP(Table4[[#This Row],[FromSite-UPS]],sites!D:D,sites!W:W,"",0)</f>
        <v>Krefelder Str. 299, Aachen, 52070, Germany</v>
      </c>
      <c r="AB282" s="20" t="str">
        <f>_xlfn.XLOOKUP(Table4[[#This Row],[ToLab]],labs!D:D,labs!P:P,"no adres",0)</f>
        <v>Av. Rovisco Pais 1, Laboratorio de Analises de Agua, Lisbon, 1049-001, Portugal</v>
      </c>
      <c r="AC282" s="20">
        <f>_xlfn.XLOOKUP(Table4[[#This Row],[combi]],AREA!E:E,AREA!F:F,"",0)</f>
        <v>89</v>
      </c>
      <c r="AD282" s="20" t="str">
        <f>_xlfn.XLOOKUP(Table4[[#This Row],[combi]],AREA!E:E,AREA!G:G,"",0)</f>
        <v>Pick-up service of hypothetic package as defined in the Tech. Specs. and delivery to lots
2 and 3 contractors according to Scenario 1</v>
      </c>
      <c r="AE282" s="20" t="s">
        <v>125</v>
      </c>
      <c r="AF282" s="20" t="str">
        <f>_xlfn.XLOOKUP(Table4[[#This Row],[FromSite-UPS]],sites!D:D,sites!AB:AB,"",0)&amp;_xlfn.XLOOKUP(Table4[[#This Row],[ToLab]],labs!D:D,labs!Q:Q,"",0)</f>
        <v>EUEU</v>
      </c>
    </row>
    <row r="283" spans="2:32" ht="15.6" customHeight="1" x14ac:dyDescent="0.25">
      <c r="B283" s="13">
        <v>598</v>
      </c>
      <c r="C283" s="14" t="s">
        <v>53</v>
      </c>
      <c r="D283" s="13">
        <v>1</v>
      </c>
      <c r="E283" s="83">
        <v>45950</v>
      </c>
      <c r="F283" s="83">
        <v>45952</v>
      </c>
      <c r="G283" s="13">
        <f>IFERROR(WEEKNUM(Table4[[#This Row],[Confirmed Pick-up Date]]),"TBD")</f>
        <v>43</v>
      </c>
      <c r="H283" s="13" t="str">
        <f>IFERROR(TEXT(Table4[[#This Row],[Confirmed Pick-up Date]],"yy-mm"),"TBD")</f>
        <v>25-10</v>
      </c>
      <c r="I283" s="78" t="s">
        <v>1187</v>
      </c>
      <c r="J283" s="20" t="str">
        <f>IFERROR(VLOOKUP(Table4[[#This Row],[FromSite-UPS]],Table1[[#All],[Company or Name]:[FromSite3]],15,FALSE),"")</f>
        <v>Aachen WWTP</v>
      </c>
      <c r="K283" s="20" t="str">
        <f>IFERROR(VLOOKUP(Table4[[#This Row],[FromSite-UPS]],Table1[[#All],[Company or Name]:[FromSite3]],16,FALSE),"")</f>
        <v>Aachen Hospital</v>
      </c>
      <c r="L283" s="20">
        <f>IFERROR(VLOOKUP(Table4[[#This Row],[FromSite-UPS]],Table1[[#All],[Company or Name]:[FromSite3]],14,FALSE),"")</f>
        <v>0.66666666666666663</v>
      </c>
      <c r="M283" s="13" t="s">
        <v>1011</v>
      </c>
      <c r="N283" s="20" t="s">
        <v>134</v>
      </c>
      <c r="O283" s="20" t="s">
        <v>1777</v>
      </c>
      <c r="P283" s="20"/>
      <c r="Q283" s="20"/>
      <c r="R283" s="20"/>
      <c r="S283" s="20" t="s">
        <v>125</v>
      </c>
      <c r="T283" s="20" t="s">
        <v>856</v>
      </c>
      <c r="U283" s="20"/>
      <c r="V283" s="20"/>
      <c r="W283" s="20" t="str">
        <f>TEXT(Table4[[#This Row],[Confirmed Sampling Date]], "yyyy") &amp; "_" &amp; TEXT(Table4[[#This Row],[Confirmed Sampling Date]], "mm") &amp; "_" &amp; TEXT(Table4[[#This Row],[Confirmed Sampling Date]], "dd")</f>
        <v>2025_10_20</v>
      </c>
      <c r="X283" s="20" t="str">
        <f t="shared" si="4"/>
        <v>Aachen</v>
      </c>
      <c r="Y283" s="20" t="str">
        <f>VLOOKUP(Table4[[#This Row],[FromSite-UPS]],Table1[[Company or Name]:[NOTES]],2,FALSE)</f>
        <v>Germany</v>
      </c>
      <c r="Z283" s="20">
        <f>IFERROR(WEEKNUM(Table4[[#This Row],[Confirmed Sampling Date]] - 10, 21), "TBD")</f>
        <v>41</v>
      </c>
      <c r="AA283" s="20" t="str">
        <f>_xlfn.XLOOKUP(Table4[[#This Row],[FromSite-UPS]],sites!D:D,sites!W:W,"",0)</f>
        <v>Krefelder Str. 299, Aachen, 52070, Germany</v>
      </c>
      <c r="AB283" s="20" t="str">
        <f>_xlfn.XLOOKUP(Table4[[#This Row],[ToLab]],labs!D:D,labs!P:P,"no adres",0)</f>
        <v>Av. Rovisco Pais 1, Laboratorio de Analises de Agua, Lisbon, 1049-001, Portugal</v>
      </c>
      <c r="AC283" s="20">
        <f>_xlfn.XLOOKUP(Table4[[#This Row],[combi]],AREA!E:E,AREA!F:F,"",0)</f>
        <v>89</v>
      </c>
      <c r="AD283" s="20" t="str">
        <f>_xlfn.XLOOKUP(Table4[[#This Row],[combi]],AREA!E:E,AREA!G:G,"",0)</f>
        <v>Pick-up service of hypothetic package as defined in the Tech. Specs. and delivery to lots
2 and 3 contractors according to Scenario 1</v>
      </c>
      <c r="AE283" s="20" t="s">
        <v>125</v>
      </c>
      <c r="AF283" s="20" t="str">
        <f>_xlfn.XLOOKUP(Table4[[#This Row],[FromSite-UPS]],sites!D:D,sites!AB:AB,"",0)&amp;_xlfn.XLOOKUP(Table4[[#This Row],[ToLab]],labs!D:D,labs!Q:Q,"",0)</f>
        <v>EUEU</v>
      </c>
    </row>
    <row r="284" spans="2:32" ht="15.6" hidden="1" customHeight="1" x14ac:dyDescent="0.25">
      <c r="B284" s="13">
        <v>606</v>
      </c>
      <c r="C284" s="14" t="s">
        <v>53</v>
      </c>
      <c r="D284" s="13">
        <v>1</v>
      </c>
      <c r="E284" s="83">
        <v>45938</v>
      </c>
      <c r="F284" s="83">
        <v>45939</v>
      </c>
      <c r="G284" s="20">
        <f>IFERROR(WEEKNUM(Table4[[#This Row],[Confirmed Pick-up Date]]),"TBD")</f>
        <v>41</v>
      </c>
      <c r="H284" s="20" t="str">
        <f>IFERROR(TEXT(Table4[[#This Row],[Confirmed Pick-up Date]],"yy-mm"),"TBD")</f>
        <v>25-10</v>
      </c>
      <c r="I284" s="13" t="s">
        <v>1590</v>
      </c>
      <c r="J284" s="20" t="str">
        <f>IFERROR(VLOOKUP(Table4[[#This Row],[FromSite-UPS]],Table1[[#All],[Company or Name]:[FromSite3]],15,FALSE),"")</f>
        <v>Àthens WWTP</v>
      </c>
      <c r="K284" s="20" t="str">
        <f>IFERROR(VLOOKUP(Table4[[#This Row],[FromSite-UPS]],Table1[[#All],[Company or Name]:[FromSite3]],16,FALSE),"")</f>
        <v>Athens Airport</v>
      </c>
      <c r="L284" s="20">
        <f>IFERROR(VLOOKUP(Table4[[#This Row],[FromSite-UPS]],Table1[[#All],[Company or Name]:[FromSite3]],14,FALSE),"")</f>
        <v>0.66666666666666663</v>
      </c>
      <c r="M284" s="13" t="s">
        <v>1011</v>
      </c>
      <c r="N284" s="20" t="s">
        <v>813</v>
      </c>
      <c r="O284" s="20" t="s">
        <v>1699</v>
      </c>
      <c r="P284" s="20" t="s">
        <v>134</v>
      </c>
      <c r="Q284" s="37" t="s">
        <v>1861</v>
      </c>
      <c r="R284" s="20" t="s">
        <v>1733</v>
      </c>
      <c r="S284" s="20" t="s">
        <v>125</v>
      </c>
      <c r="T284" s="20" t="s">
        <v>856</v>
      </c>
      <c r="U284" s="20"/>
      <c r="V284" s="20"/>
      <c r="W284" s="20" t="str">
        <f>TEXT(Table4[[#This Row],[Confirmed Sampling Date]], "yyyy") &amp; "_" &amp; TEXT(Table4[[#This Row],[Confirmed Sampling Date]], "mm") &amp; "_" &amp; TEXT(Table4[[#This Row],[Confirmed Sampling Date]], "dd")</f>
        <v>2025_10_08</v>
      </c>
      <c r="X284" s="20" t="str">
        <f t="shared" si="4"/>
        <v>Àthens</v>
      </c>
      <c r="Y284" s="20" t="str">
        <f>VLOOKUP(Table4[[#This Row],[FromSite-UPS]],Table1[[Company or Name]:[NOTES]],2,FALSE)</f>
        <v>Greece</v>
      </c>
      <c r="Z284" s="20">
        <f>IFERROR(WEEKNUM(Table4[[#This Row],[Confirmed Sampling Date]] - 10, 21), "TBD")</f>
        <v>39</v>
      </c>
      <c r="AA284" s="20" t="str">
        <f>_xlfn.XLOOKUP(Table4[[#This Row],[FromSite-UPS]],sites!D:D,sites!W:W,"",0)</f>
        <v>Zografou, 4ος όροφος, εργαστήριο αριθμός 8, Athens,  157 71, Greece</v>
      </c>
      <c r="AB284" s="20" t="str">
        <f>_xlfn.XLOOKUP(Table4[[#This Row],[ToLab]],labs!D:D,labs!P:P,"no adres",0)</f>
        <v>Av. Rovisco Pais 1, Laboratorio de Analises de Agua, Lisbon, 1049-001, Portugal</v>
      </c>
      <c r="AC284" s="20">
        <f>_xlfn.XLOOKUP(Table4[[#This Row],[combi]],AREA!E:E,AREA!F:F,"",0)</f>
        <v>89</v>
      </c>
      <c r="AD284" s="20" t="str">
        <f>_xlfn.XLOOKUP(Table4[[#This Row],[combi]],AREA!E:E,AREA!G:G,"",0)</f>
        <v>Pick-up service of hypothetic package as defined in the Tech. Specs. and delivery to lots
2 and 3 contractors according to Scenario 1</v>
      </c>
      <c r="AE284" s="20" t="s">
        <v>126</v>
      </c>
      <c r="AF284" s="20" t="str">
        <f>_xlfn.XLOOKUP(Table4[[#This Row],[FromSite-UPS]],sites!D:D,sites!AB:AB,"",0)&amp;_xlfn.XLOOKUP(Table4[[#This Row],[ToLab]],labs!D:D,labs!Q:Q,"",0)</f>
        <v>EUEU</v>
      </c>
    </row>
    <row r="285" spans="2:32" ht="15.6" hidden="1" customHeight="1" x14ac:dyDescent="0.25">
      <c r="B285" s="13">
        <v>613</v>
      </c>
      <c r="C285" s="14" t="s">
        <v>53</v>
      </c>
      <c r="D285" s="13">
        <v>1</v>
      </c>
      <c r="E285" s="83">
        <v>45939</v>
      </c>
      <c r="F285" s="83">
        <v>45940</v>
      </c>
      <c r="G285" s="20">
        <f>IFERROR(WEEKNUM(Table4[[#This Row],[Confirmed Pick-up Date]]),"TBD")</f>
        <v>41</v>
      </c>
      <c r="H285" s="20" t="str">
        <f>IFERROR(TEXT(Table4[[#This Row],[Confirmed Pick-up Date]],"yy-mm"),"TBD")</f>
        <v>25-10</v>
      </c>
      <c r="I285" s="13" t="s">
        <v>1590</v>
      </c>
      <c r="J285" s="20" t="str">
        <f>IFERROR(VLOOKUP(Table4[[#This Row],[FromSite-UPS]],Table1[[#All],[Company or Name]:[FromSite3]],15,FALSE),"")</f>
        <v>Àthens WWTP</v>
      </c>
      <c r="K285" s="20" t="str">
        <f>IFERROR(VLOOKUP(Table4[[#This Row],[FromSite-UPS]],Table1[[#All],[Company or Name]:[FromSite3]],16,FALSE),"")</f>
        <v>Athens Airport</v>
      </c>
      <c r="L285" s="20">
        <f>IFERROR(VLOOKUP(Table4[[#This Row],[FromSite-UPS]],Table1[[#All],[Company or Name]:[FromSite3]],14,FALSE),"")</f>
        <v>0.66666666666666663</v>
      </c>
      <c r="M285" s="13" t="s">
        <v>1011</v>
      </c>
      <c r="N285" s="20" t="s">
        <v>813</v>
      </c>
      <c r="O285" s="20" t="s">
        <v>1700</v>
      </c>
      <c r="P285" s="20" t="s">
        <v>134</v>
      </c>
      <c r="Q285" s="37" t="s">
        <v>1862</v>
      </c>
      <c r="R285" s="20" t="s">
        <v>1734</v>
      </c>
      <c r="S285" s="20" t="s">
        <v>125</v>
      </c>
      <c r="T285" s="20" t="s">
        <v>856</v>
      </c>
      <c r="U285" s="20"/>
      <c r="V285" s="20"/>
      <c r="W285" s="20" t="str">
        <f>TEXT(Table4[[#This Row],[Confirmed Sampling Date]], "yyyy") &amp; "_" &amp; TEXT(Table4[[#This Row],[Confirmed Sampling Date]], "mm") &amp; "_" &amp; TEXT(Table4[[#This Row],[Confirmed Sampling Date]], "dd")</f>
        <v>2025_10_09</v>
      </c>
      <c r="X285" s="20" t="str">
        <f t="shared" si="4"/>
        <v>Àthens</v>
      </c>
      <c r="Y285" s="20" t="str">
        <f>VLOOKUP(Table4[[#This Row],[FromSite-UPS]],Table1[[Company or Name]:[NOTES]],2,FALSE)</f>
        <v>Greece</v>
      </c>
      <c r="Z285" s="20">
        <f>IFERROR(WEEKNUM(Table4[[#This Row],[Confirmed Sampling Date]] - 10, 21), "TBD")</f>
        <v>40</v>
      </c>
      <c r="AA285" s="20" t="str">
        <f>_xlfn.XLOOKUP(Table4[[#This Row],[FromSite-UPS]],sites!D:D,sites!W:W,"",0)</f>
        <v>Zografou, 4ος όροφος, εργαστήριο αριθμός 8, Athens,  157 71, Greece</v>
      </c>
      <c r="AB285" s="20" t="str">
        <f>_xlfn.XLOOKUP(Table4[[#This Row],[ToLab]],labs!D:D,labs!P:P,"no adres",0)</f>
        <v>Av. Rovisco Pais 1, Laboratorio de Analises de Agua, Lisbon, 1049-001, Portugal</v>
      </c>
      <c r="AC285" s="20">
        <f>_xlfn.XLOOKUP(Table4[[#This Row],[combi]],AREA!E:E,AREA!F:F,"",0)</f>
        <v>89</v>
      </c>
      <c r="AD285" s="20" t="str">
        <f>_xlfn.XLOOKUP(Table4[[#This Row],[combi]],AREA!E:E,AREA!G:G,"",0)</f>
        <v>Pick-up service of hypothetic package as defined in the Tech. Specs. and delivery to lots
2 and 3 contractors according to Scenario 1</v>
      </c>
      <c r="AE285" s="20" t="s">
        <v>126</v>
      </c>
      <c r="AF285" s="20" t="str">
        <f>_xlfn.XLOOKUP(Table4[[#This Row],[FromSite-UPS]],sites!D:D,sites!AB:AB,"",0)&amp;_xlfn.XLOOKUP(Table4[[#This Row],[ToLab]],labs!D:D,labs!Q:Q,"",0)</f>
        <v>EUEU</v>
      </c>
    </row>
    <row r="286" spans="2:32" ht="15.6" customHeight="1" x14ac:dyDescent="0.25">
      <c r="B286" s="13">
        <v>607</v>
      </c>
      <c r="C286" s="14" t="s">
        <v>53</v>
      </c>
      <c r="D286" s="13">
        <v>1</v>
      </c>
      <c r="E286" s="83">
        <v>45952</v>
      </c>
      <c r="F286" s="83">
        <v>45953</v>
      </c>
      <c r="G286" s="13">
        <f>IFERROR(WEEKNUM(Table4[[#This Row],[Confirmed Pick-up Date]]),"TBD")</f>
        <v>43</v>
      </c>
      <c r="H286" s="13" t="str">
        <f>IFERROR(TEXT(Table4[[#This Row],[Confirmed Pick-up Date]],"yy-mm"),"TBD")</f>
        <v>25-10</v>
      </c>
      <c r="I286" s="13" t="s">
        <v>1590</v>
      </c>
      <c r="J286" s="20" t="str">
        <f>IFERROR(VLOOKUP(Table4[[#This Row],[FromSite-UPS]],Table1[[#All],[Company or Name]:[FromSite3]],15,FALSE),"")</f>
        <v>Àthens WWTP</v>
      </c>
      <c r="K286" s="20" t="str">
        <f>IFERROR(VLOOKUP(Table4[[#This Row],[FromSite-UPS]],Table1[[#All],[Company or Name]:[FromSite3]],16,FALSE),"")</f>
        <v>Athens Airport</v>
      </c>
      <c r="L286" s="20">
        <f>IFERROR(VLOOKUP(Table4[[#This Row],[FromSite-UPS]],Table1[[#All],[Company or Name]:[FromSite3]],14,FALSE),"")</f>
        <v>0.66666666666666663</v>
      </c>
      <c r="M286" s="13" t="s">
        <v>1011</v>
      </c>
      <c r="N286" s="20" t="s">
        <v>134</v>
      </c>
      <c r="O286" s="13" t="s">
        <v>1750</v>
      </c>
      <c r="P286" s="20"/>
      <c r="Q286" s="20"/>
      <c r="R286" s="20"/>
      <c r="S286" s="20" t="s">
        <v>125</v>
      </c>
      <c r="T286" s="20" t="s">
        <v>856</v>
      </c>
      <c r="U286" s="20"/>
      <c r="V286" s="20"/>
      <c r="W286" s="20" t="str">
        <f>TEXT(Table4[[#This Row],[Confirmed Sampling Date]], "yyyy") &amp; "_" &amp; TEXT(Table4[[#This Row],[Confirmed Sampling Date]], "mm") &amp; "_" &amp; TEXT(Table4[[#This Row],[Confirmed Sampling Date]], "dd")</f>
        <v>2025_10_22</v>
      </c>
      <c r="X286" s="20" t="str">
        <f t="shared" si="4"/>
        <v>Àthens</v>
      </c>
      <c r="Y286" s="20" t="str">
        <f>VLOOKUP(Table4[[#This Row],[FromSite-UPS]],Table1[[Company or Name]:[NOTES]],2,FALSE)</f>
        <v>Greece</v>
      </c>
      <c r="Z286" s="20">
        <f>IFERROR(WEEKNUM(Table4[[#This Row],[Confirmed Sampling Date]] - 10, 21), "TBD")</f>
        <v>41</v>
      </c>
      <c r="AA286" s="20" t="str">
        <f>_xlfn.XLOOKUP(Table4[[#This Row],[FromSite-UPS]],sites!D:D,sites!W:W,"",0)</f>
        <v>Zografou, 4ος όροφος, εργαστήριο αριθμός 8, Athens,  157 71, Greece</v>
      </c>
      <c r="AB286" s="20" t="str">
        <f>_xlfn.XLOOKUP(Table4[[#This Row],[ToLab]],labs!D:D,labs!P:P,"no adres",0)</f>
        <v>Av. Rovisco Pais 1, Laboratorio de Analises de Agua, Lisbon, 1049-001, Portugal</v>
      </c>
      <c r="AC286" s="20">
        <f>_xlfn.XLOOKUP(Table4[[#This Row],[combi]],AREA!E:E,AREA!F:F,"",0)</f>
        <v>89</v>
      </c>
      <c r="AD286" s="20" t="str">
        <f>_xlfn.XLOOKUP(Table4[[#This Row],[combi]],AREA!E:E,AREA!G:G,"",0)</f>
        <v>Pick-up service of hypothetic package as defined in the Tech. Specs. and delivery to lots
2 and 3 contractors according to Scenario 1</v>
      </c>
      <c r="AE286" s="20" t="s">
        <v>125</v>
      </c>
      <c r="AF286" s="20" t="str">
        <f>_xlfn.XLOOKUP(Table4[[#This Row],[FromSite-UPS]],sites!D:D,sites!AB:AB,"",0)&amp;_xlfn.XLOOKUP(Table4[[#This Row],[ToLab]],labs!D:D,labs!Q:Q,"",0)</f>
        <v>EUEU</v>
      </c>
    </row>
    <row r="287" spans="2:32" ht="15.6" customHeight="1" x14ac:dyDescent="0.25">
      <c r="B287" s="13">
        <v>614</v>
      </c>
      <c r="C287" s="14" t="s">
        <v>53</v>
      </c>
      <c r="D287" s="13">
        <v>1</v>
      </c>
      <c r="E287" s="83">
        <v>45953</v>
      </c>
      <c r="F287" s="83">
        <v>45954</v>
      </c>
      <c r="G287" s="13">
        <f>IFERROR(WEEKNUM(Table4[[#This Row],[Confirmed Pick-up Date]]),"TBD")</f>
        <v>43</v>
      </c>
      <c r="H287" s="13" t="str">
        <f>IFERROR(TEXT(Table4[[#This Row],[Confirmed Pick-up Date]],"yy-mm"),"TBD")</f>
        <v>25-10</v>
      </c>
      <c r="I287" s="13" t="s">
        <v>1590</v>
      </c>
      <c r="J287" s="20" t="str">
        <f>IFERROR(VLOOKUP(Table4[[#This Row],[FromSite-UPS]],Table1[[#All],[Company or Name]:[FromSite3]],15,FALSE),"")</f>
        <v>Àthens WWTP</v>
      </c>
      <c r="K287" s="20" t="str">
        <f>IFERROR(VLOOKUP(Table4[[#This Row],[FromSite-UPS]],Table1[[#All],[Company or Name]:[FromSite3]],16,FALSE),"")</f>
        <v>Athens Airport</v>
      </c>
      <c r="L287" s="20">
        <f>IFERROR(VLOOKUP(Table4[[#This Row],[FromSite-UPS]],Table1[[#All],[Company or Name]:[FromSite3]],14,FALSE),"")</f>
        <v>0.66666666666666663</v>
      </c>
      <c r="M287" s="13" t="s">
        <v>1011</v>
      </c>
      <c r="N287" s="20" t="s">
        <v>134</v>
      </c>
      <c r="O287" s="13" t="s">
        <v>1751</v>
      </c>
      <c r="P287" s="20"/>
      <c r="Q287" s="20"/>
      <c r="R287" s="20"/>
      <c r="S287" s="20" t="s">
        <v>125</v>
      </c>
      <c r="T287" s="20" t="s">
        <v>856</v>
      </c>
      <c r="U287" s="20"/>
      <c r="V287" s="20"/>
      <c r="W287" s="20" t="str">
        <f>TEXT(Table4[[#This Row],[Confirmed Sampling Date]], "yyyy") &amp; "_" &amp; TEXT(Table4[[#This Row],[Confirmed Sampling Date]], "mm") &amp; "_" &amp; TEXT(Table4[[#This Row],[Confirmed Sampling Date]], "dd")</f>
        <v>2025_10_23</v>
      </c>
      <c r="X287" s="20" t="str">
        <f t="shared" si="4"/>
        <v>Àthens</v>
      </c>
      <c r="Y287" s="20" t="str">
        <f>VLOOKUP(Table4[[#This Row],[FromSite-UPS]],Table1[[Company or Name]:[NOTES]],2,FALSE)</f>
        <v>Greece</v>
      </c>
      <c r="Z287" s="20">
        <f>IFERROR(WEEKNUM(Table4[[#This Row],[Confirmed Sampling Date]] - 10, 21), "TBD")</f>
        <v>42</v>
      </c>
      <c r="AA287" s="20" t="str">
        <f>_xlfn.XLOOKUP(Table4[[#This Row],[FromSite-UPS]],sites!D:D,sites!W:W,"",0)</f>
        <v>Zografou, 4ος όροφος, εργαστήριο αριθμός 8, Athens,  157 71, Greece</v>
      </c>
      <c r="AB287" s="20" t="str">
        <f>_xlfn.XLOOKUP(Table4[[#This Row],[ToLab]],labs!D:D,labs!P:P,"no adres",0)</f>
        <v>Av. Rovisco Pais 1, Laboratorio de Analises de Agua, Lisbon, 1049-001, Portugal</v>
      </c>
      <c r="AC287" s="20">
        <f>_xlfn.XLOOKUP(Table4[[#This Row],[combi]],AREA!E:E,AREA!F:F,"",0)</f>
        <v>89</v>
      </c>
      <c r="AD287" s="20" t="str">
        <f>_xlfn.XLOOKUP(Table4[[#This Row],[combi]],AREA!E:E,AREA!G:G,"",0)</f>
        <v>Pick-up service of hypothetic package as defined in the Tech. Specs. and delivery to lots
2 and 3 contractors according to Scenario 1</v>
      </c>
      <c r="AE287" s="20" t="s">
        <v>125</v>
      </c>
      <c r="AF287" s="20" t="str">
        <f>_xlfn.XLOOKUP(Table4[[#This Row],[FromSite-UPS]],sites!D:D,sites!AB:AB,"",0)&amp;_xlfn.XLOOKUP(Table4[[#This Row],[ToLab]],labs!D:D,labs!Q:Q,"",0)</f>
        <v>EUEU</v>
      </c>
    </row>
    <row r="288" spans="2:32" ht="15.6" hidden="1" customHeight="1" x14ac:dyDescent="0.25">
      <c r="B288" s="13">
        <v>15</v>
      </c>
      <c r="C288" s="14" t="s">
        <v>53</v>
      </c>
      <c r="D288" s="13">
        <v>1</v>
      </c>
      <c r="E288" s="22">
        <v>45935</v>
      </c>
      <c r="F288" s="22">
        <v>45936</v>
      </c>
      <c r="G288" s="13">
        <f>IFERROR(WEEKNUM(Table4[[#This Row],[Confirmed Pick-up Date]]),"TBD")</f>
        <v>41</v>
      </c>
      <c r="H288" s="13" t="str">
        <f>IFERROR(TEXT(Table4[[#This Row],[Confirmed Pick-up Date]],"yy-mm"),"TBD")</f>
        <v>25-10</v>
      </c>
      <c r="I288" s="64" t="s">
        <v>13</v>
      </c>
      <c r="J288" s="13" t="str">
        <f>IFERROR(VLOOKUP(Table4[[#This Row],[FromSite-UPS]],Table1[[#All],[Company or Name]:[FromSite3]],15,FALSE),"")</f>
        <v>Berlin (Schoenefeld) WWTP</v>
      </c>
      <c r="K288" s="13" t="str">
        <f>IFERROR(VLOOKUP(Table4[[#This Row],[FromSite-UPS]],Table1[[#All],[Company or Name]:[FromSite3]],16,FALSE),"")</f>
        <v>Berlin Airport</v>
      </c>
      <c r="L288" s="13">
        <f>IFERROR(VLOOKUP(Table4[[#This Row],[FromSite-UPS]],Table1[[#All],[Company or Name]:[FromSite3]],14,FALSE),"")</f>
        <v>0.58333333333333337</v>
      </c>
      <c r="M288" s="13" t="s">
        <v>1011</v>
      </c>
      <c r="N288" s="20" t="s">
        <v>813</v>
      </c>
      <c r="O288" s="13" t="s">
        <v>1670</v>
      </c>
      <c r="P288" s="20" t="s">
        <v>892</v>
      </c>
      <c r="Q288" s="20" t="s">
        <v>1835</v>
      </c>
      <c r="R288" s="20" t="s">
        <v>1714</v>
      </c>
      <c r="S288" s="20" t="s">
        <v>125</v>
      </c>
      <c r="T288" s="20" t="s">
        <v>856</v>
      </c>
      <c r="U288" s="20"/>
      <c r="V288" s="20"/>
      <c r="W288" s="20" t="str">
        <f>TEXT(Table4[[#This Row],[Confirmed Sampling Date]], "yyyy") &amp; "_" &amp; TEXT(Table4[[#This Row],[Confirmed Sampling Date]], "mm") &amp; "_" &amp; TEXT(Table4[[#This Row],[Confirmed Sampling Date]], "dd")</f>
        <v>2025_10_05</v>
      </c>
      <c r="X288" s="20" t="str">
        <f t="shared" si="4"/>
        <v>Berlin</v>
      </c>
      <c r="Y288" s="20" t="str">
        <f>VLOOKUP(Table4[[#This Row],[FromSite-UPS]],Table1[[Company or Name]:[NOTES]],2,FALSE)</f>
        <v>Germany</v>
      </c>
      <c r="Z288" s="20">
        <f>IFERROR(WEEKNUM(Table4[[#This Row],[Confirmed Sampling Date]] - 10, 21), "TBD")</f>
        <v>39</v>
      </c>
      <c r="AA288" s="20" t="str">
        <f>_xlfn.XLOOKUP(Table4[[#This Row],[FromSite-UPS]],sites!D:D,sites!W:W,"",0)</f>
        <v>Strasse am Klarwerk 4, Klarwerk Wassmannsdorf, Schoenefeld, 12529, Germany</v>
      </c>
      <c r="AB288" s="20" t="str">
        <f>_xlfn.XLOOKUP(Table4[[#This Row],[ToLab]],labs!D:D,labs!P:P,"no adres",0)</f>
        <v>Av. Rovisco Pais 1, Laboratorio de Analises de Agua, Lisbon, 1049-001, Portugal</v>
      </c>
      <c r="AC288" s="20">
        <f>_xlfn.XLOOKUP(Table4[[#This Row],[combi]],AREA!E:E,AREA!F:F,"",0)</f>
        <v>89</v>
      </c>
      <c r="AD288" s="20" t="str">
        <f>_xlfn.XLOOKUP(Table4[[#This Row],[combi]],AREA!E:E,AREA!G:G,"",0)</f>
        <v>Pick-up service of hypothetic package as defined in the Tech. Specs. and delivery to lots
2 and 3 contractors according to Scenario 1</v>
      </c>
      <c r="AE288" s="20" t="s">
        <v>125</v>
      </c>
      <c r="AF288" s="20" t="str">
        <f>_xlfn.XLOOKUP(Table4[[#This Row],[FromSite-UPS]],sites!D:D,sites!AB:AB,"",0)&amp;_xlfn.XLOOKUP(Table4[[#This Row],[ToLab]],labs!D:D,labs!Q:Q,"",0)</f>
        <v>EUEU</v>
      </c>
    </row>
    <row r="289" spans="2:32" ht="15.6" hidden="1" customHeight="1" x14ac:dyDescent="0.25">
      <c r="B289" s="13">
        <v>78</v>
      </c>
      <c r="C289" s="14" t="s">
        <v>53</v>
      </c>
      <c r="D289" s="13">
        <v>1</v>
      </c>
      <c r="E289" s="22">
        <v>45935</v>
      </c>
      <c r="F289" s="22">
        <v>45936</v>
      </c>
      <c r="G289" s="20">
        <f>IFERROR(WEEKNUM(Table4[[#This Row],[Confirmed Pick-up Date]]),"TBD")</f>
        <v>41</v>
      </c>
      <c r="H289" s="20" t="str">
        <f>IFERROR(TEXT(Table4[[#This Row],[Confirmed Pick-up Date]],"yy-mm"),"TBD")</f>
        <v>25-10</v>
      </c>
      <c r="I289" s="64" t="s">
        <v>13</v>
      </c>
      <c r="J289" s="20" t="str">
        <f>IFERROR(VLOOKUP(Table4[[#This Row],[FromSite-UPS]],Table1[[#All],[Company or Name]:[FromSite3]],15,FALSE),"")</f>
        <v>Berlin (Schoenefeld) WWTP</v>
      </c>
      <c r="K289" s="20" t="str">
        <f>IFERROR(VLOOKUP(Table4[[#This Row],[FromSite-UPS]],Table1[[#All],[Company or Name]:[FromSite3]],16,FALSE),"")</f>
        <v>Berlin Airport</v>
      </c>
      <c r="L289" s="20">
        <f>IFERROR(VLOOKUP(Table4[[#This Row],[FromSite-UPS]],Table1[[#All],[Company or Name]:[FromSite3]],14,FALSE),"")</f>
        <v>0.58333333333333337</v>
      </c>
      <c r="M289" s="13" t="s">
        <v>1011</v>
      </c>
      <c r="N289" s="20" t="s">
        <v>813</v>
      </c>
      <c r="O289" s="13" t="s">
        <v>1671</v>
      </c>
      <c r="P289" s="20" t="s">
        <v>892</v>
      </c>
      <c r="Q289" s="74" t="s">
        <v>1835</v>
      </c>
      <c r="R289" s="20" t="s">
        <v>1712</v>
      </c>
      <c r="S289" s="20" t="s">
        <v>125</v>
      </c>
      <c r="T289" s="20" t="s">
        <v>856</v>
      </c>
      <c r="U289" s="20"/>
      <c r="V289" s="20"/>
      <c r="W289" s="20" t="str">
        <f>TEXT(Table4[[#This Row],[Confirmed Sampling Date]], "yyyy") &amp; "_" &amp; TEXT(Table4[[#This Row],[Confirmed Sampling Date]], "mm") &amp; "_" &amp; TEXT(Table4[[#This Row],[Confirmed Sampling Date]], "dd")</f>
        <v>2025_10_05</v>
      </c>
      <c r="X289" s="20" t="str">
        <f t="shared" si="4"/>
        <v>Berlin</v>
      </c>
      <c r="Y289" s="20" t="str">
        <f>VLOOKUP(Table4[[#This Row],[FromSite-UPS]],Table1[[Company or Name]:[NOTES]],2,FALSE)</f>
        <v>Germany</v>
      </c>
      <c r="Z289" s="20">
        <f>IFERROR(WEEKNUM(Table4[[#This Row],[Confirmed Sampling Date]] - 10, 21), "TBD")</f>
        <v>39</v>
      </c>
      <c r="AA289" s="20" t="str">
        <f>_xlfn.XLOOKUP(Table4[[#This Row],[FromSite-UPS]],sites!D:D,sites!W:W,"",0)</f>
        <v>Strasse am Klarwerk 4, Klarwerk Wassmannsdorf, Schoenefeld, 12529, Germany</v>
      </c>
      <c r="AB289" s="20" t="str">
        <f>_xlfn.XLOOKUP(Table4[[#This Row],[ToLab]],labs!D:D,labs!P:P,"no adres",0)</f>
        <v>Av. Rovisco Pais 1, Laboratorio de Analises de Agua, Lisbon, 1049-001, Portugal</v>
      </c>
      <c r="AC289" s="20">
        <f>_xlfn.XLOOKUP(Table4[[#This Row],[combi]],AREA!E:E,AREA!F:F,"",0)</f>
        <v>89</v>
      </c>
      <c r="AD289" s="20" t="str">
        <f>_xlfn.XLOOKUP(Table4[[#This Row],[combi]],AREA!E:E,AREA!G:G,"",0)</f>
        <v>Pick-up service of hypothetic package as defined in the Tech. Specs. and delivery to lots
2 and 3 contractors according to Scenario 1</v>
      </c>
      <c r="AE289" s="20" t="s">
        <v>125</v>
      </c>
      <c r="AF289" s="20" t="str">
        <f>_xlfn.XLOOKUP(Table4[[#This Row],[FromSite-UPS]],sites!D:D,sites!AB:AB,"",0)&amp;_xlfn.XLOOKUP(Table4[[#This Row],[ToLab]],labs!D:D,labs!Q:Q,"",0)</f>
        <v>EUEU</v>
      </c>
    </row>
    <row r="290" spans="2:32" ht="15.6" hidden="1" customHeight="1" x14ac:dyDescent="0.25">
      <c r="B290" s="13">
        <v>549</v>
      </c>
      <c r="C290" s="14" t="s">
        <v>53</v>
      </c>
      <c r="D290" s="13">
        <v>1</v>
      </c>
      <c r="E290" s="83">
        <v>45935</v>
      </c>
      <c r="F290" s="83">
        <v>45936</v>
      </c>
      <c r="G290" s="20">
        <f>IFERROR(WEEKNUM(Table4[[#This Row],[Confirmed Pick-up Date]]),"TBD")</f>
        <v>41</v>
      </c>
      <c r="H290" s="20" t="str">
        <f>IFERROR(TEXT(Table4[[#This Row],[Confirmed Pick-up Date]],"yy-mm"),"TBD")</f>
        <v>25-10</v>
      </c>
      <c r="I290" s="13" t="s">
        <v>13</v>
      </c>
      <c r="J290" s="20" t="str">
        <f>IFERROR(VLOOKUP(Table4[[#This Row],[FromSite-UPS]],Table1[[#All],[Company or Name]:[FromSite3]],15,FALSE),"")</f>
        <v>Berlin (Schoenefeld) WWTP</v>
      </c>
      <c r="K290" s="20" t="str">
        <f>IFERROR(VLOOKUP(Table4[[#This Row],[FromSite-UPS]],Table1[[#All],[Company or Name]:[FromSite3]],16,FALSE),"")</f>
        <v>Berlin Airport</v>
      </c>
      <c r="L290" s="20">
        <f>IFERROR(VLOOKUP(Table4[[#This Row],[FromSite-UPS]],Table1[[#All],[Company or Name]:[FromSite3]],14,FALSE),"")</f>
        <v>0.58333333333333337</v>
      </c>
      <c r="M290" s="13" t="s">
        <v>1283</v>
      </c>
      <c r="N290" s="20" t="s">
        <v>813</v>
      </c>
      <c r="O290" s="20" t="s">
        <v>1672</v>
      </c>
      <c r="P290" s="20" t="s">
        <v>892</v>
      </c>
      <c r="Q290" s="74" t="s">
        <v>1835</v>
      </c>
      <c r="R290" s="20" t="s">
        <v>1712</v>
      </c>
      <c r="S290" s="20" t="s">
        <v>125</v>
      </c>
      <c r="T290" s="20" t="s">
        <v>856</v>
      </c>
      <c r="U290" s="20"/>
      <c r="V290" s="20"/>
      <c r="W290" s="20" t="str">
        <f>TEXT(Table4[[#This Row],[Confirmed Sampling Date]], "yyyy") &amp; "_" &amp; TEXT(Table4[[#This Row],[Confirmed Sampling Date]], "mm") &amp; "_" &amp; TEXT(Table4[[#This Row],[Confirmed Sampling Date]], "dd")</f>
        <v>2025_10_05</v>
      </c>
      <c r="X290" s="20" t="str">
        <f t="shared" si="4"/>
        <v>Berlin</v>
      </c>
      <c r="Y290" s="20" t="str">
        <f>VLOOKUP(Table4[[#This Row],[FromSite-UPS]],Table1[[Company or Name]:[NOTES]],2,FALSE)</f>
        <v>Germany</v>
      </c>
      <c r="Z290" s="20">
        <f>IFERROR(WEEKNUM(Table4[[#This Row],[Confirmed Sampling Date]] - 10, 21), "TBD")</f>
        <v>39</v>
      </c>
      <c r="AA290" s="20" t="str">
        <f>_xlfn.XLOOKUP(Table4[[#This Row],[FromSite-UPS]],sites!D:D,sites!W:W,"",0)</f>
        <v>Strasse am Klarwerk 4, Klarwerk Wassmannsdorf, Schoenefeld, 12529, Germany</v>
      </c>
      <c r="AB290" s="20" t="str">
        <f>_xlfn.XLOOKUP(Table4[[#This Row],[ToLab]],labs!D:D,labs!P:P,"no adres",0)</f>
        <v>C. del Dracma 16-18, Labaqua SAU - Sede Alicante, Alicante, 03114 , Spain</v>
      </c>
      <c r="AC290" s="20">
        <f>_xlfn.XLOOKUP(Table4[[#This Row],[combi]],AREA!E:E,AREA!F:F,"",0)</f>
        <v>89</v>
      </c>
      <c r="AD290" s="20" t="str">
        <f>_xlfn.XLOOKUP(Table4[[#This Row],[combi]],AREA!E:E,AREA!G:G,"",0)</f>
        <v>Pick-up service of hypothetic package as defined in the Tech. Specs. and delivery to lots
2 and 3 contractors according to Scenario 1</v>
      </c>
      <c r="AE290" s="20" t="s">
        <v>125</v>
      </c>
      <c r="AF290" s="20" t="str">
        <f>_xlfn.XLOOKUP(Table4[[#This Row],[FromSite-UPS]],sites!D:D,sites!AB:AB,"",0)&amp;_xlfn.XLOOKUP(Table4[[#This Row],[ToLab]],labs!D:D,labs!Q:Q,"",0)</f>
        <v>EUEU</v>
      </c>
    </row>
    <row r="291" spans="2:32" ht="15.6" hidden="1" customHeight="1" x14ac:dyDescent="0.25">
      <c r="B291" s="13">
        <v>557</v>
      </c>
      <c r="C291" s="14" t="s">
        <v>53</v>
      </c>
      <c r="D291" s="13">
        <v>1</v>
      </c>
      <c r="E291" s="83">
        <v>45935</v>
      </c>
      <c r="F291" s="83">
        <v>45936</v>
      </c>
      <c r="G291" s="20">
        <v>41</v>
      </c>
      <c r="H291" s="20" t="s">
        <v>1287</v>
      </c>
      <c r="I291" s="13" t="s">
        <v>13</v>
      </c>
      <c r="J291" s="20" t="s">
        <v>363</v>
      </c>
      <c r="K291" s="20" t="s">
        <v>58</v>
      </c>
      <c r="L291" s="13" t="s">
        <v>1283</v>
      </c>
      <c r="M291" s="13" t="s">
        <v>1283</v>
      </c>
      <c r="N291" s="20" t="s">
        <v>813</v>
      </c>
      <c r="O291" s="20" t="s">
        <v>1673</v>
      </c>
      <c r="P291" s="20" t="s">
        <v>892</v>
      </c>
      <c r="Q291" s="74" t="s">
        <v>1835</v>
      </c>
      <c r="R291" s="20" t="s">
        <v>1714</v>
      </c>
      <c r="S291" s="20" t="s">
        <v>125</v>
      </c>
      <c r="T291" s="20" t="s">
        <v>856</v>
      </c>
      <c r="U291" s="20"/>
      <c r="V291" s="20"/>
      <c r="W291" s="20" t="str">
        <f>TEXT(Table4[[#This Row],[Confirmed Sampling Date]], "yyyy") &amp; "_" &amp; TEXT(Table4[[#This Row],[Confirmed Sampling Date]], "mm") &amp; "_" &amp; TEXT(Table4[[#This Row],[Confirmed Sampling Date]], "dd")</f>
        <v>2025_10_05</v>
      </c>
      <c r="X291" s="20" t="str">
        <f t="shared" si="4"/>
        <v>Berlin</v>
      </c>
      <c r="Y291" s="20" t="str">
        <f>VLOOKUP(Table4[[#This Row],[FromSite-UPS]],Table1[[Company or Name]:[NOTES]],2,FALSE)</f>
        <v>Germany</v>
      </c>
      <c r="Z291" s="20">
        <f>IFERROR(WEEKNUM(Table4[[#This Row],[Confirmed Sampling Date]] - 10, 21), "TBD")</f>
        <v>39</v>
      </c>
      <c r="AA291" s="20" t="str">
        <f>_xlfn.XLOOKUP(Table4[[#This Row],[FromSite-UPS]],sites!D:D,sites!W:W,"",0)</f>
        <v>Strasse am Klarwerk 4, Klarwerk Wassmannsdorf, Schoenefeld, 12529, Germany</v>
      </c>
      <c r="AB291" s="20" t="str">
        <f>_xlfn.XLOOKUP(Table4[[#This Row],[ToLab]],labs!D:D,labs!P:P,"no adres",0)</f>
        <v>C. del Dracma 16-18, Labaqua SAU - Sede Alicante, Alicante, 03114 , Spain</v>
      </c>
      <c r="AC291" s="20">
        <f>_xlfn.XLOOKUP(Table4[[#This Row],[combi]],AREA!E:E,AREA!F:F,"",0)</f>
        <v>89</v>
      </c>
      <c r="AD291" s="20" t="str">
        <f>_xlfn.XLOOKUP(Table4[[#This Row],[combi]],AREA!E:E,AREA!G:G,"",0)</f>
        <v>Pick-up service of hypothetic package as defined in the Tech. Specs. and delivery to lots
2 and 3 contractors according to Scenario 1</v>
      </c>
      <c r="AE291" s="20" t="s">
        <v>125</v>
      </c>
      <c r="AF291" s="20" t="str">
        <f>_xlfn.XLOOKUP(Table4[[#This Row],[FromSite-UPS]],sites!D:D,sites!AB:AB,"",0)&amp;_xlfn.XLOOKUP(Table4[[#This Row],[ToLab]],labs!D:D,labs!Q:Q,"",0)</f>
        <v>EUEU</v>
      </c>
    </row>
    <row r="292" spans="2:32" ht="15.6" customHeight="1" x14ac:dyDescent="0.25">
      <c r="B292" s="13">
        <v>16</v>
      </c>
      <c r="C292" s="14" t="s">
        <v>53</v>
      </c>
      <c r="D292" s="13">
        <v>1</v>
      </c>
      <c r="E292" s="79">
        <v>45949</v>
      </c>
      <c r="F292" s="80">
        <v>45950</v>
      </c>
      <c r="G292" s="13">
        <f>IFERROR(WEEKNUM(Table4[[#This Row],[Confirmed Pick-up Date]]),"TBD")</f>
        <v>43</v>
      </c>
      <c r="H292" s="13" t="str">
        <f>IFERROR(TEXT(Table4[[#This Row],[Confirmed Pick-up Date]],"yy-mm"),"TBD")</f>
        <v>25-10</v>
      </c>
      <c r="I292" s="13" t="s">
        <v>13</v>
      </c>
      <c r="J292" s="13" t="str">
        <f>IFERROR(VLOOKUP(Table4[[#This Row],[FromSite-UPS]],Table1[[#All],[Company or Name]:[FromSite3]],15,FALSE),"")</f>
        <v>Berlin (Schoenefeld) WWTP</v>
      </c>
      <c r="K292" s="13" t="str">
        <f>IFERROR(VLOOKUP(Table4[[#This Row],[FromSite-UPS]],Table1[[#All],[Company or Name]:[FromSite3]],16,FALSE),"")</f>
        <v>Berlin Airport</v>
      </c>
      <c r="L292" s="13">
        <f>IFERROR(VLOOKUP(Table4[[#This Row],[FromSite-UPS]],Table1[[#All],[Company or Name]:[FromSite3]],14,FALSE),"")</f>
        <v>0.58333333333333337</v>
      </c>
      <c r="M292" s="13" t="s">
        <v>1011</v>
      </c>
      <c r="N292" s="20" t="s">
        <v>134</v>
      </c>
      <c r="O292" s="13" t="s">
        <v>1748</v>
      </c>
      <c r="P292" s="13" t="s">
        <v>134</v>
      </c>
      <c r="Q292" s="20" t="s">
        <v>1936</v>
      </c>
      <c r="R292" s="20"/>
      <c r="S292" s="20" t="s">
        <v>125</v>
      </c>
      <c r="T292" s="20" t="s">
        <v>856</v>
      </c>
      <c r="U292" s="20"/>
      <c r="V292" s="20"/>
      <c r="W292" s="20" t="str">
        <f>TEXT(Table4[[#This Row],[Confirmed Sampling Date]], "yyyy") &amp; "_" &amp; TEXT(Table4[[#This Row],[Confirmed Sampling Date]], "mm") &amp; "_" &amp; TEXT(Table4[[#This Row],[Confirmed Sampling Date]], "dd")</f>
        <v>2025_10_19</v>
      </c>
      <c r="X292" s="20" t="str">
        <f t="shared" si="4"/>
        <v>Berlin</v>
      </c>
      <c r="Y292" s="20" t="str">
        <f>VLOOKUP(Table4[[#This Row],[FromSite-UPS]],Table1[[Company or Name]:[NOTES]],2,FALSE)</f>
        <v>Germany</v>
      </c>
      <c r="Z292" s="20">
        <f>IFERROR(WEEKNUM(Table4[[#This Row],[Confirmed Sampling Date]] - 10, 21), "TBD")</f>
        <v>41</v>
      </c>
      <c r="AA292" s="20" t="str">
        <f>_xlfn.XLOOKUP(Table4[[#This Row],[FromSite-UPS]],sites!D:D,sites!W:W,"",0)</f>
        <v>Strasse am Klarwerk 4, Klarwerk Wassmannsdorf, Schoenefeld, 12529, Germany</v>
      </c>
      <c r="AB292" s="20" t="str">
        <f>_xlfn.XLOOKUP(Table4[[#This Row],[ToLab]],labs!D:D,labs!P:P,"no adres",0)</f>
        <v>Av. Rovisco Pais 1, Laboratorio de Analises de Agua, Lisbon, 1049-001, Portugal</v>
      </c>
      <c r="AC292" s="20">
        <f>_xlfn.XLOOKUP(Table4[[#This Row],[combi]],AREA!E:E,AREA!F:F,"",0)</f>
        <v>89</v>
      </c>
      <c r="AD292" s="20" t="str">
        <f>_xlfn.XLOOKUP(Table4[[#This Row],[combi]],AREA!E:E,AREA!G:G,"",0)</f>
        <v>Pick-up service of hypothetic package as defined in the Tech. Specs. and delivery to lots
2 and 3 contractors according to Scenario 1</v>
      </c>
      <c r="AE292" s="20" t="s">
        <v>125</v>
      </c>
      <c r="AF292" s="20" t="str">
        <f>_xlfn.XLOOKUP(Table4[[#This Row],[FromSite-UPS]],sites!D:D,sites!AB:AB,"",0)&amp;_xlfn.XLOOKUP(Table4[[#This Row],[ToLab]],labs!D:D,labs!Q:Q,"",0)</f>
        <v>EUEU</v>
      </c>
    </row>
    <row r="293" spans="2:32" ht="15.6" customHeight="1" x14ac:dyDescent="0.25">
      <c r="B293" s="13">
        <v>79</v>
      </c>
      <c r="C293" s="14" t="s">
        <v>53</v>
      </c>
      <c r="D293" s="13">
        <v>1</v>
      </c>
      <c r="E293" s="79">
        <v>45949</v>
      </c>
      <c r="F293" s="80">
        <v>45950</v>
      </c>
      <c r="G293" s="13">
        <f>IFERROR(WEEKNUM(Table4[[#This Row],[Confirmed Pick-up Date]]),"TBD")</f>
        <v>43</v>
      </c>
      <c r="H293" s="13" t="str">
        <f>IFERROR(TEXT(Table4[[#This Row],[Confirmed Pick-up Date]],"yy-mm"),"TBD")</f>
        <v>25-10</v>
      </c>
      <c r="I293" s="13" t="s">
        <v>13</v>
      </c>
      <c r="J293" s="13" t="str">
        <f>IFERROR(VLOOKUP(Table4[[#This Row],[FromSite-UPS]],Table1[[#All],[Company or Name]:[FromSite3]],15,FALSE),"")</f>
        <v>Berlin (Schoenefeld) WWTP</v>
      </c>
      <c r="K293" s="20" t="str">
        <f>IFERROR(VLOOKUP(Table4[[#This Row],[FromSite-UPS]],Table1[[#All],[Company or Name]:[FromSite3]],16,FALSE),"")</f>
        <v>Berlin Airport</v>
      </c>
      <c r="L293" s="20">
        <f>IFERROR(VLOOKUP(Table4[[#This Row],[FromSite-UPS]],Table1[[#All],[Company or Name]:[FromSite3]],14,FALSE),"")</f>
        <v>0.58333333333333337</v>
      </c>
      <c r="M293" s="13" t="s">
        <v>1011</v>
      </c>
      <c r="N293" s="20" t="s">
        <v>134</v>
      </c>
      <c r="O293" s="13" t="s">
        <v>1749</v>
      </c>
      <c r="P293" s="13" t="s">
        <v>134</v>
      </c>
      <c r="Q293" s="20" t="s">
        <v>1936</v>
      </c>
      <c r="R293" s="20"/>
      <c r="S293" s="20" t="s">
        <v>125</v>
      </c>
      <c r="T293" s="20" t="s">
        <v>856</v>
      </c>
      <c r="U293" s="20"/>
      <c r="V293" s="20"/>
      <c r="W293" s="20" t="str">
        <f>TEXT(Table4[[#This Row],[Confirmed Sampling Date]], "yyyy") &amp; "_" &amp; TEXT(Table4[[#This Row],[Confirmed Sampling Date]], "mm") &amp; "_" &amp; TEXT(Table4[[#This Row],[Confirmed Sampling Date]], "dd")</f>
        <v>2025_10_19</v>
      </c>
      <c r="X293" s="20" t="str">
        <f t="shared" si="4"/>
        <v>Berlin</v>
      </c>
      <c r="Y293" s="20" t="str">
        <f>VLOOKUP(Table4[[#This Row],[FromSite-UPS]],Table1[[Company or Name]:[NOTES]],2,FALSE)</f>
        <v>Germany</v>
      </c>
      <c r="Z293" s="20">
        <f>IFERROR(WEEKNUM(Table4[[#This Row],[Confirmed Sampling Date]] - 10, 21), "TBD")</f>
        <v>41</v>
      </c>
      <c r="AA293" s="20" t="str">
        <f>_xlfn.XLOOKUP(Table4[[#This Row],[FromSite-UPS]],sites!D:D,sites!W:W,"",0)</f>
        <v>Strasse am Klarwerk 4, Klarwerk Wassmannsdorf, Schoenefeld, 12529, Germany</v>
      </c>
      <c r="AB293" s="20" t="str">
        <f>_xlfn.XLOOKUP(Table4[[#This Row],[ToLab]],labs!D:D,labs!P:P,"no adres",0)</f>
        <v>Av. Rovisco Pais 1, Laboratorio de Analises de Agua, Lisbon, 1049-001, Portugal</v>
      </c>
      <c r="AC293" s="20">
        <f>_xlfn.XLOOKUP(Table4[[#This Row],[combi]],AREA!E:E,AREA!F:F,"",0)</f>
        <v>89</v>
      </c>
      <c r="AD293" s="20" t="str">
        <f>_xlfn.XLOOKUP(Table4[[#This Row],[combi]],AREA!E:E,AREA!G:G,"",0)</f>
        <v>Pick-up service of hypothetic package as defined in the Tech. Specs. and delivery to lots
2 and 3 contractors according to Scenario 1</v>
      </c>
      <c r="AE293" s="20" t="s">
        <v>125</v>
      </c>
      <c r="AF293" s="20" t="str">
        <f>_xlfn.XLOOKUP(Table4[[#This Row],[FromSite-UPS]],sites!D:D,sites!AB:AB,"",0)&amp;_xlfn.XLOOKUP(Table4[[#This Row],[ToLab]],labs!D:D,labs!Q:Q,"",0)</f>
        <v>EUEU</v>
      </c>
    </row>
    <row r="294" spans="2:32" ht="15.6" customHeight="1" x14ac:dyDescent="0.25">
      <c r="B294" s="13">
        <v>550</v>
      </c>
      <c r="C294" s="14" t="s">
        <v>53</v>
      </c>
      <c r="D294" s="13">
        <v>1</v>
      </c>
      <c r="E294" s="83">
        <v>45949</v>
      </c>
      <c r="F294" s="83">
        <v>45950</v>
      </c>
      <c r="G294" s="13">
        <f>IFERROR(WEEKNUM(Table4[[#This Row],[Confirmed Pick-up Date]]),"TBD")</f>
        <v>43</v>
      </c>
      <c r="H294" s="13" t="str">
        <f>IFERROR(TEXT(Table4[[#This Row],[Confirmed Pick-up Date]],"yy-mm"),"TBD")</f>
        <v>25-10</v>
      </c>
      <c r="I294" s="13" t="s">
        <v>13</v>
      </c>
      <c r="J294" s="13" t="str">
        <f>IFERROR(VLOOKUP(Table4[[#This Row],[FromSite-UPS]],Table1[[#All],[Company or Name]:[FromSite3]],15,FALSE),"")</f>
        <v>Berlin (Schoenefeld) WWTP</v>
      </c>
      <c r="K294" s="20" t="str">
        <f>IFERROR(VLOOKUP(Table4[[#This Row],[FromSite-UPS]],Table1[[#All],[Company or Name]:[FromSite3]],16,FALSE),"")</f>
        <v>Berlin Airport</v>
      </c>
      <c r="L294" s="20">
        <f>IFERROR(VLOOKUP(Table4[[#This Row],[FromSite-UPS]],Table1[[#All],[Company or Name]:[FromSite3]],14,FALSE),"")</f>
        <v>0.58333333333333337</v>
      </c>
      <c r="M294" s="13" t="s">
        <v>1283</v>
      </c>
      <c r="N294" s="20" t="s">
        <v>134</v>
      </c>
      <c r="O294" s="20" t="s">
        <v>1762</v>
      </c>
      <c r="P294" s="20" t="s">
        <v>134</v>
      </c>
      <c r="Q294" s="20" t="s">
        <v>1936</v>
      </c>
      <c r="R294" s="20"/>
      <c r="S294" s="20" t="s">
        <v>125</v>
      </c>
      <c r="T294" s="20" t="s">
        <v>856</v>
      </c>
      <c r="U294" s="20"/>
      <c r="V294" s="20"/>
      <c r="W294" s="20" t="str">
        <f>TEXT(Table4[[#This Row],[Confirmed Sampling Date]], "yyyy") &amp; "_" &amp; TEXT(Table4[[#This Row],[Confirmed Sampling Date]], "mm") &amp; "_" &amp; TEXT(Table4[[#This Row],[Confirmed Sampling Date]], "dd")</f>
        <v>2025_10_19</v>
      </c>
      <c r="X294" s="20" t="str">
        <f t="shared" si="4"/>
        <v>Berlin</v>
      </c>
      <c r="Y294" s="20" t="str">
        <f>VLOOKUP(Table4[[#This Row],[FromSite-UPS]],Table1[[Company or Name]:[NOTES]],2,FALSE)</f>
        <v>Germany</v>
      </c>
      <c r="Z294" s="20">
        <f>IFERROR(WEEKNUM(Table4[[#This Row],[Confirmed Sampling Date]] - 10, 21), "TBD")</f>
        <v>41</v>
      </c>
      <c r="AA294" s="20" t="str">
        <f>_xlfn.XLOOKUP(Table4[[#This Row],[FromSite-UPS]],sites!D:D,sites!W:W,"",0)</f>
        <v>Strasse am Klarwerk 4, Klarwerk Wassmannsdorf, Schoenefeld, 12529, Germany</v>
      </c>
      <c r="AB294" s="20" t="str">
        <f>_xlfn.XLOOKUP(Table4[[#This Row],[ToLab]],labs!D:D,labs!P:P,"no adres",0)</f>
        <v>C. del Dracma 16-18, Labaqua SAU - Sede Alicante, Alicante, 03114 , Spain</v>
      </c>
      <c r="AC294" s="20">
        <f>_xlfn.XLOOKUP(Table4[[#This Row],[combi]],AREA!E:E,AREA!F:F,"",0)</f>
        <v>89</v>
      </c>
      <c r="AD294" s="20" t="str">
        <f>_xlfn.XLOOKUP(Table4[[#This Row],[combi]],AREA!E:E,AREA!G:G,"",0)</f>
        <v>Pick-up service of hypothetic package as defined in the Tech. Specs. and delivery to lots
2 and 3 contractors according to Scenario 1</v>
      </c>
      <c r="AE294" s="20" t="s">
        <v>125</v>
      </c>
      <c r="AF294" s="20" t="str">
        <f>_xlfn.XLOOKUP(Table4[[#This Row],[FromSite-UPS]],sites!D:D,sites!AB:AB,"",0)&amp;_xlfn.XLOOKUP(Table4[[#This Row],[ToLab]],labs!D:D,labs!Q:Q,"",0)</f>
        <v>EUEU</v>
      </c>
    </row>
    <row r="295" spans="2:32" ht="15.6" customHeight="1" x14ac:dyDescent="0.25">
      <c r="B295" s="13">
        <v>558</v>
      </c>
      <c r="C295" s="14" t="s">
        <v>53</v>
      </c>
      <c r="D295" s="13">
        <v>1</v>
      </c>
      <c r="E295" s="83">
        <v>45949</v>
      </c>
      <c r="F295" s="83">
        <v>45950</v>
      </c>
      <c r="G295" s="13">
        <f>IFERROR(WEEKNUM(Table4[[#This Row],[Confirmed Pick-up Date]]),"TBD")</f>
        <v>43</v>
      </c>
      <c r="H295" s="13" t="str">
        <f>IFERROR(TEXT(Table4[[#This Row],[Confirmed Pick-up Date]],"yy-mm"),"TBD")</f>
        <v>25-10</v>
      </c>
      <c r="I295" s="13" t="s">
        <v>13</v>
      </c>
      <c r="J295" s="13" t="str">
        <f>IFERROR(VLOOKUP(Table4[[#This Row],[FromSite-UPS]],Table1[[#All],[Company or Name]:[FromSite3]],15,FALSE),"")</f>
        <v>Berlin (Schoenefeld) WWTP</v>
      </c>
      <c r="K295" s="20" t="str">
        <f>IFERROR(VLOOKUP(Table4[[#This Row],[FromSite-UPS]],Table1[[#All],[Company or Name]:[FromSite3]],16,FALSE),"")</f>
        <v>Berlin Airport</v>
      </c>
      <c r="L295" s="13" t="s">
        <v>1283</v>
      </c>
      <c r="M295" s="13" t="s">
        <v>1283</v>
      </c>
      <c r="N295" s="20" t="s">
        <v>134</v>
      </c>
      <c r="O295" s="20" t="s">
        <v>1763</v>
      </c>
      <c r="P295" s="20" t="s">
        <v>134</v>
      </c>
      <c r="Q295" s="20" t="s">
        <v>1936</v>
      </c>
      <c r="R295" s="20"/>
      <c r="S295" s="20" t="s">
        <v>125</v>
      </c>
      <c r="T295" s="20" t="s">
        <v>856</v>
      </c>
      <c r="U295" s="20"/>
      <c r="V295" s="20"/>
      <c r="W295" s="20" t="str">
        <f>TEXT(Table4[[#This Row],[Confirmed Sampling Date]], "yyyy") &amp; "_" &amp; TEXT(Table4[[#This Row],[Confirmed Sampling Date]], "mm") &amp; "_" &amp; TEXT(Table4[[#This Row],[Confirmed Sampling Date]], "dd")</f>
        <v>2025_10_19</v>
      </c>
      <c r="X295" s="20" t="str">
        <f t="shared" si="4"/>
        <v>Berlin</v>
      </c>
      <c r="Y295" s="20" t="str">
        <f>VLOOKUP(Table4[[#This Row],[FromSite-UPS]],Table1[[Company or Name]:[NOTES]],2,FALSE)</f>
        <v>Germany</v>
      </c>
      <c r="Z295" s="20">
        <f>IFERROR(WEEKNUM(Table4[[#This Row],[Confirmed Sampling Date]] - 10, 21), "TBD")</f>
        <v>41</v>
      </c>
      <c r="AA295" s="20" t="str">
        <f>_xlfn.XLOOKUP(Table4[[#This Row],[FromSite-UPS]],sites!D:D,sites!W:W,"",0)</f>
        <v>Strasse am Klarwerk 4, Klarwerk Wassmannsdorf, Schoenefeld, 12529, Germany</v>
      </c>
      <c r="AB295" s="20" t="str">
        <f>_xlfn.XLOOKUP(Table4[[#This Row],[ToLab]],labs!D:D,labs!P:P,"no adres",0)</f>
        <v>C. del Dracma 16-18, Labaqua SAU - Sede Alicante, Alicante, 03114 , Spain</v>
      </c>
      <c r="AC295" s="20">
        <f>_xlfn.XLOOKUP(Table4[[#This Row],[combi]],AREA!E:E,AREA!F:F,"",0)</f>
        <v>89</v>
      </c>
      <c r="AD295" s="20" t="str">
        <f>_xlfn.XLOOKUP(Table4[[#This Row],[combi]],AREA!E:E,AREA!G:G,"",0)</f>
        <v>Pick-up service of hypothetic package as defined in the Tech. Specs. and delivery to lots
2 and 3 contractors according to Scenario 1</v>
      </c>
      <c r="AE295" s="20" t="s">
        <v>125</v>
      </c>
      <c r="AF295" s="20" t="str">
        <f>_xlfn.XLOOKUP(Table4[[#This Row],[FromSite-UPS]],sites!D:D,sites!AB:AB,"",0)&amp;_xlfn.XLOOKUP(Table4[[#This Row],[ToLab]],labs!D:D,labs!Q:Q,"",0)</f>
        <v>EUEU</v>
      </c>
    </row>
    <row r="296" spans="2:32" ht="15.6" hidden="1" customHeight="1" x14ac:dyDescent="0.25">
      <c r="B296" s="13">
        <v>589</v>
      </c>
      <c r="C296" s="14" t="s">
        <v>53</v>
      </c>
      <c r="D296" s="13">
        <v>1</v>
      </c>
      <c r="E296" s="83">
        <v>45936</v>
      </c>
      <c r="F296" s="83">
        <v>45937</v>
      </c>
      <c r="G296" s="20">
        <f>IFERROR(WEEKNUM(Table4[[#This Row],[Confirmed Pick-up Date]]),"TBD")</f>
        <v>41</v>
      </c>
      <c r="H296" s="20" t="str">
        <f>IFERROR(TEXT(Table4[[#This Row],[Confirmed Pick-up Date]],"yy-mm"),"TBD")</f>
        <v>25-10</v>
      </c>
      <c r="I296" s="13" t="s">
        <v>1292</v>
      </c>
      <c r="J296" s="20" t="str">
        <f>IFERROR(VLOOKUP(Table4[[#This Row],[FromSite-UPS]],Table1[[#All],[Company or Name]:[FromSite3]],15,FALSE),"")</f>
        <v>Bologna WWTP</v>
      </c>
      <c r="K296" s="20" t="s">
        <v>127</v>
      </c>
      <c r="L296" s="20">
        <f>IFERROR(VLOOKUP(Table4[[#This Row],[FromSite-UPS]],Table1[[#All],[Company or Name]:[FromSite3]],14,FALSE),"")</f>
        <v>0.66666666666666663</v>
      </c>
      <c r="M296" s="13" t="s">
        <v>1011</v>
      </c>
      <c r="N296" s="20" t="s">
        <v>813</v>
      </c>
      <c r="O296" s="20" t="s">
        <v>1676</v>
      </c>
      <c r="P296" s="20" t="s">
        <v>134</v>
      </c>
      <c r="Q296" s="100" t="s">
        <v>1840</v>
      </c>
      <c r="R296" s="20" t="s">
        <v>1715</v>
      </c>
      <c r="S296" s="20" t="s">
        <v>125</v>
      </c>
      <c r="T296" s="20" t="s">
        <v>856</v>
      </c>
      <c r="U296" s="20"/>
      <c r="V296" s="20"/>
      <c r="W296" s="20" t="str">
        <f>TEXT(Table4[[#This Row],[Confirmed Sampling Date]], "yyyy") &amp; "_" &amp; TEXT(Table4[[#This Row],[Confirmed Sampling Date]], "mm") &amp; "_" &amp; TEXT(Table4[[#This Row],[Confirmed Sampling Date]], "dd")</f>
        <v>2025_10_06</v>
      </c>
      <c r="X296" s="20" t="str">
        <f t="shared" si="4"/>
        <v>Bologna</v>
      </c>
      <c r="Y296" s="20" t="str">
        <f>VLOOKUP(Table4[[#This Row],[FromSite-UPS]],Table1[[Company or Name]:[NOTES]],2,FALSE)</f>
        <v>Italy</v>
      </c>
      <c r="Z296" s="20">
        <f>IFERROR(WEEKNUM(Table4[[#This Row],[Confirmed Sampling Date]] - 10, 21), "TBD")</f>
        <v>39</v>
      </c>
      <c r="AA296" s="20" t="str">
        <f>_xlfn.XLOOKUP(Table4[[#This Row],[FromSite-UPS]],sites!D:D,sites!W:W,"",0)</f>
        <v>VIA SHAKESPEARE 29, Bologna, 40128, Italy</v>
      </c>
      <c r="AB296" s="20" t="str">
        <f>_xlfn.XLOOKUP(Table4[[#This Row],[ToLab]],labs!D:D,labs!P:P,"no adres",0)</f>
        <v>Av. Rovisco Pais 1, Laboratorio de Analises de Agua, Lisbon, 1049-001, Portugal</v>
      </c>
      <c r="AC296" s="20">
        <f>_xlfn.XLOOKUP(Table4[[#This Row],[combi]],AREA!E:E,AREA!F:F,"",0)</f>
        <v>89</v>
      </c>
      <c r="AD296" s="20" t="str">
        <f>_xlfn.XLOOKUP(Table4[[#This Row],[combi]],AREA!E:E,AREA!G:G,"",0)</f>
        <v>Pick-up service of hypothetic package as defined in the Tech. Specs. and delivery to lots
2 and 3 contractors according to Scenario 1</v>
      </c>
      <c r="AE296" s="20" t="s">
        <v>125</v>
      </c>
      <c r="AF296" s="20" t="str">
        <f>_xlfn.XLOOKUP(Table4[[#This Row],[FromSite-UPS]],sites!D:D,sites!AB:AB,"",0)&amp;_xlfn.XLOOKUP(Table4[[#This Row],[ToLab]],labs!D:D,labs!Q:Q,"",0)</f>
        <v>EUEU</v>
      </c>
    </row>
    <row r="297" spans="2:32" ht="15.6" customHeight="1" x14ac:dyDescent="0.25">
      <c r="B297" s="13">
        <v>590</v>
      </c>
      <c r="C297" s="14" t="s">
        <v>53</v>
      </c>
      <c r="D297" s="13">
        <v>1</v>
      </c>
      <c r="E297" s="83">
        <v>45950</v>
      </c>
      <c r="F297" s="83">
        <v>45951</v>
      </c>
      <c r="G297" s="13">
        <f>IFERROR(WEEKNUM(Table4[[#This Row],[Confirmed Pick-up Date]]),"TBD")</f>
        <v>43</v>
      </c>
      <c r="H297" s="13" t="str">
        <f>IFERROR(TEXT(Table4[[#This Row],[Confirmed Pick-up Date]],"yy-mm"),"TBD")</f>
        <v>25-10</v>
      </c>
      <c r="I297" s="13" t="s">
        <v>1292</v>
      </c>
      <c r="J297" s="20" t="str">
        <f>IFERROR(VLOOKUP(Table4[[#This Row],[FromSite-UPS]],Table1[[#All],[Company or Name]:[FromSite3]],15,FALSE),"")</f>
        <v>Bologna WWTP</v>
      </c>
      <c r="K297" s="20" t="s">
        <v>127</v>
      </c>
      <c r="L297" s="20">
        <f>IFERROR(VLOOKUP(Table4[[#This Row],[FromSite-UPS]],Table1[[#All],[Company or Name]:[FromSite3]],14,FALSE),"")</f>
        <v>0.66666666666666663</v>
      </c>
      <c r="M297" s="13" t="s">
        <v>1011</v>
      </c>
      <c r="N297" s="20" t="s">
        <v>134</v>
      </c>
      <c r="O297" s="20" t="s">
        <v>1761</v>
      </c>
      <c r="P297" s="20"/>
      <c r="Q297" s="20"/>
      <c r="R297" s="20"/>
      <c r="S297" s="20" t="s">
        <v>125</v>
      </c>
      <c r="T297" s="20" t="s">
        <v>856</v>
      </c>
      <c r="U297" s="20"/>
      <c r="V297" s="20"/>
      <c r="W297" s="20" t="str">
        <f>TEXT(Table4[[#This Row],[Confirmed Sampling Date]], "yyyy") &amp; "_" &amp; TEXT(Table4[[#This Row],[Confirmed Sampling Date]], "mm") &amp; "_" &amp; TEXT(Table4[[#This Row],[Confirmed Sampling Date]], "dd")</f>
        <v>2025_10_20</v>
      </c>
      <c r="X297" s="20" t="str">
        <f t="shared" si="4"/>
        <v>Bologna</v>
      </c>
      <c r="Y297" s="20" t="str">
        <f>VLOOKUP(Table4[[#This Row],[FromSite-UPS]],Table1[[Company or Name]:[NOTES]],2,FALSE)</f>
        <v>Italy</v>
      </c>
      <c r="Z297" s="20">
        <f>IFERROR(WEEKNUM(Table4[[#This Row],[Confirmed Sampling Date]] - 10, 21), "TBD")</f>
        <v>41</v>
      </c>
      <c r="AA297" s="20" t="str">
        <f>_xlfn.XLOOKUP(Table4[[#This Row],[FromSite-UPS]],sites!D:D,sites!W:W,"",0)</f>
        <v>VIA SHAKESPEARE 29, Bologna, 40128, Italy</v>
      </c>
      <c r="AB297" s="20" t="str">
        <f>_xlfn.XLOOKUP(Table4[[#This Row],[ToLab]],labs!D:D,labs!P:P,"no adres",0)</f>
        <v>Av. Rovisco Pais 1, Laboratorio de Analises de Agua, Lisbon, 1049-001, Portugal</v>
      </c>
      <c r="AC297" s="20">
        <f>_xlfn.XLOOKUP(Table4[[#This Row],[combi]],AREA!E:E,AREA!F:F,"",0)</f>
        <v>89</v>
      </c>
      <c r="AD297" s="20" t="str">
        <f>_xlfn.XLOOKUP(Table4[[#This Row],[combi]],AREA!E:E,AREA!G:G,"",0)</f>
        <v>Pick-up service of hypothetic package as defined in the Tech. Specs. and delivery to lots
2 and 3 contractors according to Scenario 1</v>
      </c>
      <c r="AE297" s="20" t="s">
        <v>125</v>
      </c>
      <c r="AF297" s="20" t="str">
        <f>_xlfn.XLOOKUP(Table4[[#This Row],[FromSite-UPS]],sites!D:D,sites!AB:AB,"",0)&amp;_xlfn.XLOOKUP(Table4[[#This Row],[ToLab]],labs!D:D,labs!Q:Q,"",0)</f>
        <v>EUEU</v>
      </c>
    </row>
    <row r="298" spans="2:32" ht="15.6" hidden="1" customHeight="1" x14ac:dyDescent="0.25">
      <c r="B298" s="13">
        <v>56</v>
      </c>
      <c r="C298" s="14" t="s">
        <v>53</v>
      </c>
      <c r="D298" s="13">
        <v>1</v>
      </c>
      <c r="E298" s="22">
        <v>45936</v>
      </c>
      <c r="F298" s="22">
        <v>45937</v>
      </c>
      <c r="G298" s="20">
        <f>IFERROR(WEEKNUM(Table4[[#This Row],[Confirmed Pick-up Date]]),"TBD")</f>
        <v>41</v>
      </c>
      <c r="H298" s="20" t="str">
        <f>IFERROR(TEXT(Table4[[#This Row],[Confirmed Pick-up Date]],"yy-mm"),"TBD")</f>
        <v>25-10</v>
      </c>
      <c r="I298" s="64" t="s">
        <v>364</v>
      </c>
      <c r="J298" s="20" t="str">
        <f>IFERROR(VLOOKUP(Table4[[#This Row],[FromSite-UPS]],Table1[[#All],[Company or Name]:[FromSite3]],15,FALSE),"")</f>
        <v>Brussels WWTP</v>
      </c>
      <c r="K298" s="20" t="str">
        <f>IFERROR(VLOOKUP(Table4[[#This Row],[FromSite-UPS]],Table1[[#All],[Company or Name]:[FromSite3]],16,FALSE),"")</f>
        <v>Brussels Airport</v>
      </c>
      <c r="L298" s="20">
        <f>IFERROR(VLOOKUP(Table4[[#This Row],[FromSite-UPS]],Table1[[#All],[Company or Name]:[FromSite3]],14,FALSE),"")</f>
        <v>0.70833333333333337</v>
      </c>
      <c r="M298" s="13" t="s">
        <v>1011</v>
      </c>
      <c r="N298" s="20" t="s">
        <v>813</v>
      </c>
      <c r="O298" s="13" t="s">
        <v>1674</v>
      </c>
      <c r="P298" s="13" t="s">
        <v>134</v>
      </c>
      <c r="Q298" s="100" t="s">
        <v>1836</v>
      </c>
      <c r="R298" s="20" t="s">
        <v>1721</v>
      </c>
      <c r="S298" s="20" t="s">
        <v>125</v>
      </c>
      <c r="T298" s="20" t="s">
        <v>856</v>
      </c>
      <c r="U298" s="20"/>
      <c r="V298" s="20"/>
      <c r="W298" s="20" t="str">
        <f>TEXT(Table4[[#This Row],[Confirmed Sampling Date]], "yyyy") &amp; "_" &amp; TEXT(Table4[[#This Row],[Confirmed Sampling Date]], "mm") &amp; "_" &amp; TEXT(Table4[[#This Row],[Confirmed Sampling Date]], "dd")</f>
        <v>2025_10_06</v>
      </c>
      <c r="X298" s="20" t="str">
        <f t="shared" si="4"/>
        <v>Brussels</v>
      </c>
      <c r="Y298" s="20" t="str">
        <f>VLOOKUP(Table4[[#This Row],[FromSite-UPS]],Table1[[Company or Name]:[NOTES]],2,FALSE)</f>
        <v>Belgium</v>
      </c>
      <c r="Z298" s="20">
        <f>IFERROR(WEEKNUM(Table4[[#This Row],[Confirmed Sampling Date]] - 10, 21), "TBD")</f>
        <v>39</v>
      </c>
      <c r="AA298" s="20" t="str">
        <f>_xlfn.XLOOKUP(Table4[[#This Row],[FromSite-UPS]],sites!D:D,sites!W:W,"",0)</f>
        <v>Rue Juliette Wytsmanstraat 14, Brussels, 1050, Belgium</v>
      </c>
      <c r="AB298" s="20" t="str">
        <f>_xlfn.XLOOKUP(Table4[[#This Row],[ToLab]],labs!D:D,labs!P:P,"no adres",0)</f>
        <v>Av. Rovisco Pais 1, Laboratorio de Analises de Agua, Lisbon, 1049-001, Portugal</v>
      </c>
      <c r="AC298" s="20">
        <f>_xlfn.XLOOKUP(Table4[[#This Row],[combi]],AREA!E:E,AREA!F:F,"",0)</f>
        <v>89</v>
      </c>
      <c r="AD298" s="20" t="str">
        <f>_xlfn.XLOOKUP(Table4[[#This Row],[combi]],AREA!E:E,AREA!G:G,"",0)</f>
        <v>Pick-up service of hypothetic package as defined in the Tech. Specs. and delivery to lots
2 and 3 contractors according to Scenario 1</v>
      </c>
      <c r="AE298" s="20" t="s">
        <v>125</v>
      </c>
      <c r="AF298" s="20" t="str">
        <f>_xlfn.XLOOKUP(Table4[[#This Row],[FromSite-UPS]],sites!D:D,sites!AB:AB,"",0)&amp;_xlfn.XLOOKUP(Table4[[#This Row],[ToLab]],labs!D:D,labs!Q:Q,"",0)</f>
        <v>EUEU</v>
      </c>
    </row>
    <row r="299" spans="2:32" ht="15.6" hidden="1" customHeight="1" x14ac:dyDescent="0.25">
      <c r="B299" s="13">
        <v>119</v>
      </c>
      <c r="C299" s="14" t="s">
        <v>53</v>
      </c>
      <c r="D299" s="13">
        <v>1</v>
      </c>
      <c r="E299" s="83">
        <v>45936</v>
      </c>
      <c r="F299" s="83">
        <v>45937</v>
      </c>
      <c r="G299" s="20">
        <f>IFERROR(WEEKNUM(Table4[[#This Row],[Confirmed Pick-up Date]]),"TBD")</f>
        <v>41</v>
      </c>
      <c r="H299" s="20" t="str">
        <f>IFERROR(TEXT(Table4[[#This Row],[Confirmed Pick-up Date]],"yy-mm"),"TBD")</f>
        <v>25-10</v>
      </c>
      <c r="I299" s="13" t="s">
        <v>364</v>
      </c>
      <c r="J299" s="20" t="str">
        <f>IFERROR(VLOOKUP(Table4[[#This Row],[FromSite-UPS]],Table1[[#All],[Company or Name]:[FromSite3]],15,FALSE),"")</f>
        <v>Brussels WWTP</v>
      </c>
      <c r="K299" s="20" t="str">
        <f>IFERROR(VLOOKUP(Table4[[#This Row],[FromSite-UPS]],Table1[[#All],[Company or Name]:[FromSite3]],16,FALSE),"")</f>
        <v>Brussels Airport</v>
      </c>
      <c r="L299" s="20">
        <f>IFERROR(VLOOKUP(Table4[[#This Row],[FromSite-UPS]],Table1[[#All],[Company or Name]:[FromSite3]],14,FALSE),"")</f>
        <v>0.70833333333333337</v>
      </c>
      <c r="M299" s="13" t="s">
        <v>1011</v>
      </c>
      <c r="N299" s="20" t="s">
        <v>813</v>
      </c>
      <c r="O299" s="13" t="s">
        <v>1675</v>
      </c>
      <c r="P299" s="13" t="s">
        <v>134</v>
      </c>
      <c r="Q299" s="64" t="s">
        <v>1836</v>
      </c>
      <c r="R299" s="20"/>
      <c r="S299" s="20" t="s">
        <v>125</v>
      </c>
      <c r="T299" s="20" t="s">
        <v>856</v>
      </c>
      <c r="U299" s="20"/>
      <c r="V299" s="20"/>
      <c r="W299" s="20" t="str">
        <f>TEXT(Table4[[#This Row],[Confirmed Sampling Date]], "yyyy") &amp; "_" &amp; TEXT(Table4[[#This Row],[Confirmed Sampling Date]], "mm") &amp; "_" &amp; TEXT(Table4[[#This Row],[Confirmed Sampling Date]], "dd")</f>
        <v>2025_10_06</v>
      </c>
      <c r="X299" s="20" t="str">
        <f t="shared" si="4"/>
        <v>Brussels</v>
      </c>
      <c r="Y299" s="20" t="str">
        <f>VLOOKUP(Table4[[#This Row],[FromSite-UPS]],Table1[[Company or Name]:[NOTES]],2,FALSE)</f>
        <v>Belgium</v>
      </c>
      <c r="Z299" s="20">
        <f>IFERROR(WEEKNUM(Table4[[#This Row],[Confirmed Sampling Date]] - 10, 21), "TBD")</f>
        <v>39</v>
      </c>
      <c r="AA299" s="20" t="str">
        <f>_xlfn.XLOOKUP(Table4[[#This Row],[FromSite-UPS]],sites!D:D,sites!W:W,"",0)</f>
        <v>Rue Juliette Wytsmanstraat 14, Brussels, 1050, Belgium</v>
      </c>
      <c r="AB299" s="20" t="str">
        <f>_xlfn.XLOOKUP(Table4[[#This Row],[ToLab]],labs!D:D,labs!P:P,"no adres",0)</f>
        <v>Av. Rovisco Pais 1, Laboratorio de Analises de Agua, Lisbon, 1049-001, Portugal</v>
      </c>
      <c r="AC299" s="20">
        <f>_xlfn.XLOOKUP(Table4[[#This Row],[combi]],AREA!E:E,AREA!F:F,"",0)</f>
        <v>89</v>
      </c>
      <c r="AD299" s="20" t="str">
        <f>_xlfn.XLOOKUP(Table4[[#This Row],[combi]],AREA!E:E,AREA!G:G,"",0)</f>
        <v>Pick-up service of hypothetic package as defined in the Tech. Specs. and delivery to lots
2 and 3 contractors according to Scenario 1</v>
      </c>
      <c r="AE299" s="20" t="s">
        <v>125</v>
      </c>
      <c r="AF299" s="20" t="str">
        <f>_xlfn.XLOOKUP(Table4[[#This Row],[FromSite-UPS]],sites!D:D,sites!AB:AB,"",0)&amp;_xlfn.XLOOKUP(Table4[[#This Row],[ToLab]],labs!D:D,labs!Q:Q,"",0)</f>
        <v>EUEU</v>
      </c>
    </row>
    <row r="300" spans="2:32" ht="15.6" customHeight="1" x14ac:dyDescent="0.25">
      <c r="B300" s="13">
        <v>57</v>
      </c>
      <c r="C300" s="14" t="s">
        <v>53</v>
      </c>
      <c r="D300" s="13">
        <v>1</v>
      </c>
      <c r="E300" s="79">
        <v>45950</v>
      </c>
      <c r="F300" s="80">
        <v>45951</v>
      </c>
      <c r="G300" s="13">
        <f>IFERROR(WEEKNUM(Table4[[#This Row],[Confirmed Pick-up Date]]),"TBD")</f>
        <v>43</v>
      </c>
      <c r="H300" s="13" t="str">
        <f>IFERROR(TEXT(Table4[[#This Row],[Confirmed Pick-up Date]],"yy-mm"),"TBD")</f>
        <v>25-10</v>
      </c>
      <c r="I300" s="13" t="s">
        <v>364</v>
      </c>
      <c r="J300" s="20" t="str">
        <f>IFERROR(VLOOKUP(Table4[[#This Row],[FromSite-UPS]],Table1[[#All],[Company or Name]:[FromSite3]],15,FALSE),"")</f>
        <v>Brussels WWTP</v>
      </c>
      <c r="K300" s="20" t="str">
        <f>IFERROR(VLOOKUP(Table4[[#This Row],[FromSite-UPS]],Table1[[#All],[Company or Name]:[FromSite3]],16,FALSE),"")</f>
        <v>Brussels Airport</v>
      </c>
      <c r="L300" s="20">
        <f>IFERROR(VLOOKUP(Table4[[#This Row],[FromSite-UPS]],Table1[[#All],[Company or Name]:[FromSite3]],14,FALSE),"")</f>
        <v>0.70833333333333337</v>
      </c>
      <c r="M300" s="13" t="s">
        <v>1011</v>
      </c>
      <c r="N300" s="20" t="s">
        <v>134</v>
      </c>
      <c r="O300" s="13" t="s">
        <v>1765</v>
      </c>
      <c r="P300" s="13"/>
      <c r="Q300" s="20"/>
      <c r="R300" s="20"/>
      <c r="S300" s="20" t="s">
        <v>125</v>
      </c>
      <c r="T300" s="20" t="s">
        <v>856</v>
      </c>
      <c r="U300" s="20"/>
      <c r="V300" s="20"/>
      <c r="W300" s="20" t="str">
        <f>TEXT(Table4[[#This Row],[Confirmed Sampling Date]], "yyyy") &amp; "_" &amp; TEXT(Table4[[#This Row],[Confirmed Sampling Date]], "mm") &amp; "_" &amp; TEXT(Table4[[#This Row],[Confirmed Sampling Date]], "dd")</f>
        <v>2025_10_20</v>
      </c>
      <c r="X300" s="20" t="str">
        <f t="shared" si="4"/>
        <v>Brussels</v>
      </c>
      <c r="Y300" s="20" t="str">
        <f>VLOOKUP(Table4[[#This Row],[FromSite-UPS]],Table1[[Company or Name]:[NOTES]],2,FALSE)</f>
        <v>Belgium</v>
      </c>
      <c r="Z300" s="20">
        <f>IFERROR(WEEKNUM(Table4[[#This Row],[Confirmed Sampling Date]] - 10, 21), "TBD")</f>
        <v>41</v>
      </c>
      <c r="AA300" s="20" t="str">
        <f>_xlfn.XLOOKUP(Table4[[#This Row],[FromSite-UPS]],sites!D:D,sites!W:W,"",0)</f>
        <v>Rue Juliette Wytsmanstraat 14, Brussels, 1050, Belgium</v>
      </c>
      <c r="AB300" s="20" t="str">
        <f>_xlfn.XLOOKUP(Table4[[#This Row],[ToLab]],labs!D:D,labs!P:P,"no adres",0)</f>
        <v>Av. Rovisco Pais 1, Laboratorio de Analises de Agua, Lisbon, 1049-001, Portugal</v>
      </c>
      <c r="AC300" s="20">
        <f>_xlfn.XLOOKUP(Table4[[#This Row],[combi]],AREA!E:E,AREA!F:F,"",0)</f>
        <v>89</v>
      </c>
      <c r="AD300" s="20" t="str">
        <f>_xlfn.XLOOKUP(Table4[[#This Row],[combi]],AREA!E:E,AREA!G:G,"",0)</f>
        <v>Pick-up service of hypothetic package as defined in the Tech. Specs. and delivery to lots
2 and 3 contractors according to Scenario 1</v>
      </c>
      <c r="AE300" s="20" t="s">
        <v>125</v>
      </c>
      <c r="AF300" s="20" t="str">
        <f>_xlfn.XLOOKUP(Table4[[#This Row],[FromSite-UPS]],sites!D:D,sites!AB:AB,"",0)&amp;_xlfn.XLOOKUP(Table4[[#This Row],[ToLab]],labs!D:D,labs!Q:Q,"",0)</f>
        <v>EUEU</v>
      </c>
    </row>
    <row r="301" spans="2:32" ht="15.6" customHeight="1" x14ac:dyDescent="0.25">
      <c r="B301" s="13">
        <v>120</v>
      </c>
      <c r="C301" s="14" t="s">
        <v>53</v>
      </c>
      <c r="D301" s="13">
        <v>1</v>
      </c>
      <c r="E301" s="79">
        <v>45950</v>
      </c>
      <c r="F301" s="80">
        <v>45951</v>
      </c>
      <c r="G301" s="13">
        <f>IFERROR(WEEKNUM(Table4[[#This Row],[Confirmed Pick-up Date]]),"TBD")</f>
        <v>43</v>
      </c>
      <c r="H301" s="13" t="str">
        <f>IFERROR(TEXT(Table4[[#This Row],[Confirmed Pick-up Date]],"yy-mm"),"TBD")</f>
        <v>25-10</v>
      </c>
      <c r="I301" s="13" t="s">
        <v>364</v>
      </c>
      <c r="J301" s="20" t="str">
        <f>IFERROR(VLOOKUP(Table4[[#This Row],[FromSite-UPS]],Table1[[#All],[Company or Name]:[FromSite3]],15,FALSE),"")</f>
        <v>Brussels WWTP</v>
      </c>
      <c r="K301" s="20" t="str">
        <f>IFERROR(VLOOKUP(Table4[[#This Row],[FromSite-UPS]],Table1[[#All],[Company or Name]:[FromSite3]],16,FALSE),"")</f>
        <v>Brussels Airport</v>
      </c>
      <c r="L301" s="20">
        <f>IFERROR(VLOOKUP(Table4[[#This Row],[FromSite-UPS]],Table1[[#All],[Company or Name]:[FromSite3]],14,FALSE),"")</f>
        <v>0.70833333333333337</v>
      </c>
      <c r="M301" s="13" t="s">
        <v>1011</v>
      </c>
      <c r="N301" s="20" t="s">
        <v>134</v>
      </c>
      <c r="O301" s="13" t="s">
        <v>1766</v>
      </c>
      <c r="P301" s="13"/>
      <c r="Q301" s="20"/>
      <c r="R301" s="20"/>
      <c r="S301" s="20" t="s">
        <v>125</v>
      </c>
      <c r="T301" s="20" t="s">
        <v>856</v>
      </c>
      <c r="U301" s="20"/>
      <c r="V301" s="20"/>
      <c r="W301" s="20" t="str">
        <f>TEXT(Table4[[#This Row],[Confirmed Sampling Date]], "yyyy") &amp; "_" &amp; TEXT(Table4[[#This Row],[Confirmed Sampling Date]], "mm") &amp; "_" &amp; TEXT(Table4[[#This Row],[Confirmed Sampling Date]], "dd")</f>
        <v>2025_10_20</v>
      </c>
      <c r="X301" s="20" t="str">
        <f t="shared" si="4"/>
        <v>Brussels</v>
      </c>
      <c r="Y301" s="20" t="str">
        <f>VLOOKUP(Table4[[#This Row],[FromSite-UPS]],Table1[[Company or Name]:[NOTES]],2,FALSE)</f>
        <v>Belgium</v>
      </c>
      <c r="Z301" s="20">
        <f>IFERROR(WEEKNUM(Table4[[#This Row],[Confirmed Sampling Date]] - 10, 21), "TBD")</f>
        <v>41</v>
      </c>
      <c r="AA301" s="20" t="str">
        <f>_xlfn.XLOOKUP(Table4[[#This Row],[FromSite-UPS]],sites!D:D,sites!W:W,"",0)</f>
        <v>Rue Juliette Wytsmanstraat 14, Brussels, 1050, Belgium</v>
      </c>
      <c r="AB301" s="20" t="str">
        <f>_xlfn.XLOOKUP(Table4[[#This Row],[ToLab]],labs!D:D,labs!P:P,"no adres",0)</f>
        <v>Av. Rovisco Pais 1, Laboratorio de Analises de Agua, Lisbon, 1049-001, Portugal</v>
      </c>
      <c r="AC301" s="20">
        <f>_xlfn.XLOOKUP(Table4[[#This Row],[combi]],AREA!E:E,AREA!F:F,"",0)</f>
        <v>89</v>
      </c>
      <c r="AD301" s="20" t="str">
        <f>_xlfn.XLOOKUP(Table4[[#This Row],[combi]],AREA!E:E,AREA!G:G,"",0)</f>
        <v>Pick-up service of hypothetic package as defined in the Tech. Specs. and delivery to lots
2 and 3 contractors according to Scenario 1</v>
      </c>
      <c r="AE301" s="20" t="s">
        <v>125</v>
      </c>
      <c r="AF301" s="20" t="str">
        <f>_xlfn.XLOOKUP(Table4[[#This Row],[FromSite-UPS]],sites!D:D,sites!AB:AB,"",0)&amp;_xlfn.XLOOKUP(Table4[[#This Row],[ToLab]],labs!D:D,labs!Q:Q,"",0)</f>
        <v>EUEU</v>
      </c>
    </row>
    <row r="302" spans="2:32" ht="15.6" hidden="1" customHeight="1" x14ac:dyDescent="0.25">
      <c r="B302" s="13">
        <v>523</v>
      </c>
      <c r="C302" s="14" t="s">
        <v>53</v>
      </c>
      <c r="D302" s="13">
        <v>1</v>
      </c>
      <c r="E302" s="83">
        <v>45937</v>
      </c>
      <c r="F302" s="83">
        <v>45937</v>
      </c>
      <c r="G302" s="20">
        <f>IFERROR(WEEKNUM(Table4[[#This Row],[Confirmed Pick-up Date]]),"TBD")</f>
        <v>41</v>
      </c>
      <c r="H302" s="20" t="str">
        <f>IFERROR(TEXT(Table4[[#This Row],[Confirmed Pick-up Date]],"yy-mm"),"TBD")</f>
        <v>25-10</v>
      </c>
      <c r="I302" s="78" t="s">
        <v>1132</v>
      </c>
      <c r="J302" s="20" t="str">
        <f>IFERROR(VLOOKUP(Table4[[#This Row],[FromSite-UPS]],Table1[[#All],[Company or Name]:[FromSite3]],15,FALSE),"")</f>
        <v>Cluj-MNC</v>
      </c>
      <c r="K302" s="20" t="str">
        <f>IFERROR(VLOOKUP(Table4[[#This Row],[FromSite-UPS]],Table1[[#All],[Company or Name]:[FromSite3]],16,FALSE),"")</f>
        <v>-</v>
      </c>
      <c r="L302" s="20">
        <f>IFERROR(VLOOKUP(Table4[[#This Row],[FromSite-UPS]],Table1[[#All],[Company or Name]:[FromSite3]],14,FALSE),"")</f>
        <v>0.66666666666666663</v>
      </c>
      <c r="M302" s="13" t="s">
        <v>1011</v>
      </c>
      <c r="N302" s="20" t="s">
        <v>813</v>
      </c>
      <c r="O302" s="20" t="s">
        <v>1680</v>
      </c>
      <c r="P302" s="20" t="s">
        <v>134</v>
      </c>
      <c r="Q302" s="132" t="s">
        <v>1839</v>
      </c>
      <c r="R302" s="20" t="s">
        <v>1729</v>
      </c>
      <c r="S302" s="20" t="s">
        <v>125</v>
      </c>
      <c r="T302" s="20" t="s">
        <v>856</v>
      </c>
      <c r="U302" s="20"/>
      <c r="V302" s="20"/>
      <c r="W302" s="20" t="str">
        <f>TEXT(Table4[[#This Row],[Confirmed Sampling Date]], "yyyy") &amp; "_" &amp; TEXT(Table4[[#This Row],[Confirmed Sampling Date]], "mm") &amp; "_" &amp; TEXT(Table4[[#This Row],[Confirmed Sampling Date]], "dd")</f>
        <v>2025_10_07</v>
      </c>
      <c r="X302" s="20" t="str">
        <f t="shared" si="4"/>
        <v>Cluj-MNC</v>
      </c>
      <c r="Y302" s="20" t="str">
        <f>VLOOKUP(Table4[[#This Row],[FromSite-UPS]],Table1[[Company or Name]:[NOTES]],2,FALSE)</f>
        <v>Romania</v>
      </c>
      <c r="Z302" s="20">
        <f>IFERROR(WEEKNUM(Table4[[#This Row],[Confirmed Sampling Date]] - 10, 21), "TBD")</f>
        <v>39</v>
      </c>
      <c r="AA302" s="20" t="str">
        <f>_xlfn.XLOOKUP(Table4[[#This Row],[FromSite-UPS]],sites!D:D,sites!W:W,"",0)</f>
        <v>Strada Tăbăcarilor 11, Cluj-Napoca, 400139, Romania</v>
      </c>
      <c r="AB302" s="20" t="str">
        <f>_xlfn.XLOOKUP(Table4[[#This Row],[ToLab]],labs!D:D,labs!P:P,"no adres",0)</f>
        <v>Av. Rovisco Pais 1, Laboratorio de Analises de Agua, Lisbon, 1049-001, Portugal</v>
      </c>
      <c r="AC302" s="20">
        <f>_xlfn.XLOOKUP(Table4[[#This Row],[combi]],AREA!E:E,AREA!F:F,"",0)</f>
        <v>89</v>
      </c>
      <c r="AD302" s="20" t="str">
        <f>_xlfn.XLOOKUP(Table4[[#This Row],[combi]],AREA!E:E,AREA!G:G,"",0)</f>
        <v>Pick-up service of hypothetic package as defined in the Tech. Specs. and delivery to lots
2 and 3 contractors according to Scenario 1</v>
      </c>
      <c r="AE302" s="20" t="s">
        <v>125</v>
      </c>
      <c r="AF302" s="20" t="str">
        <f>_xlfn.XLOOKUP(Table4[[#This Row],[FromSite-UPS]],sites!D:D,sites!AB:AB,"",0)&amp;_xlfn.XLOOKUP(Table4[[#This Row],[ToLab]],labs!D:D,labs!Q:Q,"",0)</f>
        <v>EUEU</v>
      </c>
    </row>
    <row r="303" spans="2:32" ht="15.6" hidden="1" customHeight="1" x14ac:dyDescent="0.25">
      <c r="B303" s="13">
        <v>653</v>
      </c>
      <c r="C303" s="14" t="s">
        <v>53</v>
      </c>
      <c r="D303" s="13">
        <v>1</v>
      </c>
      <c r="E303" s="83">
        <v>45937</v>
      </c>
      <c r="F303" s="83">
        <v>45937</v>
      </c>
      <c r="G303" s="20">
        <f>IFERROR(WEEKNUM(Table4[[#This Row],[Confirmed Pick-up Date]]),"TBD")</f>
        <v>41</v>
      </c>
      <c r="H303" s="20" t="str">
        <f>IFERROR(TEXT(Table4[[#This Row],[Confirmed Pick-up Date]],"yy-mm"),"TBD")</f>
        <v>25-10</v>
      </c>
      <c r="I303" s="13" t="s">
        <v>1132</v>
      </c>
      <c r="J303" s="20" t="str">
        <f>IFERROR(VLOOKUP(Table4[[#This Row],[FromSite-UPS]],Table1[[#All],[Company or Name]:[FromSite3]],15,FALSE),"")</f>
        <v>Cluj-MNC</v>
      </c>
      <c r="K303" s="20" t="str">
        <f>IFERROR(VLOOKUP(Table4[[#This Row],[FromSite-UPS]],Table1[[#All],[Company or Name]:[FromSite3]],16,FALSE),"")</f>
        <v>-</v>
      </c>
      <c r="L303" s="20">
        <f>IFERROR(VLOOKUP(Table4[[#This Row],[FromSite-UPS]],Table1[[#All],[Company or Name]:[FromSite3]],14,FALSE),"")</f>
        <v>0.66666666666666663</v>
      </c>
      <c r="M303" s="13" t="s">
        <v>1011</v>
      </c>
      <c r="N303" s="20" t="s">
        <v>813</v>
      </c>
      <c r="O303" s="20" t="s">
        <v>1830</v>
      </c>
      <c r="P303" s="65" t="s">
        <v>134</v>
      </c>
      <c r="Q303" s="64" t="s">
        <v>1841</v>
      </c>
      <c r="R303" s="20"/>
      <c r="S303" s="20" t="s">
        <v>125</v>
      </c>
      <c r="T303" s="20" t="s">
        <v>856</v>
      </c>
      <c r="U303" s="20"/>
      <c r="V303" s="20"/>
      <c r="W303" s="20" t="str">
        <f>TEXT(Table4[[#This Row],[Confirmed Sampling Date]], "yyyy") &amp; "_" &amp; TEXT(Table4[[#This Row],[Confirmed Sampling Date]], "mm") &amp; "_" &amp; TEXT(Table4[[#This Row],[Confirmed Sampling Date]], "dd")</f>
        <v>2025_10_07</v>
      </c>
      <c r="X303" s="20" t="str">
        <f t="shared" si="4"/>
        <v>Cluj-MNC</v>
      </c>
      <c r="Y303" s="20" t="str">
        <f>VLOOKUP(Table4[[#This Row],[FromSite-UPS]],Table1[[Company or Name]:[NOTES]],2,FALSE)</f>
        <v>Romania</v>
      </c>
      <c r="Z303" s="20">
        <f>IFERROR(WEEKNUM(Table4[[#This Row],[Confirmed Sampling Date]] - 10, 21), "TBD")</f>
        <v>39</v>
      </c>
      <c r="AA303" s="20" t="str">
        <f>_xlfn.XLOOKUP(Table4[[#This Row],[FromSite-UPS]],sites!D:D,sites!W:W,"",0)</f>
        <v>Strada Tăbăcarilor 11, Cluj-Napoca, 400139, Romania</v>
      </c>
      <c r="AB303" s="20" t="str">
        <f>_xlfn.XLOOKUP(Table4[[#This Row],[ToLab]],labs!D:D,labs!P:P,"no adres",0)</f>
        <v>Av. Rovisco Pais 1, Laboratorio de Analises de Agua, Lisbon, 1049-001, Portugal</v>
      </c>
      <c r="AC303" s="20">
        <f>_xlfn.XLOOKUP(Table4[[#This Row],[combi]],AREA!E:E,AREA!F:F,"",0)</f>
        <v>89</v>
      </c>
      <c r="AD303" s="20" t="str">
        <f>_xlfn.XLOOKUP(Table4[[#This Row],[combi]],AREA!E:E,AREA!G:G,"",0)</f>
        <v>Pick-up service of hypothetic package as defined in the Tech. Specs. and delivery to lots
2 and 3 contractors according to Scenario 1</v>
      </c>
      <c r="AE303" s="20" t="s">
        <v>126</v>
      </c>
      <c r="AF303" s="20" t="str">
        <f>_xlfn.XLOOKUP(Table4[[#This Row],[FromSite-UPS]],sites!D:D,sites!AB:AB,"",0)&amp;_xlfn.XLOOKUP(Table4[[#This Row],[ToLab]],labs!D:D,labs!Q:Q,"",0)</f>
        <v>EUEU</v>
      </c>
    </row>
    <row r="304" spans="2:32" ht="15.6" customHeight="1" x14ac:dyDescent="0.25">
      <c r="B304" s="13">
        <v>524</v>
      </c>
      <c r="C304" s="14" t="s">
        <v>53</v>
      </c>
      <c r="D304" s="13">
        <v>1</v>
      </c>
      <c r="E304" s="79">
        <v>45951</v>
      </c>
      <c r="F304" s="80">
        <v>45951</v>
      </c>
      <c r="G304" s="13">
        <f>IFERROR(WEEKNUM(Table4[[#This Row],[Confirmed Pick-up Date]]),"TBD")</f>
        <v>43</v>
      </c>
      <c r="H304" s="13" t="str">
        <f>IFERROR(TEXT(Table4[[#This Row],[Confirmed Pick-up Date]],"yy-mm"),"TBD")</f>
        <v>25-10</v>
      </c>
      <c r="I304" s="78" t="s">
        <v>1132</v>
      </c>
      <c r="J304" s="20" t="str">
        <f>IFERROR(VLOOKUP(Table4[[#This Row],[FromSite-UPS]],Table1[[#All],[Company or Name]:[FromSite3]],15,FALSE),"")</f>
        <v>Cluj-MNC</v>
      </c>
      <c r="K304" s="20" t="str">
        <f>IFERROR(VLOOKUP(Table4[[#This Row],[FromSite-UPS]],Table1[[#All],[Company or Name]:[FromSite3]],16,FALSE),"")</f>
        <v>-</v>
      </c>
      <c r="L304" s="20">
        <f>IFERROR(VLOOKUP(Table4[[#This Row],[FromSite-UPS]],Table1[[#All],[Company or Name]:[FromSite3]],14,FALSE),"")</f>
        <v>0.66666666666666663</v>
      </c>
      <c r="M304" s="13" t="s">
        <v>1011</v>
      </c>
      <c r="N304" s="20" t="s">
        <v>134</v>
      </c>
      <c r="O304" s="20" t="s">
        <v>1771</v>
      </c>
      <c r="P304" s="65"/>
      <c r="Q304" s="65"/>
      <c r="R304" s="20"/>
      <c r="S304" s="20" t="s">
        <v>125</v>
      </c>
      <c r="T304" s="20" t="s">
        <v>856</v>
      </c>
      <c r="U304" s="20"/>
      <c r="V304" s="20"/>
      <c r="W304" s="20" t="str">
        <f>TEXT(Table4[[#This Row],[Confirmed Sampling Date]], "yyyy") &amp; "_" &amp; TEXT(Table4[[#This Row],[Confirmed Sampling Date]], "mm") &amp; "_" &amp; TEXT(Table4[[#This Row],[Confirmed Sampling Date]], "dd")</f>
        <v>2025_10_21</v>
      </c>
      <c r="X304" s="20" t="str">
        <f t="shared" si="4"/>
        <v>Cluj-MNC</v>
      </c>
      <c r="Y304" s="20" t="str">
        <f>VLOOKUP(Table4[[#This Row],[FromSite-UPS]],Table1[[Company or Name]:[NOTES]],2,FALSE)</f>
        <v>Romania</v>
      </c>
      <c r="Z304" s="20">
        <f>IFERROR(WEEKNUM(Table4[[#This Row],[Confirmed Sampling Date]] - 10, 21), "TBD")</f>
        <v>41</v>
      </c>
      <c r="AA304" s="20" t="str">
        <f>_xlfn.XLOOKUP(Table4[[#This Row],[FromSite-UPS]],sites!D:D,sites!W:W,"",0)</f>
        <v>Strada Tăbăcarilor 11, Cluj-Napoca, 400139, Romania</v>
      </c>
      <c r="AB304" s="20" t="str">
        <f>_xlfn.XLOOKUP(Table4[[#This Row],[ToLab]],labs!D:D,labs!P:P,"no adres",0)</f>
        <v>Av. Rovisco Pais 1, Laboratorio de Analises de Agua, Lisbon, 1049-001, Portugal</v>
      </c>
      <c r="AC304" s="20">
        <f>_xlfn.XLOOKUP(Table4[[#This Row],[combi]],AREA!E:E,AREA!F:F,"",0)</f>
        <v>89</v>
      </c>
      <c r="AD304" s="20" t="str">
        <f>_xlfn.XLOOKUP(Table4[[#This Row],[combi]],AREA!E:E,AREA!G:G,"",0)</f>
        <v>Pick-up service of hypothetic package as defined in the Tech. Specs. and delivery to lots
2 and 3 contractors according to Scenario 1</v>
      </c>
      <c r="AE304" s="20" t="s">
        <v>125</v>
      </c>
      <c r="AF304" s="20" t="str">
        <f>_xlfn.XLOOKUP(Table4[[#This Row],[FromSite-UPS]],sites!D:D,sites!AB:AB,"",0)&amp;_xlfn.XLOOKUP(Table4[[#This Row],[ToLab]],labs!D:D,labs!Q:Q,"",0)</f>
        <v>EUEU</v>
      </c>
    </row>
    <row r="305" spans="2:32" ht="15.6" hidden="1" customHeight="1" x14ac:dyDescent="0.25">
      <c r="B305" s="13">
        <v>514</v>
      </c>
      <c r="C305" s="14" t="s">
        <v>53</v>
      </c>
      <c r="D305" s="13">
        <v>1</v>
      </c>
      <c r="E305" s="83">
        <v>45937</v>
      </c>
      <c r="F305" s="83">
        <v>45937</v>
      </c>
      <c r="G305" s="20">
        <f>IFERROR(WEEKNUM(Table4[[#This Row],[Confirmed Pick-up Date]]),"TBD")</f>
        <v>41</v>
      </c>
      <c r="H305" s="20" t="str">
        <f>IFERROR(TEXT(Table4[[#This Row],[Confirmed Pick-up Date]],"yy-mm"),"TBD")</f>
        <v>25-10</v>
      </c>
      <c r="I305" s="78" t="s">
        <v>1125</v>
      </c>
      <c r="J305" s="20" t="str">
        <f>IFERROR(VLOOKUP(Table4[[#This Row],[FromSite-UPS]],Table1[[#All],[Company or Name]:[FromSite3]],15,FALSE),"")</f>
        <v>Cluj-SCBI</v>
      </c>
      <c r="K305" s="20" t="str">
        <f>IFERROR(VLOOKUP(Table4[[#This Row],[FromSite-UPS]],Table1[[#All],[Company or Name]:[FromSite3]],16,FALSE),"")</f>
        <v>-</v>
      </c>
      <c r="L305" s="20">
        <f>IFERROR(VLOOKUP(Table4[[#This Row],[FromSite-UPS]],Table1[[#All],[Company or Name]:[FromSite3]],14,FALSE),"")</f>
        <v>0.66666666666666663</v>
      </c>
      <c r="M305" s="13" t="s">
        <v>1011</v>
      </c>
      <c r="N305" s="20" t="s">
        <v>813</v>
      </c>
      <c r="O305" s="20" t="s">
        <v>1679</v>
      </c>
      <c r="P305" s="20" t="s">
        <v>134</v>
      </c>
      <c r="Q305" s="100" t="s">
        <v>1838</v>
      </c>
      <c r="R305" s="20" t="s">
        <v>1725</v>
      </c>
      <c r="S305" s="20" t="s">
        <v>125</v>
      </c>
      <c r="T305" s="20" t="s">
        <v>856</v>
      </c>
      <c r="U305" s="20"/>
      <c r="V305" s="20"/>
      <c r="W305" s="20" t="str">
        <f>TEXT(Table4[[#This Row],[Confirmed Sampling Date]], "yyyy") &amp; "_" &amp; TEXT(Table4[[#This Row],[Confirmed Sampling Date]], "mm") &amp; "_" &amp; TEXT(Table4[[#This Row],[Confirmed Sampling Date]], "dd")</f>
        <v>2025_10_07</v>
      </c>
      <c r="X305" s="20" t="str">
        <f t="shared" si="4"/>
        <v>Cluj-SCBI</v>
      </c>
      <c r="Y305" s="20" t="str">
        <f>VLOOKUP(Table4[[#This Row],[FromSite-UPS]],Table1[[Company or Name]:[NOTES]],2,FALSE)</f>
        <v>Romania</v>
      </c>
      <c r="Z305" s="20">
        <f>IFERROR(WEEKNUM(Table4[[#This Row],[Confirmed Sampling Date]] - 10, 21), "TBD")</f>
        <v>39</v>
      </c>
      <c r="AA305" s="20" t="str">
        <f>_xlfn.XLOOKUP(Table4[[#This Row],[FromSite-UPS]],sites!D:D,sites!W:W,"",0)</f>
        <v>Strada Iuliu Moldovan 23, Cluj-Napoca, 400003, Romania</v>
      </c>
      <c r="AB305" s="20" t="str">
        <f>_xlfn.XLOOKUP(Table4[[#This Row],[ToLab]],labs!D:D,labs!P:P,"no adres",0)</f>
        <v>Av. Rovisco Pais 1, Laboratorio de Analises de Agua, Lisbon, 1049-001, Portugal</v>
      </c>
      <c r="AC305" s="20">
        <f>_xlfn.XLOOKUP(Table4[[#This Row],[combi]],AREA!E:E,AREA!F:F,"",0)</f>
        <v>89</v>
      </c>
      <c r="AD305" s="20" t="str">
        <f>_xlfn.XLOOKUP(Table4[[#This Row],[combi]],AREA!E:E,AREA!G:G,"",0)</f>
        <v>Pick-up service of hypothetic package as defined in the Tech. Specs. and delivery to lots
2 and 3 contractors according to Scenario 1</v>
      </c>
      <c r="AE305" s="20" t="s">
        <v>125</v>
      </c>
      <c r="AF305" s="20" t="str">
        <f>_xlfn.XLOOKUP(Table4[[#This Row],[FromSite-UPS]],sites!D:D,sites!AB:AB,"",0)&amp;_xlfn.XLOOKUP(Table4[[#This Row],[ToLab]],labs!D:D,labs!Q:Q,"",0)</f>
        <v>EUEU</v>
      </c>
    </row>
    <row r="306" spans="2:32" ht="15.6" customHeight="1" x14ac:dyDescent="0.25">
      <c r="B306" s="13">
        <v>515</v>
      </c>
      <c r="C306" s="14" t="s">
        <v>53</v>
      </c>
      <c r="D306" s="13">
        <v>1</v>
      </c>
      <c r="E306" s="79">
        <v>45951</v>
      </c>
      <c r="F306" s="80">
        <v>45951</v>
      </c>
      <c r="G306" s="13">
        <f>IFERROR(WEEKNUM(Table4[[#This Row],[Confirmed Pick-up Date]]),"TBD")</f>
        <v>43</v>
      </c>
      <c r="H306" s="13" t="str">
        <f>IFERROR(TEXT(Table4[[#This Row],[Confirmed Pick-up Date]],"yy-mm"),"TBD")</f>
        <v>25-10</v>
      </c>
      <c r="I306" s="78" t="s">
        <v>1125</v>
      </c>
      <c r="J306" s="20" t="str">
        <f>IFERROR(VLOOKUP(Table4[[#This Row],[FromSite-UPS]],Table1[[#All],[Company or Name]:[FromSite3]],15,FALSE),"")</f>
        <v>Cluj-SCBI</v>
      </c>
      <c r="K306" s="20" t="str">
        <f>IFERROR(VLOOKUP(Table4[[#This Row],[FromSite-UPS]],Table1[[#All],[Company or Name]:[FromSite3]],16,FALSE),"")</f>
        <v>-</v>
      </c>
      <c r="L306" s="20">
        <f>IFERROR(VLOOKUP(Table4[[#This Row],[FromSite-UPS]],Table1[[#All],[Company or Name]:[FromSite3]],14,FALSE),"")</f>
        <v>0.66666666666666663</v>
      </c>
      <c r="M306" s="13" t="s">
        <v>1011</v>
      </c>
      <c r="N306" s="20" t="s">
        <v>134</v>
      </c>
      <c r="O306" s="20" t="s">
        <v>1768</v>
      </c>
      <c r="P306" s="20"/>
      <c r="Q306" s="20"/>
      <c r="R306" s="20"/>
      <c r="S306" s="20" t="s">
        <v>125</v>
      </c>
      <c r="T306" s="20" t="s">
        <v>856</v>
      </c>
      <c r="U306" s="20"/>
      <c r="V306" s="20"/>
      <c r="W306" s="20" t="str">
        <f>TEXT(Table4[[#This Row],[Confirmed Sampling Date]], "yyyy") &amp; "_" &amp; TEXT(Table4[[#This Row],[Confirmed Sampling Date]], "mm") &amp; "_" &amp; TEXT(Table4[[#This Row],[Confirmed Sampling Date]], "dd")</f>
        <v>2025_10_21</v>
      </c>
      <c r="X306" s="20" t="str">
        <f t="shared" si="4"/>
        <v>Cluj-SCBI</v>
      </c>
      <c r="Y306" s="20" t="str">
        <f>VLOOKUP(Table4[[#This Row],[FromSite-UPS]],Table1[[Company or Name]:[NOTES]],2,FALSE)</f>
        <v>Romania</v>
      </c>
      <c r="Z306" s="20">
        <f>IFERROR(WEEKNUM(Table4[[#This Row],[Confirmed Sampling Date]] - 10, 21), "TBD")</f>
        <v>41</v>
      </c>
      <c r="AA306" s="20" t="str">
        <f>_xlfn.XLOOKUP(Table4[[#This Row],[FromSite-UPS]],sites!D:D,sites!W:W,"",0)</f>
        <v>Strada Iuliu Moldovan 23, Cluj-Napoca, 400003, Romania</v>
      </c>
      <c r="AB306" s="20" t="str">
        <f>_xlfn.XLOOKUP(Table4[[#This Row],[ToLab]],labs!D:D,labs!P:P,"no adres",0)</f>
        <v>Av. Rovisco Pais 1, Laboratorio de Analises de Agua, Lisbon, 1049-001, Portugal</v>
      </c>
      <c r="AC306" s="20">
        <f>_xlfn.XLOOKUP(Table4[[#This Row],[combi]],AREA!E:E,AREA!F:F,"",0)</f>
        <v>89</v>
      </c>
      <c r="AD306" s="20" t="str">
        <f>_xlfn.XLOOKUP(Table4[[#This Row],[combi]],AREA!E:E,AREA!G:G,"",0)</f>
        <v>Pick-up service of hypothetic package as defined in the Tech. Specs. and delivery to lots
2 and 3 contractors according to Scenario 1</v>
      </c>
      <c r="AE306" s="20" t="s">
        <v>125</v>
      </c>
      <c r="AF306" s="20" t="str">
        <f>_xlfn.XLOOKUP(Table4[[#This Row],[FromSite-UPS]],sites!D:D,sites!AB:AB,"",0)&amp;_xlfn.XLOOKUP(Table4[[#This Row],[ToLab]],labs!D:D,labs!Q:Q,"",0)</f>
        <v>EUEU</v>
      </c>
    </row>
    <row r="307" spans="2:32" ht="15.6" hidden="1" customHeight="1" x14ac:dyDescent="0.25">
      <c r="B307" s="13">
        <v>245</v>
      </c>
      <c r="C307" s="14" t="s">
        <v>53</v>
      </c>
      <c r="D307" s="13">
        <v>1</v>
      </c>
      <c r="E307" s="22">
        <v>45937</v>
      </c>
      <c r="F307" s="22">
        <v>45937</v>
      </c>
      <c r="G307" s="20">
        <f>IFERROR(WEEKNUM(Table4[[#This Row],[Confirmed Pick-up Date]]),"TBD")</f>
        <v>41</v>
      </c>
      <c r="H307" s="20" t="str">
        <f>IFERROR(TEXT(Table4[[#This Row],[Confirmed Pick-up Date]],"yy-mm"),"TBD")</f>
        <v>25-10</v>
      </c>
      <c r="I307" s="64" t="s">
        <v>863</v>
      </c>
      <c r="J307" s="20" t="str">
        <f>IFERROR(VLOOKUP(Table4[[#This Row],[FromSite-UPS]],Table1[[#All],[Company or Name]:[FromSite3]],15,FALSE),"")</f>
        <v>Dusseldorf WWTP 2101</v>
      </c>
      <c r="K307" s="20" t="str">
        <f>IFERROR(VLOOKUP(Table4[[#This Row],[FromSite-UPS]],Table1[[#All],[Company or Name]:[FromSite3]],16,FALSE),"")</f>
        <v>Dusseldorf WWTP 601</v>
      </c>
      <c r="L307" s="20">
        <f>IFERROR(VLOOKUP(Table4[[#This Row],[FromSite-UPS]],Table1[[#All],[Company or Name]:[FromSite3]],14,FALSE),"")</f>
        <v>0.625</v>
      </c>
      <c r="M307" s="13" t="s">
        <v>1011</v>
      </c>
      <c r="N307" s="20" t="s">
        <v>813</v>
      </c>
      <c r="O307" s="20" t="s">
        <v>1677</v>
      </c>
      <c r="P307" s="20" t="s">
        <v>134</v>
      </c>
      <c r="Q307" s="100" t="s">
        <v>1837</v>
      </c>
      <c r="R307" s="20"/>
      <c r="S307" s="20" t="s">
        <v>125</v>
      </c>
      <c r="T307" s="20" t="s">
        <v>856</v>
      </c>
      <c r="U307" s="20"/>
      <c r="V307" s="20"/>
      <c r="W307" s="20" t="str">
        <f>TEXT(Table4[[#This Row],[Confirmed Sampling Date]], "yyyy") &amp; "_" &amp; TEXT(Table4[[#This Row],[Confirmed Sampling Date]], "mm") &amp; "_" &amp; TEXT(Table4[[#This Row],[Confirmed Sampling Date]], "dd")</f>
        <v>2025_10_07</v>
      </c>
      <c r="X307" s="20" t="str">
        <f t="shared" si="4"/>
        <v>Dusseldorf</v>
      </c>
      <c r="Y307" s="20" t="str">
        <f>VLOOKUP(Table4[[#This Row],[FromSite-UPS]],Table1[[Company or Name]:[NOTES]],2,FALSE)</f>
        <v>Germany</v>
      </c>
      <c r="Z307" s="20">
        <f>IFERROR(WEEKNUM(Table4[[#This Row],[Confirmed Sampling Date]] - 10, 21), "TBD")</f>
        <v>39</v>
      </c>
      <c r="AA307" s="20" t="str">
        <f>_xlfn.XLOOKUP(Table4[[#This Row],[FromSite-UPS]],sites!D:D,sites!W:W,"",0)</f>
        <v>Auf dem Draap 15, Chemisch-Biologische Laboratorien, Dusseldorf, 40221, Germany</v>
      </c>
      <c r="AB307" s="20" t="str">
        <f>_xlfn.XLOOKUP(Table4[[#This Row],[ToLab]],labs!D:D,labs!P:P,"no adres",0)</f>
        <v>Av. Rovisco Pais 1, Laboratorio de Analises de Agua, Lisbon, 1049-001, Portugal</v>
      </c>
      <c r="AC307" s="20">
        <f>_xlfn.XLOOKUP(Table4[[#This Row],[combi]],AREA!E:E,AREA!F:F,"",0)</f>
        <v>89</v>
      </c>
      <c r="AD307" s="20" t="str">
        <f>_xlfn.XLOOKUP(Table4[[#This Row],[combi]],AREA!E:E,AREA!G:G,"",0)</f>
        <v>Pick-up service of hypothetic package as defined in the Tech. Specs. and delivery to lots
2 and 3 contractors according to Scenario 1</v>
      </c>
      <c r="AE307" s="20" t="s">
        <v>125</v>
      </c>
      <c r="AF307" s="20" t="str">
        <f>_xlfn.XLOOKUP(Table4[[#This Row],[FromSite-UPS]],sites!D:D,sites!AB:AB,"",0)&amp;_xlfn.XLOOKUP(Table4[[#This Row],[ToLab]],labs!D:D,labs!Q:Q,"",0)</f>
        <v>EUEU</v>
      </c>
    </row>
    <row r="308" spans="2:32" ht="15.6" hidden="1" customHeight="1" x14ac:dyDescent="0.25">
      <c r="B308" s="13">
        <v>257</v>
      </c>
      <c r="C308" s="14" t="s">
        <v>53</v>
      </c>
      <c r="D308" s="13">
        <v>1</v>
      </c>
      <c r="E308" s="84">
        <v>45937</v>
      </c>
      <c r="F308" s="84">
        <v>45937</v>
      </c>
      <c r="G308" s="20">
        <f>IFERROR(WEEKNUM(Table4[[#This Row],[Confirmed Pick-up Date]]),"TBD")</f>
        <v>41</v>
      </c>
      <c r="H308" s="20" t="str">
        <f>IFERROR(TEXT(Table4[[#This Row],[Confirmed Pick-up Date]],"yy-mm"),"TBD")</f>
        <v>25-10</v>
      </c>
      <c r="I308" s="66" t="s">
        <v>863</v>
      </c>
      <c r="J308" s="20" t="str">
        <f>IFERROR(VLOOKUP(Table4[[#This Row],[FromSite-UPS]],Table1[[#All],[Company or Name]:[FromSite3]],15,FALSE),"")</f>
        <v>Dusseldorf WWTP 2101</v>
      </c>
      <c r="K308" s="20" t="str">
        <f>IFERROR(VLOOKUP(Table4[[#This Row],[FromSite-UPS]],Table1[[#All],[Company or Name]:[FromSite3]],16,FALSE),"")</f>
        <v>Dusseldorf WWTP 601</v>
      </c>
      <c r="L308" s="20">
        <f>IFERROR(VLOOKUP(Table4[[#This Row],[FromSite-UPS]],Table1[[#All],[Company or Name]:[FromSite3]],14,FALSE),"")</f>
        <v>0.625</v>
      </c>
      <c r="M308" s="13" t="s">
        <v>1011</v>
      </c>
      <c r="N308" s="20" t="s">
        <v>813</v>
      </c>
      <c r="O308" s="20" t="s">
        <v>1678</v>
      </c>
      <c r="P308" s="20" t="s">
        <v>134</v>
      </c>
      <c r="Q308" s="64" t="s">
        <v>1837</v>
      </c>
      <c r="R308" s="20"/>
      <c r="S308" s="20" t="s">
        <v>125</v>
      </c>
      <c r="T308" s="20" t="s">
        <v>856</v>
      </c>
      <c r="U308" s="20"/>
      <c r="V308" s="20"/>
      <c r="W308" s="20" t="str">
        <f>TEXT(Table4[[#This Row],[Confirmed Sampling Date]], "yyyy") &amp; "_" &amp; TEXT(Table4[[#This Row],[Confirmed Sampling Date]], "mm") &amp; "_" &amp; TEXT(Table4[[#This Row],[Confirmed Sampling Date]], "dd")</f>
        <v>2025_10_07</v>
      </c>
      <c r="X308" s="20" t="str">
        <f t="shared" si="4"/>
        <v>Dusseldorf</v>
      </c>
      <c r="Y308" s="20" t="str">
        <f>VLOOKUP(Table4[[#This Row],[FromSite-UPS]],Table1[[Company or Name]:[NOTES]],2,FALSE)</f>
        <v>Germany</v>
      </c>
      <c r="Z308" s="20">
        <f>IFERROR(WEEKNUM(Table4[[#This Row],[Confirmed Sampling Date]] - 10, 21), "TBD")</f>
        <v>39</v>
      </c>
      <c r="AA308" s="20" t="str">
        <f>_xlfn.XLOOKUP(Table4[[#This Row],[FromSite-UPS]],sites!D:D,sites!W:W,"",0)</f>
        <v>Auf dem Draap 15, Chemisch-Biologische Laboratorien, Dusseldorf, 40221, Germany</v>
      </c>
      <c r="AB308" s="20" t="str">
        <f>_xlfn.XLOOKUP(Table4[[#This Row],[ToLab]],labs!D:D,labs!P:P,"no adres",0)</f>
        <v>Av. Rovisco Pais 1, Laboratorio de Analises de Agua, Lisbon, 1049-001, Portugal</v>
      </c>
      <c r="AC308" s="20">
        <f>_xlfn.XLOOKUP(Table4[[#This Row],[combi]],AREA!E:E,AREA!F:F,"",0)</f>
        <v>89</v>
      </c>
      <c r="AD308" s="20" t="str">
        <f>_xlfn.XLOOKUP(Table4[[#This Row],[combi]],AREA!E:E,AREA!G:G,"",0)</f>
        <v>Pick-up service of hypothetic package as defined in the Tech. Specs. and delivery to lots
2 and 3 contractors according to Scenario 1</v>
      </c>
      <c r="AE308" s="20" t="s">
        <v>125</v>
      </c>
      <c r="AF308" s="20" t="str">
        <f>_xlfn.XLOOKUP(Table4[[#This Row],[FromSite-UPS]],sites!D:D,sites!AB:AB,"",0)&amp;_xlfn.XLOOKUP(Table4[[#This Row],[ToLab]],labs!D:D,labs!Q:Q,"",0)</f>
        <v>EUEU</v>
      </c>
    </row>
    <row r="309" spans="2:32" ht="15.6" customHeight="1" x14ac:dyDescent="0.25">
      <c r="B309" s="13">
        <v>246</v>
      </c>
      <c r="C309" s="14" t="s">
        <v>53</v>
      </c>
      <c r="D309" s="13">
        <v>1</v>
      </c>
      <c r="E309" s="79">
        <v>45951</v>
      </c>
      <c r="F309" s="80">
        <v>45951</v>
      </c>
      <c r="G309" s="13">
        <f>IFERROR(WEEKNUM(Table4[[#This Row],[Confirmed Pick-up Date]]),"TBD")</f>
        <v>43</v>
      </c>
      <c r="H309" s="13" t="str">
        <f>IFERROR(TEXT(Table4[[#This Row],[Confirmed Pick-up Date]],"yy-mm"),"TBD")</f>
        <v>25-10</v>
      </c>
      <c r="I309" s="64" t="s">
        <v>863</v>
      </c>
      <c r="J309" s="20" t="str">
        <f>IFERROR(VLOOKUP(Table4[[#This Row],[FromSite-UPS]],Table1[[#All],[Company or Name]:[FromSite3]],15,FALSE),"")</f>
        <v>Dusseldorf WWTP 2101</v>
      </c>
      <c r="K309" s="20" t="str">
        <f>IFERROR(VLOOKUP(Table4[[#This Row],[FromSite-UPS]],Table1[[#All],[Company or Name]:[FromSite3]],16,FALSE),"")</f>
        <v>Dusseldorf WWTP 601</v>
      </c>
      <c r="L309" s="20">
        <f>IFERROR(VLOOKUP(Table4[[#This Row],[FromSite-UPS]],Table1[[#All],[Company or Name]:[FromSite3]],14,FALSE),"")</f>
        <v>0.625</v>
      </c>
      <c r="M309" s="13" t="s">
        <v>1011</v>
      </c>
      <c r="N309" s="20" t="s">
        <v>134</v>
      </c>
      <c r="O309" s="20" t="s">
        <v>1769</v>
      </c>
      <c r="P309" s="65"/>
      <c r="Q309" s="65"/>
      <c r="R309" s="20"/>
      <c r="S309" s="20" t="s">
        <v>125</v>
      </c>
      <c r="T309" s="20" t="s">
        <v>856</v>
      </c>
      <c r="U309" s="20"/>
      <c r="V309" s="20"/>
      <c r="W309" s="20" t="str">
        <f>TEXT(Table4[[#This Row],[Confirmed Sampling Date]], "yyyy") &amp; "_" &amp; TEXT(Table4[[#This Row],[Confirmed Sampling Date]], "mm") &amp; "_" &amp; TEXT(Table4[[#This Row],[Confirmed Sampling Date]], "dd")</f>
        <v>2025_10_21</v>
      </c>
      <c r="X309" s="20" t="str">
        <f t="shared" si="4"/>
        <v>Dusseldorf</v>
      </c>
      <c r="Y309" s="20" t="str">
        <f>VLOOKUP(Table4[[#This Row],[FromSite-UPS]],Table1[[Company or Name]:[NOTES]],2,FALSE)</f>
        <v>Germany</v>
      </c>
      <c r="Z309" s="20">
        <f>IFERROR(WEEKNUM(Table4[[#This Row],[Confirmed Sampling Date]] - 10, 21), "TBD")</f>
        <v>41</v>
      </c>
      <c r="AA309" s="20" t="str">
        <f>_xlfn.XLOOKUP(Table4[[#This Row],[FromSite-UPS]],sites!D:D,sites!W:W,"",0)</f>
        <v>Auf dem Draap 15, Chemisch-Biologische Laboratorien, Dusseldorf, 40221, Germany</v>
      </c>
      <c r="AB309" s="20" t="str">
        <f>_xlfn.XLOOKUP(Table4[[#This Row],[ToLab]],labs!D:D,labs!P:P,"no adres",0)</f>
        <v>Av. Rovisco Pais 1, Laboratorio de Analises de Agua, Lisbon, 1049-001, Portugal</v>
      </c>
      <c r="AC309" s="20">
        <f>_xlfn.XLOOKUP(Table4[[#This Row],[combi]],AREA!E:E,AREA!F:F,"",0)</f>
        <v>89</v>
      </c>
      <c r="AD309" s="20" t="str">
        <f>_xlfn.XLOOKUP(Table4[[#This Row],[combi]],AREA!E:E,AREA!G:G,"",0)</f>
        <v>Pick-up service of hypothetic package as defined in the Tech. Specs. and delivery to lots
2 and 3 contractors according to Scenario 1</v>
      </c>
      <c r="AE309" s="20" t="s">
        <v>125</v>
      </c>
      <c r="AF309" s="20" t="str">
        <f>_xlfn.XLOOKUP(Table4[[#This Row],[FromSite-UPS]],sites!D:D,sites!AB:AB,"",0)&amp;_xlfn.XLOOKUP(Table4[[#This Row],[ToLab]],labs!D:D,labs!Q:Q,"",0)</f>
        <v>EUEU</v>
      </c>
    </row>
    <row r="310" spans="2:32" ht="15.6" customHeight="1" x14ac:dyDescent="0.25">
      <c r="B310" s="13">
        <v>258</v>
      </c>
      <c r="C310" s="14" t="s">
        <v>53</v>
      </c>
      <c r="D310" s="13">
        <v>1</v>
      </c>
      <c r="E310" s="79">
        <v>45951</v>
      </c>
      <c r="F310" s="81">
        <v>45951</v>
      </c>
      <c r="G310" s="13">
        <f>IFERROR(WEEKNUM(Table4[[#This Row],[Confirmed Pick-up Date]]),"TBD")</f>
        <v>43</v>
      </c>
      <c r="H310" s="13" t="str">
        <f>IFERROR(TEXT(Table4[[#This Row],[Confirmed Pick-up Date]],"yy-mm"),"TBD")</f>
        <v>25-10</v>
      </c>
      <c r="I310" s="67" t="s">
        <v>863</v>
      </c>
      <c r="J310" s="20" t="str">
        <f>IFERROR(VLOOKUP(Table4[[#This Row],[FromSite-UPS]],Table1[[#All],[Company or Name]:[FromSite3]],15,FALSE),"")</f>
        <v>Dusseldorf WWTP 2101</v>
      </c>
      <c r="K310" s="20" t="str">
        <f>IFERROR(VLOOKUP(Table4[[#This Row],[FromSite-UPS]],Table1[[#All],[Company or Name]:[FromSite3]],16,FALSE),"")</f>
        <v>Dusseldorf WWTP 601</v>
      </c>
      <c r="L310" s="20">
        <f>IFERROR(VLOOKUP(Table4[[#This Row],[FromSite-UPS]],Table1[[#All],[Company or Name]:[FromSite3]],14,FALSE),"")</f>
        <v>0.625</v>
      </c>
      <c r="M310" s="13" t="s">
        <v>1011</v>
      </c>
      <c r="N310" s="20" t="s">
        <v>134</v>
      </c>
      <c r="O310" s="20" t="s">
        <v>1770</v>
      </c>
      <c r="P310" s="65"/>
      <c r="Q310" s="65"/>
      <c r="R310" s="20"/>
      <c r="S310" s="20" t="s">
        <v>125</v>
      </c>
      <c r="T310" s="20" t="s">
        <v>856</v>
      </c>
      <c r="U310" s="20"/>
      <c r="V310" s="20"/>
      <c r="W310" s="20" t="str">
        <f>TEXT(Table4[[#This Row],[Confirmed Sampling Date]], "yyyy") &amp; "_" &amp; TEXT(Table4[[#This Row],[Confirmed Sampling Date]], "mm") &amp; "_" &amp; TEXT(Table4[[#This Row],[Confirmed Sampling Date]], "dd")</f>
        <v>2025_10_21</v>
      </c>
      <c r="X310" s="20" t="str">
        <f t="shared" si="4"/>
        <v>Dusseldorf</v>
      </c>
      <c r="Y310" s="20" t="str">
        <f>VLOOKUP(Table4[[#This Row],[FromSite-UPS]],Table1[[Company or Name]:[NOTES]],2,FALSE)</f>
        <v>Germany</v>
      </c>
      <c r="Z310" s="20">
        <f>IFERROR(WEEKNUM(Table4[[#This Row],[Confirmed Sampling Date]] - 10, 21), "TBD")</f>
        <v>41</v>
      </c>
      <c r="AA310" s="20" t="str">
        <f>_xlfn.XLOOKUP(Table4[[#This Row],[FromSite-UPS]],sites!D:D,sites!W:W,"",0)</f>
        <v>Auf dem Draap 15, Chemisch-Biologische Laboratorien, Dusseldorf, 40221, Germany</v>
      </c>
      <c r="AB310" s="20" t="str">
        <f>_xlfn.XLOOKUP(Table4[[#This Row],[ToLab]],labs!D:D,labs!P:P,"no adres",0)</f>
        <v>Av. Rovisco Pais 1, Laboratorio de Analises de Agua, Lisbon, 1049-001, Portugal</v>
      </c>
      <c r="AC310" s="20">
        <f>_xlfn.XLOOKUP(Table4[[#This Row],[combi]],AREA!E:E,AREA!F:F,"",0)</f>
        <v>89</v>
      </c>
      <c r="AD310" s="20" t="str">
        <f>_xlfn.XLOOKUP(Table4[[#This Row],[combi]],AREA!E:E,AREA!G:G,"",0)</f>
        <v>Pick-up service of hypothetic package as defined in the Tech. Specs. and delivery to lots
2 and 3 contractors according to Scenario 1</v>
      </c>
      <c r="AE310" s="20" t="s">
        <v>125</v>
      </c>
      <c r="AF310" s="20" t="str">
        <f>_xlfn.XLOOKUP(Table4[[#This Row],[FromSite-UPS]],sites!D:D,sites!AB:AB,"",0)&amp;_xlfn.XLOOKUP(Table4[[#This Row],[ToLab]],labs!D:D,labs!Q:Q,"",0)</f>
        <v>EUEU</v>
      </c>
    </row>
    <row r="311" spans="2:32" ht="15.6" hidden="1" customHeight="1" x14ac:dyDescent="0.25">
      <c r="B311" s="13">
        <v>43</v>
      </c>
      <c r="C311" s="14" t="s">
        <v>53</v>
      </c>
      <c r="D311" s="13">
        <v>1</v>
      </c>
      <c r="E311" s="22">
        <v>45937</v>
      </c>
      <c r="F311" s="22">
        <v>45938</v>
      </c>
      <c r="G311" s="20">
        <f>IFERROR(WEEKNUM(Table4[[#This Row],[Confirmed Pick-up Date]]),"TBD")</f>
        <v>41</v>
      </c>
      <c r="H311" s="20" t="str">
        <f>IFERROR(TEXT(Table4[[#This Row],[Confirmed Pick-up Date]],"yy-mm"),"TBD")</f>
        <v>25-10</v>
      </c>
      <c r="I311" s="13" t="s">
        <v>677</v>
      </c>
      <c r="J311" s="13" t="str">
        <f>IFERROR(VLOOKUP(Table4[[#This Row],[FromSite-UPS]],Table1[[#All],[Company or Name]:[FromSite3]],15,FALSE),"")</f>
        <v>Frankfurt WWTP</v>
      </c>
      <c r="K311" s="20" t="str">
        <f>IFERROR(VLOOKUP(Table4[[#This Row],[FromSite-UPS]],Table1[[#All],[Company or Name]:[FromSite3]],16,FALSE),"")</f>
        <v>Frankfurt Airport</v>
      </c>
      <c r="L311" s="20">
        <f>IFERROR(VLOOKUP(Table4[[#This Row],[FromSite-UPS]],Table1[[#All],[Company or Name]:[FromSite3]],14,FALSE),"")</f>
        <v>0.58333333333333337</v>
      </c>
      <c r="M311" s="13" t="s">
        <v>1011</v>
      </c>
      <c r="N311" s="20" t="s">
        <v>813</v>
      </c>
      <c r="O311" s="13" t="s">
        <v>1685</v>
      </c>
      <c r="P311" s="13" t="s">
        <v>134</v>
      </c>
      <c r="Q311" s="37" t="s">
        <v>1850</v>
      </c>
      <c r="R311" s="20" t="s">
        <v>1724</v>
      </c>
      <c r="S311" s="20" t="s">
        <v>125</v>
      </c>
      <c r="T311" s="20" t="s">
        <v>856</v>
      </c>
      <c r="U311" s="20"/>
      <c r="V311" s="20"/>
      <c r="W311" s="20" t="str">
        <f>TEXT(Table4[[#This Row],[Confirmed Sampling Date]], "yyyy") &amp; "_" &amp; TEXT(Table4[[#This Row],[Confirmed Sampling Date]], "mm") &amp; "_" &amp; TEXT(Table4[[#This Row],[Confirmed Sampling Date]], "dd")</f>
        <v>2025_10_07</v>
      </c>
      <c r="X311" s="20" t="str">
        <f t="shared" si="4"/>
        <v>Frankfurt</v>
      </c>
      <c r="Y311" s="20" t="str">
        <f>VLOOKUP(Table4[[#This Row],[FromSite-UPS]],Table1[[Company or Name]:[NOTES]],2,FALSE)</f>
        <v>Germany</v>
      </c>
      <c r="Z311" s="20">
        <f>IFERROR(WEEKNUM(Table4[[#This Row],[Confirmed Sampling Date]] - 10, 21), "TBD")</f>
        <v>39</v>
      </c>
      <c r="AA311" s="20" t="str">
        <f>_xlfn.XLOOKUP(Table4[[#This Row],[FromSite-UPS]],sites!D:D,sites!W:W,"",0)</f>
        <v>Goldsteinstraße 160, Gebäude 71 , Frankfurt am Main , 60528, Germany</v>
      </c>
      <c r="AB311" s="20" t="str">
        <f>_xlfn.XLOOKUP(Table4[[#This Row],[ToLab]],labs!D:D,labs!P:P,"no adres",0)</f>
        <v>Av. Rovisco Pais 1, Laboratorio de Analises de Agua, Lisbon, 1049-001, Portugal</v>
      </c>
      <c r="AC311" s="20">
        <f>_xlfn.XLOOKUP(Table4[[#This Row],[combi]],AREA!E:E,AREA!F:F,"",0)</f>
        <v>89</v>
      </c>
      <c r="AD311" s="20" t="str">
        <f>_xlfn.XLOOKUP(Table4[[#This Row],[combi]],AREA!E:E,AREA!G:G,"",0)</f>
        <v>Pick-up service of hypothetic package as defined in the Tech. Specs. and delivery to lots
2 and 3 contractors according to Scenario 1</v>
      </c>
      <c r="AE311" s="20" t="s">
        <v>125</v>
      </c>
      <c r="AF311" s="20" t="str">
        <f>_xlfn.XLOOKUP(Table4[[#This Row],[FromSite-UPS]],sites!D:D,sites!AB:AB,"",0)&amp;_xlfn.XLOOKUP(Table4[[#This Row],[ToLab]],labs!D:D,labs!Q:Q,"",0)</f>
        <v>EUEU</v>
      </c>
    </row>
    <row r="312" spans="2:32" ht="15.6" customHeight="1" x14ac:dyDescent="0.25">
      <c r="B312" s="13">
        <v>44</v>
      </c>
      <c r="C312" s="14" t="s">
        <v>53</v>
      </c>
      <c r="D312" s="13">
        <v>1</v>
      </c>
      <c r="E312" s="79">
        <v>45951</v>
      </c>
      <c r="F312" s="80">
        <v>45952</v>
      </c>
      <c r="G312" s="13">
        <f>IFERROR(WEEKNUM(Table4[[#This Row],[Confirmed Pick-up Date]]),"TBD")</f>
        <v>43</v>
      </c>
      <c r="H312" s="13" t="str">
        <f>IFERROR(TEXT(Table4[[#This Row],[Confirmed Pick-up Date]],"yy-mm"),"TBD")</f>
        <v>25-10</v>
      </c>
      <c r="I312" s="64" t="s">
        <v>677</v>
      </c>
      <c r="J312" s="13" t="str">
        <f>IFERROR(VLOOKUP(Table4[[#This Row],[FromSite-UPS]],Table1[[#All],[Company or Name]:[FromSite3]],15,FALSE),"")</f>
        <v>Frankfurt WWTP</v>
      </c>
      <c r="K312" s="20" t="str">
        <f>IFERROR(VLOOKUP(Table4[[#This Row],[FromSite-UPS]],Table1[[#All],[Company or Name]:[FromSite3]],16,FALSE),"")</f>
        <v>Frankfurt Airport</v>
      </c>
      <c r="L312" s="20">
        <f>IFERROR(VLOOKUP(Table4[[#This Row],[FromSite-UPS]],Table1[[#All],[Company or Name]:[FromSite3]],14,FALSE),"")</f>
        <v>0.58333333333333337</v>
      </c>
      <c r="M312" s="13" t="s">
        <v>1011</v>
      </c>
      <c r="N312" s="20" t="s">
        <v>134</v>
      </c>
      <c r="O312" s="13" t="s">
        <v>1772</v>
      </c>
      <c r="P312" s="13"/>
      <c r="Q312" s="20"/>
      <c r="R312" s="20"/>
      <c r="S312" s="20" t="s">
        <v>125</v>
      </c>
      <c r="T312" s="20" t="s">
        <v>856</v>
      </c>
      <c r="U312" s="20"/>
      <c r="V312" s="20"/>
      <c r="W312" s="20" t="str">
        <f>TEXT(Table4[[#This Row],[Confirmed Sampling Date]], "yyyy") &amp; "_" &amp; TEXT(Table4[[#This Row],[Confirmed Sampling Date]], "mm") &amp; "_" &amp; TEXT(Table4[[#This Row],[Confirmed Sampling Date]], "dd")</f>
        <v>2025_10_21</v>
      </c>
      <c r="X312" s="20" t="str">
        <f t="shared" si="4"/>
        <v>Frankfurt</v>
      </c>
      <c r="Y312" s="20" t="str">
        <f>VLOOKUP(Table4[[#This Row],[FromSite-UPS]],Table1[[Company or Name]:[NOTES]],2,FALSE)</f>
        <v>Germany</v>
      </c>
      <c r="Z312" s="20">
        <f>IFERROR(WEEKNUM(Table4[[#This Row],[Confirmed Sampling Date]] - 10, 21), "TBD")</f>
        <v>41</v>
      </c>
      <c r="AA312" s="20" t="str">
        <f>_xlfn.XLOOKUP(Table4[[#This Row],[FromSite-UPS]],sites!D:D,sites!W:W,"",0)</f>
        <v>Goldsteinstraße 160, Gebäude 71 , Frankfurt am Main , 60528, Germany</v>
      </c>
      <c r="AB312" s="20" t="str">
        <f>_xlfn.XLOOKUP(Table4[[#This Row],[ToLab]],labs!D:D,labs!P:P,"no adres",0)</f>
        <v>Av. Rovisco Pais 1, Laboratorio de Analises de Agua, Lisbon, 1049-001, Portugal</v>
      </c>
      <c r="AC312" s="20">
        <f>_xlfn.XLOOKUP(Table4[[#This Row],[combi]],AREA!E:E,AREA!F:F,"",0)</f>
        <v>89</v>
      </c>
      <c r="AD312" s="20" t="str">
        <f>_xlfn.XLOOKUP(Table4[[#This Row],[combi]],AREA!E:E,AREA!G:G,"",0)</f>
        <v>Pick-up service of hypothetic package as defined in the Tech. Specs. and delivery to lots
2 and 3 contractors according to Scenario 1</v>
      </c>
      <c r="AE312" s="20" t="s">
        <v>125</v>
      </c>
      <c r="AF312" s="20" t="str">
        <f>_xlfn.XLOOKUP(Table4[[#This Row],[FromSite-UPS]],sites!D:D,sites!AB:AB,"",0)&amp;_xlfn.XLOOKUP(Table4[[#This Row],[ToLab]],labs!D:D,labs!Q:Q,"",0)</f>
        <v>EUEU</v>
      </c>
    </row>
    <row r="313" spans="2:32" ht="15.6" hidden="1" customHeight="1" x14ac:dyDescent="0.25">
      <c r="B313" s="13">
        <v>306</v>
      </c>
      <c r="C313" s="14" t="s">
        <v>53</v>
      </c>
      <c r="D313" s="13">
        <v>1</v>
      </c>
      <c r="E313" s="79">
        <v>45938</v>
      </c>
      <c r="F313" s="80">
        <v>45939</v>
      </c>
      <c r="G313" s="20">
        <f>IFERROR(WEEKNUM(Table4[[#This Row],[Confirmed Pick-up Date]]),"TBD")</f>
        <v>41</v>
      </c>
      <c r="H313" s="20" t="str">
        <f>IFERROR(TEXT(Table4[[#This Row],[Confirmed Pick-up Date]],"yy-mm"),"TBD")</f>
        <v>25-10</v>
      </c>
      <c r="I313" s="78" t="s">
        <v>1628</v>
      </c>
      <c r="J313" s="20" t="str">
        <f>IFERROR(VLOOKUP(Table4[[#This Row],[FromSite-UPS]],Table1[[#All],[Company or Name]:[FromSite3]],15,FALSE),"")</f>
        <v>Funchal WWTP</v>
      </c>
      <c r="K313" s="20" t="str">
        <f>IFERROR(VLOOKUP(Table4[[#This Row],[FromSite-UPS]],Table1[[#All],[Company or Name]:[FromSite3]],16,FALSE),"")</f>
        <v>Madeira, 10 locations</v>
      </c>
      <c r="L313" s="20">
        <f>IFERROR(VLOOKUP(Table4[[#This Row],[FromSite-UPS]],Table1[[#All],[Company or Name]:[FromSite3]],14,FALSE),"")</f>
        <v>0.70833333333333337</v>
      </c>
      <c r="M313" s="13" t="s">
        <v>1011</v>
      </c>
      <c r="N313" s="20" t="s">
        <v>134</v>
      </c>
      <c r="O313" s="20">
        <v>7014743444</v>
      </c>
      <c r="P313" s="65" t="s">
        <v>134</v>
      </c>
      <c r="Q313" s="20" t="s">
        <v>1857</v>
      </c>
      <c r="R313" s="20"/>
      <c r="S313" s="20" t="s">
        <v>126</v>
      </c>
      <c r="T313" s="20" t="s">
        <v>856</v>
      </c>
      <c r="U313" s="20"/>
      <c r="V313" s="20"/>
      <c r="W313" s="20" t="str">
        <f>TEXT(Table4[[#This Row],[Confirmed Sampling Date]], "yyyy") &amp; "_" &amp; TEXT(Table4[[#This Row],[Confirmed Sampling Date]], "mm") &amp; "_" &amp; TEXT(Table4[[#This Row],[Confirmed Sampling Date]], "dd")</f>
        <v>2025_10_08</v>
      </c>
      <c r="X313" s="20" t="str">
        <f t="shared" si="4"/>
        <v>Funchal</v>
      </c>
      <c r="Y313" s="20" t="str">
        <f>VLOOKUP(Table4[[#This Row],[FromSite-UPS]],Table1[[Company or Name]:[NOTES]],2,FALSE)</f>
        <v>Portugal</v>
      </c>
      <c r="Z313" s="20">
        <f>IFERROR(WEEKNUM(Table4[[#This Row],[Confirmed Sampling Date]] - 10, 21), "TBD")</f>
        <v>39</v>
      </c>
      <c r="AA313" s="20" t="str">
        <f>_xlfn.XLOOKUP(Table4[[#This Row],[FromSite-UPS]],sites!D:D,sites!W:W,"",0)</f>
        <v>R. do Matadouro 4, Funchal, 9050-100, Portugal</v>
      </c>
      <c r="AB313" s="20" t="str">
        <f>_xlfn.XLOOKUP(Table4[[#This Row],[ToLab]],labs!D:D,labs!P:P,"no adres",0)</f>
        <v>Av. Rovisco Pais 1, Laboratorio de Analises de Agua, Lisbon, 1049-001, Portugal</v>
      </c>
      <c r="AC313" s="20">
        <f>_xlfn.XLOOKUP(Table4[[#This Row],[combi]],AREA!E:E,AREA!F:F,"",0)</f>
        <v>89</v>
      </c>
      <c r="AD313" s="20" t="str">
        <f>_xlfn.XLOOKUP(Table4[[#This Row],[combi]],AREA!E:E,AREA!G:G,"",0)</f>
        <v>Pick-up service of hypothetic package as defined in the Tech. Specs. and delivery to lots
2 and 3 contractors according to Scenario 1</v>
      </c>
      <c r="AE313" s="20" t="s">
        <v>125</v>
      </c>
      <c r="AF313" s="20" t="str">
        <f>_xlfn.XLOOKUP(Table4[[#This Row],[FromSite-UPS]],sites!D:D,sites!AB:AB,"",0)&amp;_xlfn.XLOOKUP(Table4[[#This Row],[ToLab]],labs!D:D,labs!Q:Q,"",0)</f>
        <v>EUEU</v>
      </c>
    </row>
    <row r="314" spans="2:32" ht="15.6" hidden="1" customHeight="1" x14ac:dyDescent="0.25">
      <c r="B314" s="13">
        <v>316</v>
      </c>
      <c r="C314" s="14" t="s">
        <v>53</v>
      </c>
      <c r="D314" s="13">
        <v>1</v>
      </c>
      <c r="E314" s="79">
        <v>45938</v>
      </c>
      <c r="F314" s="80">
        <v>45939</v>
      </c>
      <c r="G314" s="20">
        <f>IFERROR(WEEKNUM(Table4[[#This Row],[Confirmed Pick-up Date]]),"TBD")</f>
        <v>41</v>
      </c>
      <c r="H314" s="20" t="str">
        <f>IFERROR(TEXT(Table4[[#This Row],[Confirmed Pick-up Date]],"yy-mm"),"TBD")</f>
        <v>25-10</v>
      </c>
      <c r="I314" s="78" t="s">
        <v>1628</v>
      </c>
      <c r="J314" s="20" t="str">
        <f>IFERROR(VLOOKUP(Table4[[#This Row],[FromSite-UPS]],Table1[[#All],[Company or Name]:[FromSite3]],15,FALSE),"")</f>
        <v>Funchal WWTP</v>
      </c>
      <c r="K314" s="20" t="str">
        <f>IFERROR(VLOOKUP(Table4[[#This Row],[FromSite-UPS]],Table1[[#All],[Company or Name]:[FromSite3]],16,FALSE),"")</f>
        <v>Madeira, 10 locations</v>
      </c>
      <c r="L314" s="20">
        <f>IFERROR(VLOOKUP(Table4[[#This Row],[FromSite-UPS]],Table1[[#All],[Company or Name]:[FromSite3]],14,FALSE),"")</f>
        <v>0.70833333333333337</v>
      </c>
      <c r="M314" s="13" t="s">
        <v>1011</v>
      </c>
      <c r="N314" s="20" t="s">
        <v>134</v>
      </c>
      <c r="O314" s="20">
        <v>7014743444</v>
      </c>
      <c r="P314" s="65" t="s">
        <v>134</v>
      </c>
      <c r="Q314" s="65" t="s">
        <v>1857</v>
      </c>
      <c r="R314" s="20"/>
      <c r="S314" s="20" t="s">
        <v>126</v>
      </c>
      <c r="T314" s="20" t="s">
        <v>856</v>
      </c>
      <c r="U314" s="20"/>
      <c r="V314" s="20"/>
      <c r="W314" s="20" t="str">
        <f>TEXT(Table4[[#This Row],[Confirmed Sampling Date]], "yyyy") &amp; "_" &amp; TEXT(Table4[[#This Row],[Confirmed Sampling Date]], "mm") &amp; "_" &amp; TEXT(Table4[[#This Row],[Confirmed Sampling Date]], "dd")</f>
        <v>2025_10_08</v>
      </c>
      <c r="X314" s="20" t="str">
        <f t="shared" si="4"/>
        <v>Funchal</v>
      </c>
      <c r="Y314" s="20" t="str">
        <f>VLOOKUP(Table4[[#This Row],[FromSite-UPS]],Table1[[Company or Name]:[NOTES]],2,FALSE)</f>
        <v>Portugal</v>
      </c>
      <c r="Z314" s="20">
        <f>IFERROR(WEEKNUM(Table4[[#This Row],[Confirmed Sampling Date]] - 10, 21), "TBD")</f>
        <v>39</v>
      </c>
      <c r="AA314" s="20" t="str">
        <f>_xlfn.XLOOKUP(Table4[[#This Row],[FromSite-UPS]],sites!D:D,sites!W:W,"",0)</f>
        <v>R. do Matadouro 4, Funchal, 9050-100, Portugal</v>
      </c>
      <c r="AB314" s="20" t="str">
        <f>_xlfn.XLOOKUP(Table4[[#This Row],[ToLab]],labs!D:D,labs!P:P,"no adres",0)</f>
        <v>Av. Rovisco Pais 1, Laboratorio de Analises de Agua, Lisbon, 1049-001, Portugal</v>
      </c>
      <c r="AC314" s="20">
        <f>_xlfn.XLOOKUP(Table4[[#This Row],[combi]],AREA!E:E,AREA!F:F,"",0)</f>
        <v>89</v>
      </c>
      <c r="AD314" s="20" t="str">
        <f>_xlfn.XLOOKUP(Table4[[#This Row],[combi]],AREA!E:E,AREA!G:G,"",0)</f>
        <v>Pick-up service of hypothetic package as defined in the Tech. Specs. and delivery to lots
2 and 3 contractors according to Scenario 1</v>
      </c>
      <c r="AE314" s="20" t="s">
        <v>125</v>
      </c>
      <c r="AF314" s="20" t="str">
        <f>_xlfn.XLOOKUP(Table4[[#This Row],[FromSite-UPS]],sites!D:D,sites!AB:AB,"",0)&amp;_xlfn.XLOOKUP(Table4[[#This Row],[ToLab]],labs!D:D,labs!Q:Q,"",0)</f>
        <v>EUEU</v>
      </c>
    </row>
    <row r="315" spans="2:32" ht="15.6" hidden="1" customHeight="1" x14ac:dyDescent="0.25">
      <c r="B315" s="13">
        <v>326</v>
      </c>
      <c r="C315" s="14" t="s">
        <v>53</v>
      </c>
      <c r="D315" s="13">
        <v>1</v>
      </c>
      <c r="E315" s="79">
        <v>45938</v>
      </c>
      <c r="F315" s="80">
        <v>45939</v>
      </c>
      <c r="G315" s="20">
        <f>IFERROR(WEEKNUM(Table4[[#This Row],[Confirmed Pick-up Date]]),"TBD")</f>
        <v>41</v>
      </c>
      <c r="H315" s="20" t="str">
        <f>IFERROR(TEXT(Table4[[#This Row],[Confirmed Pick-up Date]],"yy-mm"),"TBD")</f>
        <v>25-10</v>
      </c>
      <c r="I315" s="78" t="s">
        <v>1628</v>
      </c>
      <c r="J315" s="20" t="str">
        <f>IFERROR(VLOOKUP(Table4[[#This Row],[FromSite-UPS]],Table1[[#All],[Company or Name]:[FromSite3]],15,FALSE),"")</f>
        <v>Funchal WWTP</v>
      </c>
      <c r="K315" s="20" t="str">
        <f>IFERROR(VLOOKUP(Table4[[#This Row],[FromSite-UPS]],Table1[[#All],[Company or Name]:[FromSite3]],16,FALSE),"")</f>
        <v>Madeira, 10 locations</v>
      </c>
      <c r="L315" s="20">
        <f>IFERROR(VLOOKUP(Table4[[#This Row],[FromSite-UPS]],Table1[[#All],[Company or Name]:[FromSite3]],14,FALSE),"")</f>
        <v>0.70833333333333337</v>
      </c>
      <c r="M315" s="13" t="s">
        <v>1011</v>
      </c>
      <c r="N315" s="20" t="s">
        <v>134</v>
      </c>
      <c r="O315" s="20">
        <v>7014743444</v>
      </c>
      <c r="P315" s="65" t="s">
        <v>134</v>
      </c>
      <c r="Q315" s="20" t="s">
        <v>1857</v>
      </c>
      <c r="R315" s="20"/>
      <c r="S315" s="20" t="s">
        <v>126</v>
      </c>
      <c r="T315" s="20" t="s">
        <v>856</v>
      </c>
      <c r="U315" s="20"/>
      <c r="V315" s="20"/>
      <c r="W315" s="20" t="str">
        <f>TEXT(Table4[[#This Row],[Confirmed Sampling Date]], "yyyy") &amp; "_" &amp; TEXT(Table4[[#This Row],[Confirmed Sampling Date]], "mm") &amp; "_" &amp; TEXT(Table4[[#This Row],[Confirmed Sampling Date]], "dd")</f>
        <v>2025_10_08</v>
      </c>
      <c r="X315" s="20" t="str">
        <f t="shared" si="4"/>
        <v>Funchal</v>
      </c>
      <c r="Y315" s="20" t="str">
        <f>VLOOKUP(Table4[[#This Row],[FromSite-UPS]],Table1[[Company or Name]:[NOTES]],2,FALSE)</f>
        <v>Portugal</v>
      </c>
      <c r="Z315" s="20">
        <f>IFERROR(WEEKNUM(Table4[[#This Row],[Confirmed Sampling Date]] - 10, 21), "TBD")</f>
        <v>39</v>
      </c>
      <c r="AA315" s="20" t="str">
        <f>_xlfn.XLOOKUP(Table4[[#This Row],[FromSite-UPS]],sites!D:D,sites!W:W,"",0)</f>
        <v>R. do Matadouro 4, Funchal, 9050-100, Portugal</v>
      </c>
      <c r="AB315" s="20" t="str">
        <f>_xlfn.XLOOKUP(Table4[[#This Row],[ToLab]],labs!D:D,labs!P:P,"no adres",0)</f>
        <v>Av. Rovisco Pais 1, Laboratorio de Analises de Agua, Lisbon, 1049-001, Portugal</v>
      </c>
      <c r="AC315" s="20">
        <f>_xlfn.XLOOKUP(Table4[[#This Row],[combi]],AREA!E:E,AREA!F:F,"",0)</f>
        <v>89</v>
      </c>
      <c r="AD315" s="20" t="str">
        <f>_xlfn.XLOOKUP(Table4[[#This Row],[combi]],AREA!E:E,AREA!G:G,"",0)</f>
        <v>Pick-up service of hypothetic package as defined in the Tech. Specs. and delivery to lots
2 and 3 contractors according to Scenario 1</v>
      </c>
      <c r="AE315" s="20" t="s">
        <v>125</v>
      </c>
      <c r="AF315" s="20" t="str">
        <f>_xlfn.XLOOKUP(Table4[[#This Row],[FromSite-UPS]],sites!D:D,sites!AB:AB,"",0)&amp;_xlfn.XLOOKUP(Table4[[#This Row],[ToLab]],labs!D:D,labs!Q:Q,"",0)</f>
        <v>EUEU</v>
      </c>
    </row>
    <row r="316" spans="2:32" ht="15.6" hidden="1" customHeight="1" x14ac:dyDescent="0.25">
      <c r="B316" s="13">
        <v>336</v>
      </c>
      <c r="C316" s="14" t="s">
        <v>53</v>
      </c>
      <c r="D316" s="13">
        <v>1</v>
      </c>
      <c r="E316" s="79">
        <v>45938</v>
      </c>
      <c r="F316" s="80">
        <v>45939</v>
      </c>
      <c r="G316" s="20">
        <f>IFERROR(WEEKNUM(Table4[[#This Row],[Confirmed Pick-up Date]]),"TBD")</f>
        <v>41</v>
      </c>
      <c r="H316" s="20" t="str">
        <f>IFERROR(TEXT(Table4[[#This Row],[Confirmed Pick-up Date]],"yy-mm"),"TBD")</f>
        <v>25-10</v>
      </c>
      <c r="I316" s="78" t="s">
        <v>1628</v>
      </c>
      <c r="J316" s="20" t="str">
        <f>IFERROR(VLOOKUP(Table4[[#This Row],[FromSite-UPS]],Table1[[#All],[Company or Name]:[FromSite3]],15,FALSE),"")</f>
        <v>Funchal WWTP</v>
      </c>
      <c r="K316" s="20" t="str">
        <f>IFERROR(VLOOKUP(Table4[[#This Row],[FromSite-UPS]],Table1[[#All],[Company or Name]:[FromSite3]],16,FALSE),"")</f>
        <v>Madeira, 10 locations</v>
      </c>
      <c r="L316" s="20">
        <f>IFERROR(VLOOKUP(Table4[[#This Row],[FromSite-UPS]],Table1[[#All],[Company or Name]:[FromSite3]],14,FALSE),"")</f>
        <v>0.70833333333333337</v>
      </c>
      <c r="M316" s="13" t="s">
        <v>1011</v>
      </c>
      <c r="N316" s="20" t="s">
        <v>134</v>
      </c>
      <c r="O316" s="20">
        <v>7014743444</v>
      </c>
      <c r="P316" s="65" t="s">
        <v>134</v>
      </c>
      <c r="Q316" s="20" t="s">
        <v>1857</v>
      </c>
      <c r="R316" s="20"/>
      <c r="S316" s="20" t="s">
        <v>126</v>
      </c>
      <c r="T316" s="20" t="s">
        <v>856</v>
      </c>
      <c r="U316" s="20"/>
      <c r="V316" s="20"/>
      <c r="W316" s="20" t="str">
        <f>TEXT(Table4[[#This Row],[Confirmed Sampling Date]], "yyyy") &amp; "_" &amp; TEXT(Table4[[#This Row],[Confirmed Sampling Date]], "mm") &amp; "_" &amp; TEXT(Table4[[#This Row],[Confirmed Sampling Date]], "dd")</f>
        <v>2025_10_08</v>
      </c>
      <c r="X316" s="20" t="str">
        <f t="shared" si="4"/>
        <v>Funchal</v>
      </c>
      <c r="Y316" s="20" t="str">
        <f>VLOOKUP(Table4[[#This Row],[FromSite-UPS]],Table1[[Company or Name]:[NOTES]],2,FALSE)</f>
        <v>Portugal</v>
      </c>
      <c r="Z316" s="20">
        <f>IFERROR(WEEKNUM(Table4[[#This Row],[Confirmed Sampling Date]] - 10, 21), "TBD")</f>
        <v>39</v>
      </c>
      <c r="AA316" s="20" t="str">
        <f>_xlfn.XLOOKUP(Table4[[#This Row],[FromSite-UPS]],sites!D:D,sites!W:W,"",0)</f>
        <v>R. do Matadouro 4, Funchal, 9050-100, Portugal</v>
      </c>
      <c r="AB316" s="20" t="str">
        <f>_xlfn.XLOOKUP(Table4[[#This Row],[ToLab]],labs!D:D,labs!P:P,"no adres",0)</f>
        <v>Av. Rovisco Pais 1, Laboratorio de Analises de Agua, Lisbon, 1049-001, Portugal</v>
      </c>
      <c r="AC316" s="20">
        <f>_xlfn.XLOOKUP(Table4[[#This Row],[combi]],AREA!E:E,AREA!F:F,"",0)</f>
        <v>89</v>
      </c>
      <c r="AD316" s="20" t="str">
        <f>_xlfn.XLOOKUP(Table4[[#This Row],[combi]],AREA!E:E,AREA!G:G,"",0)</f>
        <v>Pick-up service of hypothetic package as defined in the Tech. Specs. and delivery to lots
2 and 3 contractors according to Scenario 1</v>
      </c>
      <c r="AE316" s="20" t="s">
        <v>125</v>
      </c>
      <c r="AF316" s="20" t="str">
        <f>_xlfn.XLOOKUP(Table4[[#This Row],[FromSite-UPS]],sites!D:D,sites!AB:AB,"",0)&amp;_xlfn.XLOOKUP(Table4[[#This Row],[ToLab]],labs!D:D,labs!Q:Q,"",0)</f>
        <v>EUEU</v>
      </c>
    </row>
    <row r="317" spans="2:32" ht="15.6" hidden="1" customHeight="1" x14ac:dyDescent="0.25">
      <c r="B317" s="13">
        <v>346</v>
      </c>
      <c r="C317" s="14" t="s">
        <v>53</v>
      </c>
      <c r="D317" s="13">
        <v>1</v>
      </c>
      <c r="E317" s="79">
        <v>45938</v>
      </c>
      <c r="F317" s="80">
        <v>45939</v>
      </c>
      <c r="G317" s="20">
        <f>IFERROR(WEEKNUM(Table4[[#This Row],[Confirmed Pick-up Date]]),"TBD")</f>
        <v>41</v>
      </c>
      <c r="H317" s="20" t="str">
        <f>IFERROR(TEXT(Table4[[#This Row],[Confirmed Pick-up Date]],"yy-mm"),"TBD")</f>
        <v>25-10</v>
      </c>
      <c r="I317" s="78" t="s">
        <v>1628</v>
      </c>
      <c r="J317" s="20" t="str">
        <f>IFERROR(VLOOKUP(Table4[[#This Row],[FromSite-UPS]],Table1[[#All],[Company or Name]:[FromSite3]],15,FALSE),"")</f>
        <v>Funchal WWTP</v>
      </c>
      <c r="K317" s="20" t="str">
        <f>IFERROR(VLOOKUP(Table4[[#This Row],[FromSite-UPS]],Table1[[#All],[Company or Name]:[FromSite3]],16,FALSE),"")</f>
        <v>Madeira, 10 locations</v>
      </c>
      <c r="L317" s="20">
        <f>IFERROR(VLOOKUP(Table4[[#This Row],[FromSite-UPS]],Table1[[#All],[Company or Name]:[FromSite3]],14,FALSE),"")</f>
        <v>0.70833333333333337</v>
      </c>
      <c r="M317" s="13" t="s">
        <v>1011</v>
      </c>
      <c r="N317" s="20" t="s">
        <v>134</v>
      </c>
      <c r="O317" s="20">
        <v>7014743444</v>
      </c>
      <c r="P317" s="65" t="s">
        <v>134</v>
      </c>
      <c r="Q317" s="20" t="s">
        <v>1857</v>
      </c>
      <c r="R317" s="20"/>
      <c r="S317" s="20" t="s">
        <v>126</v>
      </c>
      <c r="T317" s="20" t="s">
        <v>856</v>
      </c>
      <c r="U317" s="20"/>
      <c r="V317" s="20"/>
      <c r="W317" s="20" t="str">
        <f>TEXT(Table4[[#This Row],[Confirmed Sampling Date]], "yyyy") &amp; "_" &amp; TEXT(Table4[[#This Row],[Confirmed Sampling Date]], "mm") &amp; "_" &amp; TEXT(Table4[[#This Row],[Confirmed Sampling Date]], "dd")</f>
        <v>2025_10_08</v>
      </c>
      <c r="X317" s="20" t="str">
        <f t="shared" si="4"/>
        <v>Funchal</v>
      </c>
      <c r="Y317" s="20" t="str">
        <f>VLOOKUP(Table4[[#This Row],[FromSite-UPS]],Table1[[Company or Name]:[NOTES]],2,FALSE)</f>
        <v>Portugal</v>
      </c>
      <c r="Z317" s="20">
        <f>IFERROR(WEEKNUM(Table4[[#This Row],[Confirmed Sampling Date]] - 10, 21), "TBD")</f>
        <v>39</v>
      </c>
      <c r="AA317" s="20" t="str">
        <f>_xlfn.XLOOKUP(Table4[[#This Row],[FromSite-UPS]],sites!D:D,sites!W:W,"",0)</f>
        <v>R. do Matadouro 4, Funchal, 9050-100, Portugal</v>
      </c>
      <c r="AB317" s="20" t="str">
        <f>_xlfn.XLOOKUP(Table4[[#This Row],[ToLab]],labs!D:D,labs!P:P,"no adres",0)</f>
        <v>Av. Rovisco Pais 1, Laboratorio de Analises de Agua, Lisbon, 1049-001, Portugal</v>
      </c>
      <c r="AC317" s="20">
        <f>_xlfn.XLOOKUP(Table4[[#This Row],[combi]],AREA!E:E,AREA!F:F,"",0)</f>
        <v>89</v>
      </c>
      <c r="AD317" s="20" t="str">
        <f>_xlfn.XLOOKUP(Table4[[#This Row],[combi]],AREA!E:E,AREA!G:G,"",0)</f>
        <v>Pick-up service of hypothetic package as defined in the Tech. Specs. and delivery to lots
2 and 3 contractors according to Scenario 1</v>
      </c>
      <c r="AE317" s="20" t="s">
        <v>125</v>
      </c>
      <c r="AF317" s="20" t="str">
        <f>_xlfn.XLOOKUP(Table4[[#This Row],[FromSite-UPS]],sites!D:D,sites!AB:AB,"",0)&amp;_xlfn.XLOOKUP(Table4[[#This Row],[ToLab]],labs!D:D,labs!Q:Q,"",0)</f>
        <v>EUEU</v>
      </c>
    </row>
    <row r="318" spans="2:32" ht="15.6" hidden="1" customHeight="1" x14ac:dyDescent="0.25">
      <c r="B318" s="13">
        <v>356</v>
      </c>
      <c r="C318" s="14" t="s">
        <v>53</v>
      </c>
      <c r="D318" s="13">
        <v>1</v>
      </c>
      <c r="E318" s="79">
        <v>45938</v>
      </c>
      <c r="F318" s="81">
        <v>45939</v>
      </c>
      <c r="G318" s="20">
        <f>IFERROR(WEEKNUM(Table4[[#This Row],[Confirmed Pick-up Date]]),"TBD")</f>
        <v>41</v>
      </c>
      <c r="H318" s="20" t="str">
        <f>IFERROR(TEXT(Table4[[#This Row],[Confirmed Pick-up Date]],"yy-mm"),"TBD")</f>
        <v>25-10</v>
      </c>
      <c r="I318" s="78" t="s">
        <v>1628</v>
      </c>
      <c r="J318" s="20" t="str">
        <f>IFERROR(VLOOKUP(Table4[[#This Row],[FromSite-UPS]],Table1[[#All],[Company or Name]:[FromSite3]],15,FALSE),"")</f>
        <v>Funchal WWTP</v>
      </c>
      <c r="K318" s="20" t="str">
        <f>IFERROR(VLOOKUP(Table4[[#This Row],[FromSite-UPS]],Table1[[#All],[Company or Name]:[FromSite3]],16,FALSE),"")</f>
        <v>Madeira, 10 locations</v>
      </c>
      <c r="L318" s="20">
        <f>IFERROR(VLOOKUP(Table4[[#This Row],[FromSite-UPS]],Table1[[#All],[Company or Name]:[FromSite3]],14,FALSE),"")</f>
        <v>0.70833333333333337</v>
      </c>
      <c r="M318" s="13" t="s">
        <v>1011</v>
      </c>
      <c r="N318" s="20" t="s">
        <v>134</v>
      </c>
      <c r="O318" s="20">
        <v>7014743444</v>
      </c>
      <c r="P318" s="20" t="s">
        <v>134</v>
      </c>
      <c r="Q318" s="20" t="s">
        <v>1857</v>
      </c>
      <c r="R318" s="20"/>
      <c r="S318" s="20" t="s">
        <v>126</v>
      </c>
      <c r="T318" s="20" t="s">
        <v>856</v>
      </c>
      <c r="U318" s="20"/>
      <c r="V318" s="20"/>
      <c r="W318" s="20" t="str">
        <f>TEXT(Table4[[#This Row],[Confirmed Sampling Date]], "yyyy") &amp; "_" &amp; TEXT(Table4[[#This Row],[Confirmed Sampling Date]], "mm") &amp; "_" &amp; TEXT(Table4[[#This Row],[Confirmed Sampling Date]], "dd")</f>
        <v>2025_10_08</v>
      </c>
      <c r="X318" s="20" t="str">
        <f t="shared" si="4"/>
        <v>Funchal</v>
      </c>
      <c r="Y318" s="20" t="str">
        <f>VLOOKUP(Table4[[#This Row],[FromSite-UPS]],Table1[[Company or Name]:[NOTES]],2,FALSE)</f>
        <v>Portugal</v>
      </c>
      <c r="Z318" s="20">
        <f>IFERROR(WEEKNUM(Table4[[#This Row],[Confirmed Sampling Date]] - 10, 21), "TBD")</f>
        <v>39</v>
      </c>
      <c r="AA318" s="20" t="str">
        <f>_xlfn.XLOOKUP(Table4[[#This Row],[FromSite-UPS]],sites!D:D,sites!W:W,"",0)</f>
        <v>R. do Matadouro 4, Funchal, 9050-100, Portugal</v>
      </c>
      <c r="AB318" s="20" t="str">
        <f>_xlfn.XLOOKUP(Table4[[#This Row],[ToLab]],labs!D:D,labs!P:P,"no adres",0)</f>
        <v>Av. Rovisco Pais 1, Laboratorio de Analises de Agua, Lisbon, 1049-001, Portugal</v>
      </c>
      <c r="AC318" s="20">
        <f>_xlfn.XLOOKUP(Table4[[#This Row],[combi]],AREA!E:E,AREA!F:F,"",0)</f>
        <v>89</v>
      </c>
      <c r="AD318" s="20" t="str">
        <f>_xlfn.XLOOKUP(Table4[[#This Row],[combi]],AREA!E:E,AREA!G:G,"",0)</f>
        <v>Pick-up service of hypothetic package as defined in the Tech. Specs. and delivery to lots
2 and 3 contractors according to Scenario 1</v>
      </c>
      <c r="AE318" s="20" t="s">
        <v>125</v>
      </c>
      <c r="AF318" s="20" t="str">
        <f>_xlfn.XLOOKUP(Table4[[#This Row],[FromSite-UPS]],sites!D:D,sites!AB:AB,"",0)&amp;_xlfn.XLOOKUP(Table4[[#This Row],[ToLab]],labs!D:D,labs!Q:Q,"",0)</f>
        <v>EUEU</v>
      </c>
    </row>
    <row r="319" spans="2:32" ht="15.6" hidden="1" customHeight="1" x14ac:dyDescent="0.25">
      <c r="B319" s="13">
        <v>366</v>
      </c>
      <c r="C319" s="14" t="s">
        <v>53</v>
      </c>
      <c r="D319" s="13">
        <v>1</v>
      </c>
      <c r="E319" s="79">
        <v>45938</v>
      </c>
      <c r="F319" s="81">
        <v>45939</v>
      </c>
      <c r="G319" s="20">
        <f>IFERROR(WEEKNUM(Table4[[#This Row],[Confirmed Pick-up Date]]),"TBD")</f>
        <v>41</v>
      </c>
      <c r="H319" s="20" t="str">
        <f>IFERROR(TEXT(Table4[[#This Row],[Confirmed Pick-up Date]],"yy-mm"),"TBD")</f>
        <v>25-10</v>
      </c>
      <c r="I319" s="67" t="s">
        <v>1628</v>
      </c>
      <c r="J319" s="20" t="str">
        <f>IFERROR(VLOOKUP(Table4[[#This Row],[FromSite-UPS]],Table1[[#All],[Company or Name]:[FromSite3]],15,FALSE),"")</f>
        <v>Funchal WWTP</v>
      </c>
      <c r="K319" s="20" t="str">
        <f>IFERROR(VLOOKUP(Table4[[#This Row],[FromSite-UPS]],Table1[[#All],[Company or Name]:[FromSite3]],16,FALSE),"")</f>
        <v>Madeira, 10 locations</v>
      </c>
      <c r="L319" s="20">
        <f>IFERROR(VLOOKUP(Table4[[#This Row],[FromSite-UPS]],Table1[[#All],[Company or Name]:[FromSite3]],14,FALSE),"")</f>
        <v>0.70833333333333337</v>
      </c>
      <c r="M319" s="13" t="s">
        <v>1011</v>
      </c>
      <c r="N319" s="20" t="s">
        <v>134</v>
      </c>
      <c r="O319" s="20">
        <v>7014743444</v>
      </c>
      <c r="P319" s="65" t="s">
        <v>134</v>
      </c>
      <c r="Q319" s="20" t="s">
        <v>1857</v>
      </c>
      <c r="R319" s="20"/>
      <c r="S319" s="20" t="s">
        <v>126</v>
      </c>
      <c r="T319" s="20" t="s">
        <v>856</v>
      </c>
      <c r="U319" s="20"/>
      <c r="V319" s="20"/>
      <c r="W319" s="20" t="str">
        <f>TEXT(Table4[[#This Row],[Confirmed Sampling Date]], "yyyy") &amp; "_" &amp; TEXT(Table4[[#This Row],[Confirmed Sampling Date]], "mm") &amp; "_" &amp; TEXT(Table4[[#This Row],[Confirmed Sampling Date]], "dd")</f>
        <v>2025_10_08</v>
      </c>
      <c r="X319" s="20" t="str">
        <f t="shared" si="4"/>
        <v>Funchal</v>
      </c>
      <c r="Y319" s="20" t="str">
        <f>VLOOKUP(Table4[[#This Row],[FromSite-UPS]],Table1[[Company or Name]:[NOTES]],2,FALSE)</f>
        <v>Portugal</v>
      </c>
      <c r="Z319" s="20">
        <f>IFERROR(WEEKNUM(Table4[[#This Row],[Confirmed Sampling Date]] - 10, 21), "TBD")</f>
        <v>39</v>
      </c>
      <c r="AA319" s="20" t="str">
        <f>_xlfn.XLOOKUP(Table4[[#This Row],[FromSite-UPS]],sites!D:D,sites!W:W,"",0)</f>
        <v>R. do Matadouro 4, Funchal, 9050-100, Portugal</v>
      </c>
      <c r="AB319" s="20" t="str">
        <f>_xlfn.XLOOKUP(Table4[[#This Row],[ToLab]],labs!D:D,labs!P:P,"no adres",0)</f>
        <v>Av. Rovisco Pais 1, Laboratorio de Analises de Agua, Lisbon, 1049-001, Portugal</v>
      </c>
      <c r="AC319" s="20">
        <f>_xlfn.XLOOKUP(Table4[[#This Row],[combi]],AREA!E:E,AREA!F:F,"",0)</f>
        <v>89</v>
      </c>
      <c r="AD319" s="20" t="str">
        <f>_xlfn.XLOOKUP(Table4[[#This Row],[combi]],AREA!E:E,AREA!G:G,"",0)</f>
        <v>Pick-up service of hypothetic package as defined in the Tech. Specs. and delivery to lots
2 and 3 contractors according to Scenario 1</v>
      </c>
      <c r="AE319" s="20" t="s">
        <v>125</v>
      </c>
      <c r="AF319" s="20" t="str">
        <f>_xlfn.XLOOKUP(Table4[[#This Row],[FromSite-UPS]],sites!D:D,sites!AB:AB,"",0)&amp;_xlfn.XLOOKUP(Table4[[#This Row],[ToLab]],labs!D:D,labs!Q:Q,"",0)</f>
        <v>EUEU</v>
      </c>
    </row>
    <row r="320" spans="2:32" ht="15.6" hidden="1" customHeight="1" x14ac:dyDescent="0.25">
      <c r="B320" s="13">
        <v>376</v>
      </c>
      <c r="C320" s="14" t="s">
        <v>53</v>
      </c>
      <c r="D320" s="13">
        <v>1</v>
      </c>
      <c r="E320" s="79">
        <v>45938</v>
      </c>
      <c r="F320" s="81">
        <v>45939</v>
      </c>
      <c r="G320" s="20">
        <f>IFERROR(WEEKNUM(Table4[[#This Row],[Confirmed Pick-up Date]]),"TBD")</f>
        <v>41</v>
      </c>
      <c r="H320" s="20" t="str">
        <f>IFERROR(TEXT(Table4[[#This Row],[Confirmed Pick-up Date]],"yy-mm"),"TBD")</f>
        <v>25-10</v>
      </c>
      <c r="I320" s="78" t="s">
        <v>1628</v>
      </c>
      <c r="J320" s="20" t="str">
        <f>IFERROR(VLOOKUP(Table4[[#This Row],[FromSite-UPS]],Table1[[#All],[Company or Name]:[FromSite3]],15,FALSE),"")</f>
        <v>Funchal WWTP</v>
      </c>
      <c r="K320" s="20" t="str">
        <f>IFERROR(VLOOKUP(Table4[[#This Row],[FromSite-UPS]],Table1[[#All],[Company or Name]:[FromSite3]],16,FALSE),"")</f>
        <v>Madeira, 10 locations</v>
      </c>
      <c r="L320" s="20">
        <f>IFERROR(VLOOKUP(Table4[[#This Row],[FromSite-UPS]],Table1[[#All],[Company or Name]:[FromSite3]],14,FALSE),"")</f>
        <v>0.70833333333333337</v>
      </c>
      <c r="M320" s="13" t="s">
        <v>1011</v>
      </c>
      <c r="N320" s="20" t="s">
        <v>134</v>
      </c>
      <c r="O320" s="20">
        <v>7014743444</v>
      </c>
      <c r="P320" s="65" t="s">
        <v>134</v>
      </c>
      <c r="Q320" s="20" t="s">
        <v>1857</v>
      </c>
      <c r="R320" s="20"/>
      <c r="S320" s="20" t="s">
        <v>126</v>
      </c>
      <c r="T320" s="20" t="s">
        <v>856</v>
      </c>
      <c r="U320" s="20"/>
      <c r="V320" s="20"/>
      <c r="W320" s="20" t="str">
        <f>TEXT(Table4[[#This Row],[Confirmed Sampling Date]], "yyyy") &amp; "_" &amp; TEXT(Table4[[#This Row],[Confirmed Sampling Date]], "mm") &amp; "_" &amp; TEXT(Table4[[#This Row],[Confirmed Sampling Date]], "dd")</f>
        <v>2025_10_08</v>
      </c>
      <c r="X320" s="20" t="str">
        <f t="shared" si="4"/>
        <v>Funchal</v>
      </c>
      <c r="Y320" s="20" t="str">
        <f>VLOOKUP(Table4[[#This Row],[FromSite-UPS]],Table1[[Company or Name]:[NOTES]],2,FALSE)</f>
        <v>Portugal</v>
      </c>
      <c r="Z320" s="20">
        <f>IFERROR(WEEKNUM(Table4[[#This Row],[Confirmed Sampling Date]] - 10, 21), "TBD")</f>
        <v>39</v>
      </c>
      <c r="AA320" s="20" t="str">
        <f>_xlfn.XLOOKUP(Table4[[#This Row],[FromSite-UPS]],sites!D:D,sites!W:W,"",0)</f>
        <v>R. do Matadouro 4, Funchal, 9050-100, Portugal</v>
      </c>
      <c r="AB320" s="20" t="str">
        <f>_xlfn.XLOOKUP(Table4[[#This Row],[ToLab]],labs!D:D,labs!P:P,"no adres",0)</f>
        <v>Av. Rovisco Pais 1, Laboratorio de Analises de Agua, Lisbon, 1049-001, Portugal</v>
      </c>
      <c r="AC320" s="20">
        <f>_xlfn.XLOOKUP(Table4[[#This Row],[combi]],AREA!E:E,AREA!F:F,"",0)</f>
        <v>89</v>
      </c>
      <c r="AD320" s="20" t="str">
        <f>_xlfn.XLOOKUP(Table4[[#This Row],[combi]],AREA!E:E,AREA!G:G,"",0)</f>
        <v>Pick-up service of hypothetic package as defined in the Tech. Specs. and delivery to lots
2 and 3 contractors according to Scenario 1</v>
      </c>
      <c r="AE320" s="20" t="s">
        <v>125</v>
      </c>
      <c r="AF320" s="20" t="str">
        <f>_xlfn.XLOOKUP(Table4[[#This Row],[FromSite-UPS]],sites!D:D,sites!AB:AB,"",0)&amp;_xlfn.XLOOKUP(Table4[[#This Row],[ToLab]],labs!D:D,labs!Q:Q,"",0)</f>
        <v>EUEU</v>
      </c>
    </row>
    <row r="321" spans="2:32" ht="15.6" hidden="1" customHeight="1" x14ac:dyDescent="0.25">
      <c r="B321" s="13">
        <v>386</v>
      </c>
      <c r="C321" s="14" t="s">
        <v>53</v>
      </c>
      <c r="D321" s="13">
        <v>1</v>
      </c>
      <c r="E321" s="79">
        <v>45938</v>
      </c>
      <c r="F321" s="81">
        <v>45939</v>
      </c>
      <c r="G321" s="20">
        <f>IFERROR(WEEKNUM(Table4[[#This Row],[Confirmed Pick-up Date]]),"TBD")</f>
        <v>41</v>
      </c>
      <c r="H321" s="20" t="str">
        <f>IFERROR(TEXT(Table4[[#This Row],[Confirmed Pick-up Date]],"yy-mm"),"TBD")</f>
        <v>25-10</v>
      </c>
      <c r="I321" s="67" t="s">
        <v>1628</v>
      </c>
      <c r="J321" s="20" t="str">
        <f>IFERROR(VLOOKUP(Table4[[#This Row],[FromSite-UPS]],Table1[[#All],[Company or Name]:[FromSite3]],15,FALSE),"")</f>
        <v>Funchal WWTP</v>
      </c>
      <c r="K321" s="20" t="str">
        <f>IFERROR(VLOOKUP(Table4[[#This Row],[FromSite-UPS]],Table1[[#All],[Company or Name]:[FromSite3]],16,FALSE),"")</f>
        <v>Madeira, 10 locations</v>
      </c>
      <c r="L321" s="20">
        <f>IFERROR(VLOOKUP(Table4[[#This Row],[FromSite-UPS]],Table1[[#All],[Company or Name]:[FromSite3]],14,FALSE),"")</f>
        <v>0.70833333333333337</v>
      </c>
      <c r="M321" s="13" t="s">
        <v>1011</v>
      </c>
      <c r="N321" s="20" t="s">
        <v>134</v>
      </c>
      <c r="O321" s="20">
        <v>7014743444</v>
      </c>
      <c r="P321" s="65" t="s">
        <v>134</v>
      </c>
      <c r="Q321" s="20" t="s">
        <v>1857</v>
      </c>
      <c r="R321" s="20"/>
      <c r="S321" s="20" t="s">
        <v>126</v>
      </c>
      <c r="T321" s="20" t="s">
        <v>856</v>
      </c>
      <c r="U321" s="20"/>
      <c r="V321" s="20"/>
      <c r="W321" s="20" t="str">
        <f>TEXT(Table4[[#This Row],[Confirmed Sampling Date]], "yyyy") &amp; "_" &amp; TEXT(Table4[[#This Row],[Confirmed Sampling Date]], "mm") &amp; "_" &amp; TEXT(Table4[[#This Row],[Confirmed Sampling Date]], "dd")</f>
        <v>2025_10_08</v>
      </c>
      <c r="X321" s="20" t="str">
        <f t="shared" si="4"/>
        <v>Funchal</v>
      </c>
      <c r="Y321" s="20" t="str">
        <f>VLOOKUP(Table4[[#This Row],[FromSite-UPS]],Table1[[Company or Name]:[NOTES]],2,FALSE)</f>
        <v>Portugal</v>
      </c>
      <c r="Z321" s="20">
        <f>IFERROR(WEEKNUM(Table4[[#This Row],[Confirmed Sampling Date]] - 10, 21), "TBD")</f>
        <v>39</v>
      </c>
      <c r="AA321" s="20" t="str">
        <f>_xlfn.XLOOKUP(Table4[[#This Row],[FromSite-UPS]],sites!D:D,sites!W:W,"",0)</f>
        <v>R. do Matadouro 4, Funchal, 9050-100, Portugal</v>
      </c>
      <c r="AB321" s="20" t="str">
        <f>_xlfn.XLOOKUP(Table4[[#This Row],[ToLab]],labs!D:D,labs!P:P,"no adres",0)</f>
        <v>Av. Rovisco Pais 1, Laboratorio de Analises de Agua, Lisbon, 1049-001, Portugal</v>
      </c>
      <c r="AC321" s="20">
        <f>_xlfn.XLOOKUP(Table4[[#This Row],[combi]],AREA!E:E,AREA!F:F,"",0)</f>
        <v>89</v>
      </c>
      <c r="AD321" s="20" t="str">
        <f>_xlfn.XLOOKUP(Table4[[#This Row],[combi]],AREA!E:E,AREA!G:G,"",0)</f>
        <v>Pick-up service of hypothetic package as defined in the Tech. Specs. and delivery to lots
2 and 3 contractors according to Scenario 1</v>
      </c>
      <c r="AE321" s="20" t="s">
        <v>125</v>
      </c>
      <c r="AF321" s="20" t="str">
        <f>_xlfn.XLOOKUP(Table4[[#This Row],[FromSite-UPS]],sites!D:D,sites!AB:AB,"",0)&amp;_xlfn.XLOOKUP(Table4[[#This Row],[ToLab]],labs!D:D,labs!Q:Q,"",0)</f>
        <v>EUEU</v>
      </c>
    </row>
    <row r="322" spans="2:32" ht="15.6" hidden="1" customHeight="1" x14ac:dyDescent="0.25">
      <c r="B322" s="13">
        <v>396</v>
      </c>
      <c r="C322" s="14" t="s">
        <v>53</v>
      </c>
      <c r="D322" s="13">
        <v>1</v>
      </c>
      <c r="E322" s="79">
        <v>45938</v>
      </c>
      <c r="F322" s="81">
        <v>45939</v>
      </c>
      <c r="G322" s="20">
        <f>IFERROR(WEEKNUM(Table4[[#This Row],[Confirmed Pick-up Date]]),"TBD")</f>
        <v>41</v>
      </c>
      <c r="H322" s="20" t="str">
        <f>IFERROR(TEXT(Table4[[#This Row],[Confirmed Pick-up Date]],"yy-mm"),"TBD")</f>
        <v>25-10</v>
      </c>
      <c r="I322" s="67" t="s">
        <v>1628</v>
      </c>
      <c r="J322" s="20" t="str">
        <f>IFERROR(VLOOKUP(Table4[[#This Row],[FromSite-UPS]],Table1[[#All],[Company or Name]:[FromSite3]],15,FALSE),"")</f>
        <v>Funchal WWTP</v>
      </c>
      <c r="K322" s="20" t="str">
        <f>IFERROR(VLOOKUP(Table4[[#This Row],[FromSite-UPS]],Table1[[#All],[Company or Name]:[FromSite3]],16,FALSE),"")</f>
        <v>Madeira, 10 locations</v>
      </c>
      <c r="L322" s="20">
        <f>IFERROR(VLOOKUP(Table4[[#This Row],[FromSite-UPS]],Table1[[#All],[Company or Name]:[FromSite3]],14,FALSE),"")</f>
        <v>0.70833333333333337</v>
      </c>
      <c r="M322" s="13" t="s">
        <v>1011</v>
      </c>
      <c r="N322" s="20" t="s">
        <v>134</v>
      </c>
      <c r="O322" s="20">
        <v>7014743444</v>
      </c>
      <c r="P322" s="65" t="s">
        <v>134</v>
      </c>
      <c r="Q322" s="20" t="s">
        <v>1857</v>
      </c>
      <c r="R322" s="20"/>
      <c r="S322" s="20" t="s">
        <v>126</v>
      </c>
      <c r="T322" s="20" t="s">
        <v>856</v>
      </c>
      <c r="U322" s="20"/>
      <c r="V322" s="20"/>
      <c r="W322" s="20" t="str">
        <f>TEXT(Table4[[#This Row],[Confirmed Sampling Date]], "yyyy") &amp; "_" &amp; TEXT(Table4[[#This Row],[Confirmed Sampling Date]], "mm") &amp; "_" &amp; TEXT(Table4[[#This Row],[Confirmed Sampling Date]], "dd")</f>
        <v>2025_10_08</v>
      </c>
      <c r="X322" s="20" t="str">
        <f t="shared" si="4"/>
        <v>Funchal</v>
      </c>
      <c r="Y322" s="20" t="str">
        <f>VLOOKUP(Table4[[#This Row],[FromSite-UPS]],Table1[[Company or Name]:[NOTES]],2,FALSE)</f>
        <v>Portugal</v>
      </c>
      <c r="Z322" s="20">
        <f>IFERROR(WEEKNUM(Table4[[#This Row],[Confirmed Sampling Date]] - 10, 21), "TBD")</f>
        <v>39</v>
      </c>
      <c r="AA322" s="20" t="str">
        <f>_xlfn.XLOOKUP(Table4[[#This Row],[FromSite-UPS]],sites!D:D,sites!W:W,"",0)</f>
        <v>R. do Matadouro 4, Funchal, 9050-100, Portugal</v>
      </c>
      <c r="AB322" s="20" t="str">
        <f>_xlfn.XLOOKUP(Table4[[#This Row],[ToLab]],labs!D:D,labs!P:P,"no adres",0)</f>
        <v>Av. Rovisco Pais 1, Laboratorio de Analises de Agua, Lisbon, 1049-001, Portugal</v>
      </c>
      <c r="AC322" s="20">
        <f>_xlfn.XLOOKUP(Table4[[#This Row],[combi]],AREA!E:E,AREA!F:F,"",0)</f>
        <v>89</v>
      </c>
      <c r="AD322" s="20" t="str">
        <f>_xlfn.XLOOKUP(Table4[[#This Row],[combi]],AREA!E:E,AREA!G:G,"",0)</f>
        <v>Pick-up service of hypothetic package as defined in the Tech. Specs. and delivery to lots
2 and 3 contractors according to Scenario 1</v>
      </c>
      <c r="AE322" s="20" t="s">
        <v>125</v>
      </c>
      <c r="AF322" s="20" t="str">
        <f>_xlfn.XLOOKUP(Table4[[#This Row],[FromSite-UPS]],sites!D:D,sites!AB:AB,"",0)&amp;_xlfn.XLOOKUP(Table4[[#This Row],[ToLab]],labs!D:D,labs!Q:Q,"",0)</f>
        <v>EUEU</v>
      </c>
    </row>
    <row r="323" spans="2:32" ht="15.6" hidden="1" customHeight="1" x14ac:dyDescent="0.25">
      <c r="B323" s="13">
        <v>406</v>
      </c>
      <c r="C323" s="14" t="s">
        <v>53</v>
      </c>
      <c r="D323" s="13">
        <v>1</v>
      </c>
      <c r="E323" s="79">
        <v>45938</v>
      </c>
      <c r="F323" s="81">
        <v>45939</v>
      </c>
      <c r="G323" s="20">
        <f>IFERROR(WEEKNUM(Table4[[#This Row],[Confirmed Pick-up Date]]),"TBD")</f>
        <v>41</v>
      </c>
      <c r="H323" s="20" t="str">
        <f>IFERROR(TEXT(Table4[[#This Row],[Confirmed Pick-up Date]],"yy-mm"),"TBD")</f>
        <v>25-10</v>
      </c>
      <c r="I323" s="67" t="s">
        <v>1628</v>
      </c>
      <c r="J323" s="20" t="str">
        <f>IFERROR(VLOOKUP(Table4[[#This Row],[FromSite-UPS]],Table1[[#All],[Company or Name]:[FromSite3]],15,FALSE),"")</f>
        <v>Funchal WWTP</v>
      </c>
      <c r="K323" s="20" t="str">
        <f>IFERROR(VLOOKUP(Table4[[#This Row],[FromSite-UPS]],Table1[[#All],[Company or Name]:[FromSite3]],16,FALSE),"")</f>
        <v>Madeira, 10 locations</v>
      </c>
      <c r="L323" s="20">
        <f>IFERROR(VLOOKUP(Table4[[#This Row],[FromSite-UPS]],Table1[[#All],[Company or Name]:[FromSite3]],14,FALSE),"")</f>
        <v>0.70833333333333337</v>
      </c>
      <c r="M323" s="13" t="s">
        <v>1011</v>
      </c>
      <c r="N323" s="20" t="s">
        <v>134</v>
      </c>
      <c r="O323" s="20">
        <v>7014743444</v>
      </c>
      <c r="P323" s="65" t="s">
        <v>134</v>
      </c>
      <c r="Q323" s="20" t="s">
        <v>1857</v>
      </c>
      <c r="R323" s="20"/>
      <c r="S323" s="20" t="s">
        <v>126</v>
      </c>
      <c r="T323" s="20" t="s">
        <v>856</v>
      </c>
      <c r="U323" s="20"/>
      <c r="V323" s="20"/>
      <c r="W323" s="20" t="str">
        <f>TEXT(Table4[[#This Row],[Confirmed Sampling Date]], "yyyy") &amp; "_" &amp; TEXT(Table4[[#This Row],[Confirmed Sampling Date]], "mm") &amp; "_" &amp; TEXT(Table4[[#This Row],[Confirmed Sampling Date]], "dd")</f>
        <v>2025_10_08</v>
      </c>
      <c r="X323" s="20" t="str">
        <f t="shared" si="4"/>
        <v>Funchal</v>
      </c>
      <c r="Y323" s="20" t="str">
        <f>VLOOKUP(Table4[[#This Row],[FromSite-UPS]],Table1[[Company or Name]:[NOTES]],2,FALSE)</f>
        <v>Portugal</v>
      </c>
      <c r="Z323" s="20">
        <f>IFERROR(WEEKNUM(Table4[[#This Row],[Confirmed Sampling Date]] - 10, 21), "TBD")</f>
        <v>39</v>
      </c>
      <c r="AA323" s="20" t="str">
        <f>_xlfn.XLOOKUP(Table4[[#This Row],[FromSite-UPS]],sites!D:D,sites!W:W,"",0)</f>
        <v>R. do Matadouro 4, Funchal, 9050-100, Portugal</v>
      </c>
      <c r="AB323" s="20" t="str">
        <f>_xlfn.XLOOKUP(Table4[[#This Row],[ToLab]],labs!D:D,labs!P:P,"no adres",0)</f>
        <v>Av. Rovisco Pais 1, Laboratorio de Analises de Agua, Lisbon, 1049-001, Portugal</v>
      </c>
      <c r="AC323" s="20">
        <f>_xlfn.XLOOKUP(Table4[[#This Row],[combi]],AREA!E:E,AREA!F:F,"",0)</f>
        <v>89</v>
      </c>
      <c r="AD323" s="20" t="str">
        <f>_xlfn.XLOOKUP(Table4[[#This Row],[combi]],AREA!E:E,AREA!G:G,"",0)</f>
        <v>Pick-up service of hypothetic package as defined in the Tech. Specs. and delivery to lots
2 and 3 contractors according to Scenario 1</v>
      </c>
      <c r="AE323" s="20" t="s">
        <v>125</v>
      </c>
      <c r="AF323" s="20" t="str">
        <f>_xlfn.XLOOKUP(Table4[[#This Row],[FromSite-UPS]],sites!D:D,sites!AB:AB,"",0)&amp;_xlfn.XLOOKUP(Table4[[#This Row],[ToLab]],labs!D:D,labs!Q:Q,"",0)</f>
        <v>EUEU</v>
      </c>
    </row>
    <row r="324" spans="2:32" ht="15.6" hidden="1" customHeight="1" x14ac:dyDescent="0.25">
      <c r="B324" s="13">
        <v>416</v>
      </c>
      <c r="C324" s="14" t="s">
        <v>53</v>
      </c>
      <c r="D324" s="13">
        <v>1</v>
      </c>
      <c r="E324" s="79">
        <v>45938</v>
      </c>
      <c r="F324" s="80">
        <v>45939</v>
      </c>
      <c r="G324" s="20">
        <f>IFERROR(WEEKNUM(Table4[[#This Row],[Confirmed Pick-up Date]]),"TBD")</f>
        <v>41</v>
      </c>
      <c r="H324" s="20" t="str">
        <f>IFERROR(TEXT(Table4[[#This Row],[Confirmed Pick-up Date]],"yy-mm"),"TBD")</f>
        <v>25-10</v>
      </c>
      <c r="I324" s="78" t="s">
        <v>1628</v>
      </c>
      <c r="J324" s="20" t="str">
        <f>IFERROR(VLOOKUP(Table4[[#This Row],[FromSite-UPS]],Table1[[#All],[Company or Name]:[FromSite3]],15,FALSE),"")</f>
        <v>Funchal WWTP</v>
      </c>
      <c r="K324" s="20" t="str">
        <f>IFERROR(VLOOKUP(Table4[[#This Row],[FromSite-UPS]],Table1[[#All],[Company or Name]:[FromSite3]],16,FALSE),"")</f>
        <v>Madeira, 10 locations</v>
      </c>
      <c r="L324" s="20">
        <f>IFERROR(VLOOKUP(Table4[[#This Row],[FromSite-UPS]],Table1[[#All],[Company or Name]:[FromSite3]],14,FALSE),"")</f>
        <v>0.70833333333333337</v>
      </c>
      <c r="M324" s="13" t="s">
        <v>1011</v>
      </c>
      <c r="N324" s="20" t="s">
        <v>134</v>
      </c>
      <c r="O324" s="20">
        <v>7014743444</v>
      </c>
      <c r="P324" s="20" t="s">
        <v>134</v>
      </c>
      <c r="Q324" s="20" t="s">
        <v>1857</v>
      </c>
      <c r="R324" s="20"/>
      <c r="S324" s="20" t="s">
        <v>126</v>
      </c>
      <c r="T324" s="20" t="s">
        <v>856</v>
      </c>
      <c r="U324" s="20"/>
      <c r="V324" s="20"/>
      <c r="W324" s="20" t="str">
        <f>TEXT(Table4[[#This Row],[Confirmed Sampling Date]], "yyyy") &amp; "_" &amp; TEXT(Table4[[#This Row],[Confirmed Sampling Date]], "mm") &amp; "_" &amp; TEXT(Table4[[#This Row],[Confirmed Sampling Date]], "dd")</f>
        <v>2025_10_08</v>
      </c>
      <c r="X324" s="20" t="str">
        <f t="shared" si="4"/>
        <v>Funchal</v>
      </c>
      <c r="Y324" s="20" t="str">
        <f>VLOOKUP(Table4[[#This Row],[FromSite-UPS]],Table1[[Company or Name]:[NOTES]],2,FALSE)</f>
        <v>Portugal</v>
      </c>
      <c r="Z324" s="20">
        <f>IFERROR(WEEKNUM(Table4[[#This Row],[Confirmed Sampling Date]] - 10, 21), "TBD")</f>
        <v>39</v>
      </c>
      <c r="AA324" s="20" t="str">
        <f>_xlfn.XLOOKUP(Table4[[#This Row],[FromSite-UPS]],sites!D:D,sites!W:W,"",0)</f>
        <v>R. do Matadouro 4, Funchal, 9050-100, Portugal</v>
      </c>
      <c r="AB324" s="20" t="str">
        <f>_xlfn.XLOOKUP(Table4[[#This Row],[ToLab]],labs!D:D,labs!P:P,"no adres",0)</f>
        <v>Av. Rovisco Pais 1, Laboratorio de Analises de Agua, Lisbon, 1049-001, Portugal</v>
      </c>
      <c r="AC324" s="20">
        <f>_xlfn.XLOOKUP(Table4[[#This Row],[combi]],AREA!E:E,AREA!F:F,"",0)</f>
        <v>89</v>
      </c>
      <c r="AD324" s="20" t="str">
        <f>_xlfn.XLOOKUP(Table4[[#This Row],[combi]],AREA!E:E,AREA!G:G,"",0)</f>
        <v>Pick-up service of hypothetic package as defined in the Tech. Specs. and delivery to lots
2 and 3 contractors according to Scenario 1</v>
      </c>
      <c r="AE324" s="20" t="s">
        <v>125</v>
      </c>
      <c r="AF324" s="20" t="str">
        <f>_xlfn.XLOOKUP(Table4[[#This Row],[FromSite-UPS]],sites!D:D,sites!AB:AB,"",0)&amp;_xlfn.XLOOKUP(Table4[[#This Row],[ToLab]],labs!D:D,labs!Q:Q,"",0)</f>
        <v>EUEU</v>
      </c>
    </row>
    <row r="325" spans="2:32" ht="15.6" hidden="1" customHeight="1" x14ac:dyDescent="0.25">
      <c r="B325" s="13">
        <v>426</v>
      </c>
      <c r="C325" s="14" t="s">
        <v>53</v>
      </c>
      <c r="D325" s="13">
        <v>1</v>
      </c>
      <c r="E325" s="79">
        <v>45938</v>
      </c>
      <c r="F325" s="80">
        <v>45939</v>
      </c>
      <c r="G325" s="20">
        <f>IFERROR(WEEKNUM(Table4[[#This Row],[Confirmed Pick-up Date]]),"TBD")</f>
        <v>41</v>
      </c>
      <c r="H325" s="20" t="str">
        <f>IFERROR(TEXT(Table4[[#This Row],[Confirmed Pick-up Date]],"yy-mm"),"TBD")</f>
        <v>25-10</v>
      </c>
      <c r="I325" s="78" t="s">
        <v>1628</v>
      </c>
      <c r="J325" s="20" t="str">
        <f>IFERROR(VLOOKUP(Table4[[#This Row],[FromSite-UPS]],Table1[[#All],[Company or Name]:[FromSite3]],15,FALSE),"")</f>
        <v>Funchal WWTP</v>
      </c>
      <c r="K325" s="20" t="str">
        <f>IFERROR(VLOOKUP(Table4[[#This Row],[FromSite-UPS]],Table1[[#All],[Company or Name]:[FromSite3]],16,FALSE),"")</f>
        <v>Madeira, 10 locations</v>
      </c>
      <c r="L325" s="20">
        <f>IFERROR(VLOOKUP(Table4[[#This Row],[FromSite-UPS]],Table1[[#All],[Company or Name]:[FromSite3]],14,FALSE),"")</f>
        <v>0.70833333333333337</v>
      </c>
      <c r="M325" s="13" t="s">
        <v>1011</v>
      </c>
      <c r="N325" s="20" t="s">
        <v>134</v>
      </c>
      <c r="O325" s="20">
        <v>7014743444</v>
      </c>
      <c r="P325" s="65" t="s">
        <v>134</v>
      </c>
      <c r="Q325" s="20" t="s">
        <v>1857</v>
      </c>
      <c r="R325" s="20"/>
      <c r="S325" s="20" t="s">
        <v>126</v>
      </c>
      <c r="T325" s="20" t="s">
        <v>856</v>
      </c>
      <c r="U325" s="20"/>
      <c r="V325" s="20"/>
      <c r="W325" s="20" t="str">
        <f>TEXT(Table4[[#This Row],[Confirmed Sampling Date]], "yyyy") &amp; "_" &amp; TEXT(Table4[[#This Row],[Confirmed Sampling Date]], "mm") &amp; "_" &amp; TEXT(Table4[[#This Row],[Confirmed Sampling Date]], "dd")</f>
        <v>2025_10_08</v>
      </c>
      <c r="X325" s="20" t="str">
        <f t="shared" ref="X325:X388" si="5">IFERROR(LEFT(J325, FIND(" ", J325) - 1), J325)</f>
        <v>Funchal</v>
      </c>
      <c r="Y325" s="20" t="str">
        <f>VLOOKUP(Table4[[#This Row],[FromSite-UPS]],Table1[[Company or Name]:[NOTES]],2,FALSE)</f>
        <v>Portugal</v>
      </c>
      <c r="Z325" s="20">
        <f>IFERROR(WEEKNUM(Table4[[#This Row],[Confirmed Sampling Date]] - 10, 21), "TBD")</f>
        <v>39</v>
      </c>
      <c r="AA325" s="20" t="str">
        <f>_xlfn.XLOOKUP(Table4[[#This Row],[FromSite-UPS]],sites!D:D,sites!W:W,"",0)</f>
        <v>R. do Matadouro 4, Funchal, 9050-100, Portugal</v>
      </c>
      <c r="AB325" s="20" t="str">
        <f>_xlfn.XLOOKUP(Table4[[#This Row],[ToLab]],labs!D:D,labs!P:P,"no adres",0)</f>
        <v>Av. Rovisco Pais 1, Laboratorio de Analises de Agua, Lisbon, 1049-001, Portugal</v>
      </c>
      <c r="AC325" s="20">
        <f>_xlfn.XLOOKUP(Table4[[#This Row],[combi]],AREA!E:E,AREA!F:F,"",0)</f>
        <v>89</v>
      </c>
      <c r="AD325" s="20" t="str">
        <f>_xlfn.XLOOKUP(Table4[[#This Row],[combi]],AREA!E:E,AREA!G:G,"",0)</f>
        <v>Pick-up service of hypothetic package as defined in the Tech. Specs. and delivery to lots
2 and 3 contractors according to Scenario 1</v>
      </c>
      <c r="AE325" s="20" t="s">
        <v>125</v>
      </c>
      <c r="AF325" s="20" t="str">
        <f>_xlfn.XLOOKUP(Table4[[#This Row],[FromSite-UPS]],sites!D:D,sites!AB:AB,"",0)&amp;_xlfn.XLOOKUP(Table4[[#This Row],[ToLab]],labs!D:D,labs!Q:Q,"",0)</f>
        <v>EUEU</v>
      </c>
    </row>
    <row r="326" spans="2:32" ht="15.6" hidden="1" customHeight="1" x14ac:dyDescent="0.25">
      <c r="B326" s="13">
        <v>436</v>
      </c>
      <c r="C326" s="14" t="s">
        <v>53</v>
      </c>
      <c r="D326" s="13">
        <v>1</v>
      </c>
      <c r="E326" s="79">
        <v>45938</v>
      </c>
      <c r="F326" s="80">
        <v>45939</v>
      </c>
      <c r="G326" s="20">
        <f>IFERROR(WEEKNUM(Table4[[#This Row],[Confirmed Pick-up Date]]),"TBD")</f>
        <v>41</v>
      </c>
      <c r="H326" s="20" t="str">
        <f>IFERROR(TEXT(Table4[[#This Row],[Confirmed Pick-up Date]],"yy-mm"),"TBD")</f>
        <v>25-10</v>
      </c>
      <c r="I326" s="78" t="s">
        <v>1628</v>
      </c>
      <c r="J326" s="20" t="str">
        <f>IFERROR(VLOOKUP(Table4[[#This Row],[FromSite-UPS]],Table1[[#All],[Company or Name]:[FromSite3]],15,FALSE),"")</f>
        <v>Funchal WWTP</v>
      </c>
      <c r="K326" s="20" t="str">
        <f>IFERROR(VLOOKUP(Table4[[#This Row],[FromSite-UPS]],Table1[[#All],[Company or Name]:[FromSite3]],16,FALSE),"")</f>
        <v>Madeira, 10 locations</v>
      </c>
      <c r="L326" s="20">
        <f>IFERROR(VLOOKUP(Table4[[#This Row],[FromSite-UPS]],Table1[[#All],[Company or Name]:[FromSite3]],14,FALSE),"")</f>
        <v>0.70833333333333337</v>
      </c>
      <c r="M326" s="13" t="s">
        <v>1011</v>
      </c>
      <c r="N326" s="20" t="s">
        <v>134</v>
      </c>
      <c r="O326" s="20">
        <v>7014743444</v>
      </c>
      <c r="P326" s="20" t="s">
        <v>134</v>
      </c>
      <c r="Q326" s="20" t="s">
        <v>1857</v>
      </c>
      <c r="R326" s="20"/>
      <c r="S326" s="20" t="s">
        <v>126</v>
      </c>
      <c r="T326" s="20" t="s">
        <v>856</v>
      </c>
      <c r="U326" s="20"/>
      <c r="V326" s="20"/>
      <c r="W326" s="20" t="str">
        <f>TEXT(Table4[[#This Row],[Confirmed Sampling Date]], "yyyy") &amp; "_" &amp; TEXT(Table4[[#This Row],[Confirmed Sampling Date]], "mm") &amp; "_" &amp; TEXT(Table4[[#This Row],[Confirmed Sampling Date]], "dd")</f>
        <v>2025_10_08</v>
      </c>
      <c r="X326" s="20" t="str">
        <f t="shared" si="5"/>
        <v>Funchal</v>
      </c>
      <c r="Y326" s="20" t="str">
        <f>VLOOKUP(Table4[[#This Row],[FromSite-UPS]],Table1[[Company or Name]:[NOTES]],2,FALSE)</f>
        <v>Portugal</v>
      </c>
      <c r="Z326" s="20">
        <f>IFERROR(WEEKNUM(Table4[[#This Row],[Confirmed Sampling Date]] - 10, 21), "TBD")</f>
        <v>39</v>
      </c>
      <c r="AA326" s="20" t="str">
        <f>_xlfn.XLOOKUP(Table4[[#This Row],[FromSite-UPS]],sites!D:D,sites!W:W,"",0)</f>
        <v>R. do Matadouro 4, Funchal, 9050-100, Portugal</v>
      </c>
      <c r="AB326" s="20" t="str">
        <f>_xlfn.XLOOKUP(Table4[[#This Row],[ToLab]],labs!D:D,labs!P:P,"no adres",0)</f>
        <v>Av. Rovisco Pais 1, Laboratorio de Analises de Agua, Lisbon, 1049-001, Portugal</v>
      </c>
      <c r="AC326" s="20">
        <f>_xlfn.XLOOKUP(Table4[[#This Row],[combi]],AREA!E:E,AREA!F:F,"",0)</f>
        <v>89</v>
      </c>
      <c r="AD326" s="20" t="str">
        <f>_xlfn.XLOOKUP(Table4[[#This Row],[combi]],AREA!E:E,AREA!G:G,"",0)</f>
        <v>Pick-up service of hypothetic package as defined in the Tech. Specs. and delivery to lots
2 and 3 contractors according to Scenario 1</v>
      </c>
      <c r="AE326" s="20" t="s">
        <v>125</v>
      </c>
      <c r="AF326" s="20" t="str">
        <f>_xlfn.XLOOKUP(Table4[[#This Row],[FromSite-UPS]],sites!D:D,sites!AB:AB,"",0)&amp;_xlfn.XLOOKUP(Table4[[#This Row],[ToLab]],labs!D:D,labs!Q:Q,"",0)</f>
        <v>EUEU</v>
      </c>
    </row>
    <row r="327" spans="2:32" ht="15.6" hidden="1" customHeight="1" x14ac:dyDescent="0.25">
      <c r="B327" s="13">
        <v>446</v>
      </c>
      <c r="C327" s="14" t="s">
        <v>53</v>
      </c>
      <c r="D327" s="13">
        <v>1</v>
      </c>
      <c r="E327" s="79">
        <v>45938</v>
      </c>
      <c r="F327" s="81">
        <v>45939</v>
      </c>
      <c r="G327" s="20">
        <f>IFERROR(WEEKNUM(Table4[[#This Row],[Confirmed Pick-up Date]]),"TBD")</f>
        <v>41</v>
      </c>
      <c r="H327" s="20" t="str">
        <f>IFERROR(TEXT(Table4[[#This Row],[Confirmed Pick-up Date]],"yy-mm"),"TBD")</f>
        <v>25-10</v>
      </c>
      <c r="I327" s="78" t="s">
        <v>1628</v>
      </c>
      <c r="J327" s="20" t="str">
        <f>IFERROR(VLOOKUP(Table4[[#This Row],[FromSite-UPS]],Table1[[#All],[Company or Name]:[FromSite3]],15,FALSE),"")</f>
        <v>Funchal WWTP</v>
      </c>
      <c r="K327" s="20" t="str">
        <f>IFERROR(VLOOKUP(Table4[[#This Row],[FromSite-UPS]],Table1[[#All],[Company or Name]:[FromSite3]],16,FALSE),"")</f>
        <v>Madeira, 10 locations</v>
      </c>
      <c r="L327" s="20">
        <f>IFERROR(VLOOKUP(Table4[[#This Row],[FromSite-UPS]],Table1[[#All],[Company or Name]:[FromSite3]],14,FALSE),"")</f>
        <v>0.70833333333333337</v>
      </c>
      <c r="M327" s="13" t="s">
        <v>1011</v>
      </c>
      <c r="N327" s="20" t="s">
        <v>134</v>
      </c>
      <c r="O327" s="20">
        <v>7014743444</v>
      </c>
      <c r="P327" s="65" t="s">
        <v>134</v>
      </c>
      <c r="Q327" s="20" t="s">
        <v>1857</v>
      </c>
      <c r="R327" s="20"/>
      <c r="S327" s="20" t="s">
        <v>126</v>
      </c>
      <c r="T327" s="20" t="s">
        <v>856</v>
      </c>
      <c r="U327" s="20"/>
      <c r="V327" s="20"/>
      <c r="W327" s="20" t="str">
        <f>TEXT(Table4[[#This Row],[Confirmed Sampling Date]], "yyyy") &amp; "_" &amp; TEXT(Table4[[#This Row],[Confirmed Sampling Date]], "mm") &amp; "_" &amp; TEXT(Table4[[#This Row],[Confirmed Sampling Date]], "dd")</f>
        <v>2025_10_08</v>
      </c>
      <c r="X327" s="20" t="str">
        <f t="shared" si="5"/>
        <v>Funchal</v>
      </c>
      <c r="Y327" s="20" t="str">
        <f>VLOOKUP(Table4[[#This Row],[FromSite-UPS]],Table1[[Company or Name]:[NOTES]],2,FALSE)</f>
        <v>Portugal</v>
      </c>
      <c r="Z327" s="20">
        <f>IFERROR(WEEKNUM(Table4[[#This Row],[Confirmed Sampling Date]] - 10, 21), "TBD")</f>
        <v>39</v>
      </c>
      <c r="AA327" s="20" t="str">
        <f>_xlfn.XLOOKUP(Table4[[#This Row],[FromSite-UPS]],sites!D:D,sites!W:W,"",0)</f>
        <v>R. do Matadouro 4, Funchal, 9050-100, Portugal</v>
      </c>
      <c r="AB327" s="20" t="str">
        <f>_xlfn.XLOOKUP(Table4[[#This Row],[ToLab]],labs!D:D,labs!P:P,"no adres",0)</f>
        <v>Av. Rovisco Pais 1, Laboratorio de Analises de Agua, Lisbon, 1049-001, Portugal</v>
      </c>
      <c r="AC327" s="20">
        <f>_xlfn.XLOOKUP(Table4[[#This Row],[combi]],AREA!E:E,AREA!F:F,"",0)</f>
        <v>89</v>
      </c>
      <c r="AD327" s="20" t="str">
        <f>_xlfn.XLOOKUP(Table4[[#This Row],[combi]],AREA!E:E,AREA!G:G,"",0)</f>
        <v>Pick-up service of hypothetic package as defined in the Tech. Specs. and delivery to lots
2 and 3 contractors according to Scenario 1</v>
      </c>
      <c r="AE327" s="20" t="s">
        <v>125</v>
      </c>
      <c r="AF327" s="20" t="str">
        <f>_xlfn.XLOOKUP(Table4[[#This Row],[FromSite-UPS]],sites!D:D,sites!AB:AB,"",0)&amp;_xlfn.XLOOKUP(Table4[[#This Row],[ToLab]],labs!D:D,labs!Q:Q,"",0)</f>
        <v>EUEU</v>
      </c>
    </row>
    <row r="328" spans="2:32" ht="15.6" hidden="1" customHeight="1" x14ac:dyDescent="0.25">
      <c r="B328" s="13">
        <v>456</v>
      </c>
      <c r="C328" s="14" t="s">
        <v>53</v>
      </c>
      <c r="D328" s="13">
        <v>1</v>
      </c>
      <c r="E328" s="79">
        <v>45938</v>
      </c>
      <c r="F328" s="81">
        <v>45939</v>
      </c>
      <c r="G328" s="20">
        <f>IFERROR(WEEKNUM(Table4[[#This Row],[Confirmed Pick-up Date]]),"TBD")</f>
        <v>41</v>
      </c>
      <c r="H328" s="20" t="str">
        <f>IFERROR(TEXT(Table4[[#This Row],[Confirmed Pick-up Date]],"yy-mm"),"TBD")</f>
        <v>25-10</v>
      </c>
      <c r="I328" s="78" t="s">
        <v>1628</v>
      </c>
      <c r="J328" s="20" t="str">
        <f>IFERROR(VLOOKUP(Table4[[#This Row],[FromSite-UPS]],Table1[[#All],[Company or Name]:[FromSite3]],15,FALSE),"")</f>
        <v>Funchal WWTP</v>
      </c>
      <c r="K328" s="20" t="str">
        <f>IFERROR(VLOOKUP(Table4[[#This Row],[FromSite-UPS]],Table1[[#All],[Company or Name]:[FromSite3]],16,FALSE),"")</f>
        <v>Madeira, 10 locations</v>
      </c>
      <c r="L328" s="20">
        <f>IFERROR(VLOOKUP(Table4[[#This Row],[FromSite-UPS]],Table1[[#All],[Company or Name]:[FromSite3]],14,FALSE),"")</f>
        <v>0.70833333333333337</v>
      </c>
      <c r="M328" s="13" t="s">
        <v>1011</v>
      </c>
      <c r="N328" s="20" t="s">
        <v>134</v>
      </c>
      <c r="O328" s="20">
        <v>7014743444</v>
      </c>
      <c r="P328" s="20" t="s">
        <v>134</v>
      </c>
      <c r="Q328" s="20" t="s">
        <v>1857</v>
      </c>
      <c r="R328" s="20"/>
      <c r="S328" s="20" t="s">
        <v>126</v>
      </c>
      <c r="T328" s="20" t="s">
        <v>856</v>
      </c>
      <c r="U328" s="20"/>
      <c r="V328" s="20"/>
      <c r="W328" s="20" t="str">
        <f>TEXT(Table4[[#This Row],[Confirmed Sampling Date]], "yyyy") &amp; "_" &amp; TEXT(Table4[[#This Row],[Confirmed Sampling Date]], "mm") &amp; "_" &amp; TEXT(Table4[[#This Row],[Confirmed Sampling Date]], "dd")</f>
        <v>2025_10_08</v>
      </c>
      <c r="X328" s="20" t="str">
        <f t="shared" si="5"/>
        <v>Funchal</v>
      </c>
      <c r="Y328" s="20" t="str">
        <f>VLOOKUP(Table4[[#This Row],[FromSite-UPS]],Table1[[Company or Name]:[NOTES]],2,FALSE)</f>
        <v>Portugal</v>
      </c>
      <c r="Z328" s="20">
        <f>IFERROR(WEEKNUM(Table4[[#This Row],[Confirmed Sampling Date]] - 10, 21), "TBD")</f>
        <v>39</v>
      </c>
      <c r="AA328" s="20" t="str">
        <f>_xlfn.XLOOKUP(Table4[[#This Row],[FromSite-UPS]],sites!D:D,sites!W:W,"",0)</f>
        <v>R. do Matadouro 4, Funchal, 9050-100, Portugal</v>
      </c>
      <c r="AB328" s="20" t="str">
        <f>_xlfn.XLOOKUP(Table4[[#This Row],[ToLab]],labs!D:D,labs!P:P,"no adres",0)</f>
        <v>Av. Rovisco Pais 1, Laboratorio de Analises de Agua, Lisbon, 1049-001, Portugal</v>
      </c>
      <c r="AC328" s="20">
        <f>_xlfn.XLOOKUP(Table4[[#This Row],[combi]],AREA!E:E,AREA!F:F,"",0)</f>
        <v>89</v>
      </c>
      <c r="AD328" s="20" t="str">
        <f>_xlfn.XLOOKUP(Table4[[#This Row],[combi]],AREA!E:E,AREA!G:G,"",0)</f>
        <v>Pick-up service of hypothetic package as defined in the Tech. Specs. and delivery to lots
2 and 3 contractors according to Scenario 1</v>
      </c>
      <c r="AE328" s="20" t="s">
        <v>125</v>
      </c>
      <c r="AF328" s="20" t="str">
        <f>_xlfn.XLOOKUP(Table4[[#This Row],[FromSite-UPS]],sites!D:D,sites!AB:AB,"",0)&amp;_xlfn.XLOOKUP(Table4[[#This Row],[ToLab]],labs!D:D,labs!Q:Q,"",0)</f>
        <v>EUEU</v>
      </c>
    </row>
    <row r="329" spans="2:32" ht="15.6" hidden="1" customHeight="1" x14ac:dyDescent="0.25">
      <c r="B329" s="13">
        <v>466</v>
      </c>
      <c r="C329" s="14" t="s">
        <v>53</v>
      </c>
      <c r="D329" s="13">
        <v>1</v>
      </c>
      <c r="E329" s="79">
        <v>45938</v>
      </c>
      <c r="F329" s="80">
        <v>45939</v>
      </c>
      <c r="G329" s="20">
        <f>IFERROR(WEEKNUM(Table4[[#This Row],[Confirmed Pick-up Date]]),"TBD")</f>
        <v>41</v>
      </c>
      <c r="H329" s="20" t="str">
        <f>IFERROR(TEXT(Table4[[#This Row],[Confirmed Pick-up Date]],"yy-mm"),"TBD")</f>
        <v>25-10</v>
      </c>
      <c r="I329" s="78" t="s">
        <v>1628</v>
      </c>
      <c r="J329" s="20" t="str">
        <f>IFERROR(VLOOKUP(Table4[[#This Row],[FromSite-UPS]],Table1[[#All],[Company or Name]:[FromSite3]],15,FALSE),"")</f>
        <v>Funchal WWTP</v>
      </c>
      <c r="K329" s="20" t="str">
        <f>IFERROR(VLOOKUP(Table4[[#This Row],[FromSite-UPS]],Table1[[#All],[Company or Name]:[FromSite3]],16,FALSE),"")</f>
        <v>Madeira, 10 locations</v>
      </c>
      <c r="L329" s="20">
        <f>IFERROR(VLOOKUP(Table4[[#This Row],[FromSite-UPS]],Table1[[#All],[Company or Name]:[FromSite3]],14,FALSE),"")</f>
        <v>0.70833333333333337</v>
      </c>
      <c r="M329" s="13" t="s">
        <v>1011</v>
      </c>
      <c r="N329" s="20" t="s">
        <v>134</v>
      </c>
      <c r="O329" s="20">
        <v>7014743444</v>
      </c>
      <c r="P329" s="20" t="s">
        <v>134</v>
      </c>
      <c r="Q329" s="20" t="s">
        <v>1857</v>
      </c>
      <c r="R329" s="20"/>
      <c r="S329" s="20" t="s">
        <v>126</v>
      </c>
      <c r="T329" s="20" t="s">
        <v>856</v>
      </c>
      <c r="U329" s="20"/>
      <c r="V329" s="20"/>
      <c r="W329" s="20" t="str">
        <f>TEXT(Table4[[#This Row],[Confirmed Sampling Date]], "yyyy") &amp; "_" &amp; TEXT(Table4[[#This Row],[Confirmed Sampling Date]], "mm") &amp; "_" &amp; TEXT(Table4[[#This Row],[Confirmed Sampling Date]], "dd")</f>
        <v>2025_10_08</v>
      </c>
      <c r="X329" s="20" t="str">
        <f t="shared" si="5"/>
        <v>Funchal</v>
      </c>
      <c r="Y329" s="20" t="str">
        <f>VLOOKUP(Table4[[#This Row],[FromSite-UPS]],Table1[[Company or Name]:[NOTES]],2,FALSE)</f>
        <v>Portugal</v>
      </c>
      <c r="Z329" s="20">
        <f>IFERROR(WEEKNUM(Table4[[#This Row],[Confirmed Sampling Date]] - 10, 21), "TBD")</f>
        <v>39</v>
      </c>
      <c r="AA329" s="20" t="str">
        <f>_xlfn.XLOOKUP(Table4[[#This Row],[FromSite-UPS]],sites!D:D,sites!W:W,"",0)</f>
        <v>R. do Matadouro 4, Funchal, 9050-100, Portugal</v>
      </c>
      <c r="AB329" s="20" t="str">
        <f>_xlfn.XLOOKUP(Table4[[#This Row],[ToLab]],labs!D:D,labs!P:P,"no adres",0)</f>
        <v>Av. Rovisco Pais 1, Laboratorio de Analises de Agua, Lisbon, 1049-001, Portugal</v>
      </c>
      <c r="AC329" s="20">
        <f>_xlfn.XLOOKUP(Table4[[#This Row],[combi]],AREA!E:E,AREA!F:F,"",0)</f>
        <v>89</v>
      </c>
      <c r="AD329" s="20" t="str">
        <f>_xlfn.XLOOKUP(Table4[[#This Row],[combi]],AREA!E:E,AREA!G:G,"",0)</f>
        <v>Pick-up service of hypothetic package as defined in the Tech. Specs. and delivery to lots
2 and 3 contractors according to Scenario 1</v>
      </c>
      <c r="AE329" s="20" t="s">
        <v>125</v>
      </c>
      <c r="AF329" s="20" t="str">
        <f>_xlfn.XLOOKUP(Table4[[#This Row],[FromSite-UPS]],sites!D:D,sites!AB:AB,"",0)&amp;_xlfn.XLOOKUP(Table4[[#This Row],[ToLab]],labs!D:D,labs!Q:Q,"",0)</f>
        <v>EUEU</v>
      </c>
    </row>
    <row r="330" spans="2:32" ht="15.6" hidden="1" customHeight="1" x14ac:dyDescent="0.25">
      <c r="B330" s="13">
        <v>476</v>
      </c>
      <c r="C330" s="14" t="s">
        <v>53</v>
      </c>
      <c r="D330" s="13">
        <v>1</v>
      </c>
      <c r="E330" s="79">
        <v>45938</v>
      </c>
      <c r="F330" s="80">
        <v>45939</v>
      </c>
      <c r="G330" s="20">
        <f>IFERROR(WEEKNUM(Table4[[#This Row],[Confirmed Pick-up Date]]),"TBD")</f>
        <v>41</v>
      </c>
      <c r="H330" s="20" t="str">
        <f>IFERROR(TEXT(Table4[[#This Row],[Confirmed Pick-up Date]],"yy-mm"),"TBD")</f>
        <v>25-10</v>
      </c>
      <c r="I330" s="78" t="s">
        <v>1628</v>
      </c>
      <c r="J330" s="20" t="str">
        <f>IFERROR(VLOOKUP(Table4[[#This Row],[FromSite-UPS]],Table1[[#All],[Company or Name]:[FromSite3]],15,FALSE),"")</f>
        <v>Funchal WWTP</v>
      </c>
      <c r="K330" s="20" t="str">
        <f>IFERROR(VLOOKUP(Table4[[#This Row],[FromSite-UPS]],Table1[[#All],[Company or Name]:[FromSite3]],16,FALSE),"")</f>
        <v>Madeira, 10 locations</v>
      </c>
      <c r="L330" s="20">
        <f>IFERROR(VLOOKUP(Table4[[#This Row],[FromSite-UPS]],Table1[[#All],[Company or Name]:[FromSite3]],14,FALSE),"")</f>
        <v>0.70833333333333337</v>
      </c>
      <c r="M330" s="13" t="s">
        <v>1011</v>
      </c>
      <c r="N330" s="20" t="s">
        <v>134</v>
      </c>
      <c r="O330" s="20">
        <v>7014743444</v>
      </c>
      <c r="P330" s="20" t="s">
        <v>134</v>
      </c>
      <c r="Q330" s="20" t="s">
        <v>1857</v>
      </c>
      <c r="R330" s="20"/>
      <c r="S330" s="20" t="s">
        <v>126</v>
      </c>
      <c r="T330" s="20" t="s">
        <v>856</v>
      </c>
      <c r="U330" s="20"/>
      <c r="V330" s="20"/>
      <c r="W330" s="20" t="str">
        <f>TEXT(Table4[[#This Row],[Confirmed Sampling Date]], "yyyy") &amp; "_" &amp; TEXT(Table4[[#This Row],[Confirmed Sampling Date]], "mm") &amp; "_" &amp; TEXT(Table4[[#This Row],[Confirmed Sampling Date]], "dd")</f>
        <v>2025_10_08</v>
      </c>
      <c r="X330" s="20" t="str">
        <f t="shared" si="5"/>
        <v>Funchal</v>
      </c>
      <c r="Y330" s="20" t="str">
        <f>VLOOKUP(Table4[[#This Row],[FromSite-UPS]],Table1[[Company or Name]:[NOTES]],2,FALSE)</f>
        <v>Portugal</v>
      </c>
      <c r="Z330" s="20">
        <f>IFERROR(WEEKNUM(Table4[[#This Row],[Confirmed Sampling Date]] - 10, 21), "TBD")</f>
        <v>39</v>
      </c>
      <c r="AA330" s="20" t="str">
        <f>_xlfn.XLOOKUP(Table4[[#This Row],[FromSite-UPS]],sites!D:D,sites!W:W,"",0)</f>
        <v>R. do Matadouro 4, Funchal, 9050-100, Portugal</v>
      </c>
      <c r="AB330" s="20" t="str">
        <f>_xlfn.XLOOKUP(Table4[[#This Row],[ToLab]],labs!D:D,labs!P:P,"no adres",0)</f>
        <v>Av. Rovisco Pais 1, Laboratorio de Analises de Agua, Lisbon, 1049-001, Portugal</v>
      </c>
      <c r="AC330" s="20">
        <f>_xlfn.XLOOKUP(Table4[[#This Row],[combi]],AREA!E:E,AREA!F:F,"",0)</f>
        <v>89</v>
      </c>
      <c r="AD330" s="20" t="str">
        <f>_xlfn.XLOOKUP(Table4[[#This Row],[combi]],AREA!E:E,AREA!G:G,"",0)</f>
        <v>Pick-up service of hypothetic package as defined in the Tech. Specs. and delivery to lots
2 and 3 contractors according to Scenario 1</v>
      </c>
      <c r="AE330" s="20" t="s">
        <v>125</v>
      </c>
      <c r="AF330" s="20" t="str">
        <f>_xlfn.XLOOKUP(Table4[[#This Row],[FromSite-UPS]],sites!D:D,sites!AB:AB,"",0)&amp;_xlfn.XLOOKUP(Table4[[#This Row],[ToLab]],labs!D:D,labs!Q:Q,"",0)</f>
        <v>EUEU</v>
      </c>
    </row>
    <row r="331" spans="2:32" ht="15.6" hidden="1" customHeight="1" x14ac:dyDescent="0.25">
      <c r="B331" s="13">
        <v>486</v>
      </c>
      <c r="C331" s="14" t="s">
        <v>53</v>
      </c>
      <c r="D331" s="13">
        <v>1</v>
      </c>
      <c r="E331" s="79">
        <v>45938</v>
      </c>
      <c r="F331" s="80">
        <v>45939</v>
      </c>
      <c r="G331" s="20">
        <f>IFERROR(WEEKNUM(Table4[[#This Row],[Confirmed Pick-up Date]]),"TBD")</f>
        <v>41</v>
      </c>
      <c r="H331" s="20" t="str">
        <f>IFERROR(TEXT(Table4[[#This Row],[Confirmed Pick-up Date]],"yy-mm"),"TBD")</f>
        <v>25-10</v>
      </c>
      <c r="I331" s="78" t="s">
        <v>1628</v>
      </c>
      <c r="J331" s="20" t="str">
        <f>IFERROR(VLOOKUP(Table4[[#This Row],[FromSite-UPS]],Table1[[#All],[Company or Name]:[FromSite3]],15,FALSE),"")</f>
        <v>Funchal WWTP</v>
      </c>
      <c r="K331" s="20" t="str">
        <f>IFERROR(VLOOKUP(Table4[[#This Row],[FromSite-UPS]],Table1[[#All],[Company or Name]:[FromSite3]],16,FALSE),"")</f>
        <v>Madeira, 10 locations</v>
      </c>
      <c r="L331" s="20">
        <f>IFERROR(VLOOKUP(Table4[[#This Row],[FromSite-UPS]],Table1[[#All],[Company or Name]:[FromSite3]],14,FALSE),"")</f>
        <v>0.70833333333333337</v>
      </c>
      <c r="M331" s="13" t="s">
        <v>1011</v>
      </c>
      <c r="N331" s="20" t="s">
        <v>134</v>
      </c>
      <c r="O331" s="20">
        <v>7014743444</v>
      </c>
      <c r="P331" s="20" t="s">
        <v>134</v>
      </c>
      <c r="Q331" s="20" t="s">
        <v>1857</v>
      </c>
      <c r="R331" s="20"/>
      <c r="S331" s="20" t="s">
        <v>126</v>
      </c>
      <c r="T331" s="20" t="s">
        <v>856</v>
      </c>
      <c r="U331" s="20"/>
      <c r="V331" s="20"/>
      <c r="W331" s="20" t="str">
        <f>TEXT(Table4[[#This Row],[Confirmed Sampling Date]], "yyyy") &amp; "_" &amp; TEXT(Table4[[#This Row],[Confirmed Sampling Date]], "mm") &amp; "_" &amp; TEXT(Table4[[#This Row],[Confirmed Sampling Date]], "dd")</f>
        <v>2025_10_08</v>
      </c>
      <c r="X331" s="20" t="str">
        <f t="shared" si="5"/>
        <v>Funchal</v>
      </c>
      <c r="Y331" s="20" t="str">
        <f>VLOOKUP(Table4[[#This Row],[FromSite-UPS]],Table1[[Company or Name]:[NOTES]],2,FALSE)</f>
        <v>Portugal</v>
      </c>
      <c r="Z331" s="20">
        <f>IFERROR(WEEKNUM(Table4[[#This Row],[Confirmed Sampling Date]] - 10, 21), "TBD")</f>
        <v>39</v>
      </c>
      <c r="AA331" s="20" t="str">
        <f>_xlfn.XLOOKUP(Table4[[#This Row],[FromSite-UPS]],sites!D:D,sites!W:W,"",0)</f>
        <v>R. do Matadouro 4, Funchal, 9050-100, Portugal</v>
      </c>
      <c r="AB331" s="20" t="str">
        <f>_xlfn.XLOOKUP(Table4[[#This Row],[ToLab]],labs!D:D,labs!P:P,"no adres",0)</f>
        <v>Av. Rovisco Pais 1, Laboratorio de Analises de Agua, Lisbon, 1049-001, Portugal</v>
      </c>
      <c r="AC331" s="20">
        <f>_xlfn.XLOOKUP(Table4[[#This Row],[combi]],AREA!E:E,AREA!F:F,"",0)</f>
        <v>89</v>
      </c>
      <c r="AD331" s="20" t="str">
        <f>_xlfn.XLOOKUP(Table4[[#This Row],[combi]],AREA!E:E,AREA!G:G,"",0)</f>
        <v>Pick-up service of hypothetic package as defined in the Tech. Specs. and delivery to lots
2 and 3 contractors according to Scenario 1</v>
      </c>
      <c r="AE331" s="20" t="s">
        <v>125</v>
      </c>
      <c r="AF331" s="20" t="str">
        <f>_xlfn.XLOOKUP(Table4[[#This Row],[FromSite-UPS]],sites!D:D,sites!AB:AB,"",0)&amp;_xlfn.XLOOKUP(Table4[[#This Row],[ToLab]],labs!D:D,labs!Q:Q,"",0)</f>
        <v>EUEU</v>
      </c>
    </row>
    <row r="332" spans="2:32" ht="15.6" hidden="1" customHeight="1" x14ac:dyDescent="0.25">
      <c r="B332" s="13">
        <v>496</v>
      </c>
      <c r="C332" s="14" t="s">
        <v>53</v>
      </c>
      <c r="D332" s="13">
        <v>1</v>
      </c>
      <c r="E332" s="79">
        <v>45938</v>
      </c>
      <c r="F332" s="80">
        <v>45939</v>
      </c>
      <c r="G332" s="20">
        <f>IFERROR(WEEKNUM(Table4[[#This Row],[Confirmed Pick-up Date]]),"TBD")</f>
        <v>41</v>
      </c>
      <c r="H332" s="20" t="str">
        <f>IFERROR(TEXT(Table4[[#This Row],[Confirmed Pick-up Date]],"yy-mm"),"TBD")</f>
        <v>25-10</v>
      </c>
      <c r="I332" s="78" t="s">
        <v>1628</v>
      </c>
      <c r="J332" s="20" t="str">
        <f>IFERROR(VLOOKUP(Table4[[#This Row],[FromSite-UPS]],Table1[[#All],[Company or Name]:[FromSite3]],15,FALSE),"")</f>
        <v>Funchal WWTP</v>
      </c>
      <c r="K332" s="20" t="str">
        <f>IFERROR(VLOOKUP(Table4[[#This Row],[FromSite-UPS]],Table1[[#All],[Company or Name]:[FromSite3]],16,FALSE),"")</f>
        <v>Madeira, 10 locations</v>
      </c>
      <c r="L332" s="20">
        <f>IFERROR(VLOOKUP(Table4[[#This Row],[FromSite-UPS]],Table1[[#All],[Company or Name]:[FromSite3]],14,FALSE),"")</f>
        <v>0.70833333333333337</v>
      </c>
      <c r="M332" s="13" t="s">
        <v>1011</v>
      </c>
      <c r="N332" s="20" t="s">
        <v>134</v>
      </c>
      <c r="O332" s="20">
        <v>7014743444</v>
      </c>
      <c r="P332" s="20" t="s">
        <v>134</v>
      </c>
      <c r="Q332" s="20" t="s">
        <v>1857</v>
      </c>
      <c r="R332" s="20"/>
      <c r="S332" s="20" t="s">
        <v>126</v>
      </c>
      <c r="T332" s="20" t="s">
        <v>856</v>
      </c>
      <c r="U332" s="20"/>
      <c r="V332" s="20"/>
      <c r="W332" s="20" t="str">
        <f>TEXT(Table4[[#This Row],[Confirmed Sampling Date]], "yyyy") &amp; "_" &amp; TEXT(Table4[[#This Row],[Confirmed Sampling Date]], "mm") &amp; "_" &amp; TEXT(Table4[[#This Row],[Confirmed Sampling Date]], "dd")</f>
        <v>2025_10_08</v>
      </c>
      <c r="X332" s="20" t="str">
        <f t="shared" si="5"/>
        <v>Funchal</v>
      </c>
      <c r="Y332" s="20" t="str">
        <f>VLOOKUP(Table4[[#This Row],[FromSite-UPS]],Table1[[Company or Name]:[NOTES]],2,FALSE)</f>
        <v>Portugal</v>
      </c>
      <c r="Z332" s="20">
        <f>IFERROR(WEEKNUM(Table4[[#This Row],[Confirmed Sampling Date]] - 10, 21), "TBD")</f>
        <v>39</v>
      </c>
      <c r="AA332" s="20" t="str">
        <f>_xlfn.XLOOKUP(Table4[[#This Row],[FromSite-UPS]],sites!D:D,sites!W:W,"",0)</f>
        <v>R. do Matadouro 4, Funchal, 9050-100, Portugal</v>
      </c>
      <c r="AB332" s="20" t="str">
        <f>_xlfn.XLOOKUP(Table4[[#This Row],[ToLab]],labs!D:D,labs!P:P,"no adres",0)</f>
        <v>Av. Rovisco Pais 1, Laboratorio de Analises de Agua, Lisbon, 1049-001, Portugal</v>
      </c>
      <c r="AC332" s="20">
        <f>_xlfn.XLOOKUP(Table4[[#This Row],[combi]],AREA!E:E,AREA!F:F,"",0)</f>
        <v>89</v>
      </c>
      <c r="AD332" s="20" t="str">
        <f>_xlfn.XLOOKUP(Table4[[#This Row],[combi]],AREA!E:E,AREA!G:G,"",0)</f>
        <v>Pick-up service of hypothetic package as defined in the Tech. Specs. and delivery to lots
2 and 3 contractors according to Scenario 1</v>
      </c>
      <c r="AE332" s="20" t="s">
        <v>125</v>
      </c>
      <c r="AF332" s="20" t="str">
        <f>_xlfn.XLOOKUP(Table4[[#This Row],[FromSite-UPS]],sites!D:D,sites!AB:AB,"",0)&amp;_xlfn.XLOOKUP(Table4[[#This Row],[ToLab]],labs!D:D,labs!Q:Q,"",0)</f>
        <v>EUEU</v>
      </c>
    </row>
    <row r="333" spans="2:32" ht="15.6" hidden="1" customHeight="1" x14ac:dyDescent="0.25">
      <c r="B333" s="13">
        <v>541</v>
      </c>
      <c r="C333" s="14" t="s">
        <v>53</v>
      </c>
      <c r="D333" s="13">
        <v>1</v>
      </c>
      <c r="E333" s="83">
        <v>45938</v>
      </c>
      <c r="F333" s="83">
        <v>45939</v>
      </c>
      <c r="G333" s="20">
        <f>IFERROR(WEEKNUM(Table4[[#This Row],[Confirmed Pick-up Date]]),"TBD")</f>
        <v>41</v>
      </c>
      <c r="H333" s="20" t="str">
        <f>IFERROR(TEXT(Table4[[#This Row],[Confirmed Pick-up Date]],"yy-mm"),"TBD")</f>
        <v>25-10</v>
      </c>
      <c r="I333" s="13" t="s">
        <v>1628</v>
      </c>
      <c r="J333" s="20" t="str">
        <f>IFERROR(VLOOKUP(Table4[[#This Row],[FromSite-UPS]],Table1[[#All],[Company or Name]:[FromSite3]],15,FALSE),"")</f>
        <v>Funchal WWTP</v>
      </c>
      <c r="K333" s="20" t="str">
        <f>IFERROR(VLOOKUP(Table4[[#This Row],[FromSite-UPS]],Table1[[#All],[Company or Name]:[FromSite3]],16,FALSE),"")</f>
        <v>Madeira, 10 locations</v>
      </c>
      <c r="L333" s="20">
        <f>IFERROR(VLOOKUP(Table4[[#This Row],[FromSite-UPS]],Table1[[#All],[Company or Name]:[FromSite3]],14,FALSE),"")</f>
        <v>0.70833333333333337</v>
      </c>
      <c r="M333" s="13" t="s">
        <v>1283</v>
      </c>
      <c r="N333" s="20" t="s">
        <v>134</v>
      </c>
      <c r="O333" s="20">
        <v>7014743680</v>
      </c>
      <c r="P333" s="20" t="s">
        <v>134</v>
      </c>
      <c r="Q333" s="20" t="s">
        <v>1857</v>
      </c>
      <c r="R333" s="20"/>
      <c r="S333" s="20" t="s">
        <v>125</v>
      </c>
      <c r="T333" s="20" t="s">
        <v>856</v>
      </c>
      <c r="U333" s="20"/>
      <c r="V333" s="20"/>
      <c r="W333" s="20" t="str">
        <f>TEXT(Table4[[#This Row],[Confirmed Sampling Date]], "yyyy") &amp; "_" &amp; TEXT(Table4[[#This Row],[Confirmed Sampling Date]], "mm") &amp; "_" &amp; TEXT(Table4[[#This Row],[Confirmed Sampling Date]], "dd")</f>
        <v>2025_10_08</v>
      </c>
      <c r="X333" s="20" t="str">
        <f t="shared" si="5"/>
        <v>Funchal</v>
      </c>
      <c r="Y333" s="20" t="str">
        <f>VLOOKUP(Table4[[#This Row],[FromSite-UPS]],Table1[[Company or Name]:[NOTES]],2,FALSE)</f>
        <v>Portugal</v>
      </c>
      <c r="Z333" s="20">
        <f>IFERROR(WEEKNUM(Table4[[#This Row],[Confirmed Sampling Date]] - 10, 21), "TBD")</f>
        <v>39</v>
      </c>
      <c r="AA333" s="20" t="str">
        <f>_xlfn.XLOOKUP(Table4[[#This Row],[FromSite-UPS]],sites!D:D,sites!W:W,"",0)</f>
        <v>R. do Matadouro 4, Funchal, 9050-100, Portugal</v>
      </c>
      <c r="AB333" s="20" t="str">
        <f>_xlfn.XLOOKUP(Table4[[#This Row],[ToLab]],labs!D:D,labs!P:P,"no adres",0)</f>
        <v>C. del Dracma 16-18, Labaqua SAU - Sede Alicante, Alicante, 03114 , Spain</v>
      </c>
      <c r="AC333" s="20">
        <f>_xlfn.XLOOKUP(Table4[[#This Row],[combi]],AREA!E:E,AREA!F:F,"",0)</f>
        <v>89</v>
      </c>
      <c r="AD333" s="20" t="str">
        <f>_xlfn.XLOOKUP(Table4[[#This Row],[combi]],AREA!E:E,AREA!G:G,"",0)</f>
        <v>Pick-up service of hypothetic package as defined in the Tech. Specs. and delivery to lots
2 and 3 contractors according to Scenario 1</v>
      </c>
      <c r="AE333" s="20" t="s">
        <v>125</v>
      </c>
      <c r="AF333" s="20" t="str">
        <f>_xlfn.XLOOKUP(Table4[[#This Row],[FromSite-UPS]],sites!D:D,sites!AB:AB,"",0)&amp;_xlfn.XLOOKUP(Table4[[#This Row],[ToLab]],labs!D:D,labs!Q:Q,"",0)</f>
        <v>EUEU</v>
      </c>
    </row>
    <row r="334" spans="2:32" ht="15.6" hidden="1" customHeight="1" x14ac:dyDescent="0.25">
      <c r="B334" s="13">
        <v>565</v>
      </c>
      <c r="C334" s="14" t="s">
        <v>53</v>
      </c>
      <c r="D334" s="13">
        <v>1</v>
      </c>
      <c r="E334" s="83">
        <v>45938</v>
      </c>
      <c r="F334" s="83">
        <v>45939</v>
      </c>
      <c r="G334" s="20">
        <f>IFERROR(WEEKNUM(Table4[[#This Row],[Confirmed Pick-up Date]]),"TBD")</f>
        <v>41</v>
      </c>
      <c r="H334" s="20" t="str">
        <f>IFERROR(TEXT(Table4[[#This Row],[Confirmed Pick-up Date]],"yy-mm"),"TBD")</f>
        <v>25-10</v>
      </c>
      <c r="I334" s="13" t="s">
        <v>1628</v>
      </c>
      <c r="J334" s="20" t="str">
        <f>IFERROR(VLOOKUP(Table4[[#This Row],[FromSite-UPS]],Table1[[#All],[Company or Name]:[FromSite3]],15,FALSE),"")</f>
        <v>Funchal WWTP</v>
      </c>
      <c r="K334" s="20" t="str">
        <f>IFERROR(VLOOKUP(Table4[[#This Row],[FromSite-UPS]],Table1[[#All],[Company or Name]:[FromSite3]],16,FALSE),"")</f>
        <v>Madeira, 10 locations</v>
      </c>
      <c r="L334" s="13" t="s">
        <v>1283</v>
      </c>
      <c r="M334" s="13" t="s">
        <v>1283</v>
      </c>
      <c r="N334" s="20" t="s">
        <v>134</v>
      </c>
      <c r="O334" s="20">
        <v>7014743680</v>
      </c>
      <c r="P334" s="20" t="s">
        <v>134</v>
      </c>
      <c r="Q334" s="20" t="s">
        <v>1857</v>
      </c>
      <c r="R334" s="20"/>
      <c r="S334" s="20" t="s">
        <v>125</v>
      </c>
      <c r="T334" s="20" t="s">
        <v>856</v>
      </c>
      <c r="U334" s="20"/>
      <c r="V334" s="20"/>
      <c r="W334" s="20" t="str">
        <f>TEXT(Table4[[#This Row],[Confirmed Sampling Date]], "yyyy") &amp; "_" &amp; TEXT(Table4[[#This Row],[Confirmed Sampling Date]], "mm") &amp; "_" &amp; TEXT(Table4[[#This Row],[Confirmed Sampling Date]], "dd")</f>
        <v>2025_10_08</v>
      </c>
      <c r="X334" s="20" t="str">
        <f t="shared" si="5"/>
        <v>Funchal</v>
      </c>
      <c r="Y334" s="20" t="str">
        <f>VLOOKUP(Table4[[#This Row],[FromSite-UPS]],Table1[[Company or Name]:[NOTES]],2,FALSE)</f>
        <v>Portugal</v>
      </c>
      <c r="Z334" s="20">
        <f>IFERROR(WEEKNUM(Table4[[#This Row],[Confirmed Sampling Date]] - 10, 21), "TBD")</f>
        <v>39</v>
      </c>
      <c r="AA334" s="20" t="str">
        <f>_xlfn.XLOOKUP(Table4[[#This Row],[FromSite-UPS]],sites!D:D,sites!W:W,"",0)</f>
        <v>R. do Matadouro 4, Funchal, 9050-100, Portugal</v>
      </c>
      <c r="AB334" s="20" t="str">
        <f>_xlfn.XLOOKUP(Table4[[#This Row],[ToLab]],labs!D:D,labs!P:P,"no adres",0)</f>
        <v>C. del Dracma 16-18, Labaqua SAU - Sede Alicante, Alicante, 03114 , Spain</v>
      </c>
      <c r="AC334" s="20">
        <f>_xlfn.XLOOKUP(Table4[[#This Row],[combi]],AREA!E:E,AREA!F:F,"",0)</f>
        <v>89</v>
      </c>
      <c r="AD334" s="20" t="str">
        <f>_xlfn.XLOOKUP(Table4[[#This Row],[combi]],AREA!E:E,AREA!G:G,"",0)</f>
        <v>Pick-up service of hypothetic package as defined in the Tech. Specs. and delivery to lots
2 and 3 contractors according to Scenario 1</v>
      </c>
      <c r="AE334" s="20" t="s">
        <v>125</v>
      </c>
      <c r="AF334" s="20" t="str">
        <f>_xlfn.XLOOKUP(Table4[[#This Row],[FromSite-UPS]],sites!D:D,sites!AB:AB,"",0)&amp;_xlfn.XLOOKUP(Table4[[#This Row],[ToLab]],labs!D:D,labs!Q:Q,"",0)</f>
        <v>EUEU</v>
      </c>
    </row>
    <row r="335" spans="2:32" ht="15.6" hidden="1" customHeight="1" x14ac:dyDescent="0.25">
      <c r="B335" s="13">
        <v>573</v>
      </c>
      <c r="C335" s="14" t="s">
        <v>53</v>
      </c>
      <c r="D335" s="13">
        <v>1</v>
      </c>
      <c r="E335" s="83">
        <v>45938</v>
      </c>
      <c r="F335" s="83">
        <v>45939</v>
      </c>
      <c r="G335" s="20">
        <f>IFERROR(WEEKNUM(Table4[[#This Row],[Confirmed Pick-up Date]]),"TBD")</f>
        <v>41</v>
      </c>
      <c r="H335" s="20" t="str">
        <f>IFERROR(TEXT(Table4[[#This Row],[Confirmed Pick-up Date]],"yy-mm"),"TBD")</f>
        <v>25-10</v>
      </c>
      <c r="I335" s="13" t="s">
        <v>1628</v>
      </c>
      <c r="J335" s="20" t="str">
        <f>IFERROR(VLOOKUP(Table4[[#This Row],[FromSite-UPS]],Table1[[#All],[Company or Name]:[FromSite3]],15,FALSE),"")</f>
        <v>Funchal WWTP</v>
      </c>
      <c r="K335" s="20" t="str">
        <f>IFERROR(VLOOKUP(Table4[[#This Row],[FromSite-UPS]],Table1[[#All],[Company or Name]:[FromSite3]],16,FALSE),"")</f>
        <v>Madeira, 10 locations</v>
      </c>
      <c r="L335" s="13" t="s">
        <v>1283</v>
      </c>
      <c r="M335" s="13" t="s">
        <v>1283</v>
      </c>
      <c r="N335" s="20" t="s">
        <v>134</v>
      </c>
      <c r="O335" s="20">
        <v>7014743680</v>
      </c>
      <c r="P335" s="20" t="s">
        <v>134</v>
      </c>
      <c r="Q335" s="20" t="s">
        <v>1857</v>
      </c>
      <c r="R335" s="20"/>
      <c r="S335" s="20" t="s">
        <v>125</v>
      </c>
      <c r="T335" s="20" t="s">
        <v>856</v>
      </c>
      <c r="U335" s="20"/>
      <c r="V335" s="20"/>
      <c r="W335" s="20" t="str">
        <f>TEXT(Table4[[#This Row],[Confirmed Sampling Date]], "yyyy") &amp; "_" &amp; TEXT(Table4[[#This Row],[Confirmed Sampling Date]], "mm") &amp; "_" &amp; TEXT(Table4[[#This Row],[Confirmed Sampling Date]], "dd")</f>
        <v>2025_10_08</v>
      </c>
      <c r="X335" s="20" t="str">
        <f t="shared" si="5"/>
        <v>Funchal</v>
      </c>
      <c r="Y335" s="20" t="str">
        <f>VLOOKUP(Table4[[#This Row],[FromSite-UPS]],Table1[[Company or Name]:[NOTES]],2,FALSE)</f>
        <v>Portugal</v>
      </c>
      <c r="Z335" s="20">
        <f>IFERROR(WEEKNUM(Table4[[#This Row],[Confirmed Sampling Date]] - 10, 21), "TBD")</f>
        <v>39</v>
      </c>
      <c r="AA335" s="20" t="str">
        <f>_xlfn.XLOOKUP(Table4[[#This Row],[FromSite-UPS]],sites!D:D,sites!W:W,"",0)</f>
        <v>R. do Matadouro 4, Funchal, 9050-100, Portugal</v>
      </c>
      <c r="AB335" s="20" t="str">
        <f>_xlfn.XLOOKUP(Table4[[#This Row],[ToLab]],labs!D:D,labs!P:P,"no adres",0)</f>
        <v>C. del Dracma 16-18, Labaqua SAU - Sede Alicante, Alicante, 03114 , Spain</v>
      </c>
      <c r="AC335" s="20">
        <f>_xlfn.XLOOKUP(Table4[[#This Row],[combi]],AREA!E:E,AREA!F:F,"",0)</f>
        <v>89</v>
      </c>
      <c r="AD335" s="20" t="str">
        <f>_xlfn.XLOOKUP(Table4[[#This Row],[combi]],AREA!E:E,AREA!G:G,"",0)</f>
        <v>Pick-up service of hypothetic package as defined in the Tech. Specs. and delivery to lots
2 and 3 contractors according to Scenario 1</v>
      </c>
      <c r="AE335" s="20" t="s">
        <v>125</v>
      </c>
      <c r="AF335" s="20" t="str">
        <f>_xlfn.XLOOKUP(Table4[[#This Row],[FromSite-UPS]],sites!D:D,sites!AB:AB,"",0)&amp;_xlfn.XLOOKUP(Table4[[#This Row],[ToLab]],labs!D:D,labs!Q:Q,"",0)</f>
        <v>EUEU</v>
      </c>
    </row>
    <row r="336" spans="2:32" ht="15.6" hidden="1" customHeight="1" x14ac:dyDescent="0.25">
      <c r="B336" s="13">
        <v>581</v>
      </c>
      <c r="C336" s="14" t="s">
        <v>53</v>
      </c>
      <c r="D336" s="13">
        <v>1</v>
      </c>
      <c r="E336" s="83">
        <v>45938</v>
      </c>
      <c r="F336" s="83">
        <v>45939</v>
      </c>
      <c r="G336" s="20">
        <f>IFERROR(WEEKNUM(Table4[[#This Row],[Confirmed Pick-up Date]]),"TBD")</f>
        <v>41</v>
      </c>
      <c r="H336" s="20" t="str">
        <f>IFERROR(TEXT(Table4[[#This Row],[Confirmed Pick-up Date]],"yy-mm"),"TBD")</f>
        <v>25-10</v>
      </c>
      <c r="I336" s="13" t="s">
        <v>1628</v>
      </c>
      <c r="J336" s="20" t="str">
        <f>IFERROR(VLOOKUP(Table4[[#This Row],[FromSite-UPS]],Table1[[#All],[Company or Name]:[FromSite3]],15,FALSE),"")</f>
        <v>Funchal WWTP</v>
      </c>
      <c r="K336" s="20" t="str">
        <f>IFERROR(VLOOKUP(Table4[[#This Row],[FromSite-UPS]],Table1[[#All],[Company or Name]:[FromSite3]],16,FALSE),"")</f>
        <v>Madeira, 10 locations</v>
      </c>
      <c r="L336" s="13" t="s">
        <v>1283</v>
      </c>
      <c r="M336" s="13" t="s">
        <v>1283</v>
      </c>
      <c r="N336" s="20" t="s">
        <v>134</v>
      </c>
      <c r="O336" s="20">
        <v>7014743680</v>
      </c>
      <c r="P336" s="20" t="s">
        <v>134</v>
      </c>
      <c r="Q336" s="20" t="s">
        <v>1857</v>
      </c>
      <c r="R336" s="20"/>
      <c r="S336" s="20" t="s">
        <v>125</v>
      </c>
      <c r="T336" s="20" t="s">
        <v>856</v>
      </c>
      <c r="U336" s="20"/>
      <c r="V336" s="20"/>
      <c r="W336" s="20" t="str">
        <f>TEXT(Table4[[#This Row],[Confirmed Sampling Date]], "yyyy") &amp; "_" &amp; TEXT(Table4[[#This Row],[Confirmed Sampling Date]], "mm") &amp; "_" &amp; TEXT(Table4[[#This Row],[Confirmed Sampling Date]], "dd")</f>
        <v>2025_10_08</v>
      </c>
      <c r="X336" s="20" t="str">
        <f t="shared" si="5"/>
        <v>Funchal</v>
      </c>
      <c r="Y336" s="20" t="str">
        <f>VLOOKUP(Table4[[#This Row],[FromSite-UPS]],Table1[[Company or Name]:[NOTES]],2,FALSE)</f>
        <v>Portugal</v>
      </c>
      <c r="Z336" s="20">
        <f>IFERROR(WEEKNUM(Table4[[#This Row],[Confirmed Sampling Date]] - 10, 21), "TBD")</f>
        <v>39</v>
      </c>
      <c r="AA336" s="20" t="str">
        <f>_xlfn.XLOOKUP(Table4[[#This Row],[FromSite-UPS]],sites!D:D,sites!W:W,"",0)</f>
        <v>R. do Matadouro 4, Funchal, 9050-100, Portugal</v>
      </c>
      <c r="AB336" s="20" t="str">
        <f>_xlfn.XLOOKUP(Table4[[#This Row],[ToLab]],labs!D:D,labs!P:P,"no adres",0)</f>
        <v>C. del Dracma 16-18, Labaqua SAU - Sede Alicante, Alicante, 03114 , Spain</v>
      </c>
      <c r="AC336" s="20">
        <f>_xlfn.XLOOKUP(Table4[[#This Row],[combi]],AREA!E:E,AREA!F:F,"",0)</f>
        <v>89</v>
      </c>
      <c r="AD336" s="20" t="str">
        <f>_xlfn.XLOOKUP(Table4[[#This Row],[combi]],AREA!E:E,AREA!G:G,"",0)</f>
        <v>Pick-up service of hypothetic package as defined in the Tech. Specs. and delivery to lots
2 and 3 contractors according to Scenario 1</v>
      </c>
      <c r="AE336" s="20" t="s">
        <v>125</v>
      </c>
      <c r="AF336" s="20" t="str">
        <f>_xlfn.XLOOKUP(Table4[[#This Row],[FromSite-UPS]],sites!D:D,sites!AB:AB,"",0)&amp;_xlfn.XLOOKUP(Table4[[#This Row],[ToLab]],labs!D:D,labs!Q:Q,"",0)</f>
        <v>EUEU</v>
      </c>
    </row>
    <row r="337" spans="2:32" ht="15.6" customHeight="1" x14ac:dyDescent="0.25">
      <c r="B337" s="13">
        <v>307</v>
      </c>
      <c r="C337" s="14" t="s">
        <v>53</v>
      </c>
      <c r="D337" s="13">
        <v>1</v>
      </c>
      <c r="E337" s="79">
        <v>45952</v>
      </c>
      <c r="F337" s="80">
        <v>45953</v>
      </c>
      <c r="G337" s="13">
        <f>IFERROR(WEEKNUM(Table4[[#This Row],[Confirmed Pick-up Date]]),"TBD")</f>
        <v>43</v>
      </c>
      <c r="H337" s="13" t="str">
        <f>IFERROR(TEXT(Table4[[#This Row],[Confirmed Pick-up Date]],"yy-mm"),"TBD")</f>
        <v>25-10</v>
      </c>
      <c r="I337" s="78" t="s">
        <v>1628</v>
      </c>
      <c r="J337" s="13" t="str">
        <f>IFERROR(VLOOKUP(Table4[[#This Row],[FromSite-UPS]],Table1[[#All],[Company or Name]:[FromSite3]],15,FALSE),"")</f>
        <v>Funchal WWTP</v>
      </c>
      <c r="K337" s="20" t="str">
        <f>IFERROR(VLOOKUP(Table4[[#This Row],[FromSite-UPS]],Table1[[#All],[Company or Name]:[FromSite3]],16,FALSE),"")</f>
        <v>Madeira, 10 locations</v>
      </c>
      <c r="L337" s="20">
        <f>IFERROR(VLOOKUP(Table4[[#This Row],[FromSite-UPS]],Table1[[#All],[Company or Name]:[FromSite3]],14,FALSE),"")</f>
        <v>0.70833333333333337</v>
      </c>
      <c r="M337" s="13" t="s">
        <v>1011</v>
      </c>
      <c r="N337" s="20" t="s">
        <v>134</v>
      </c>
      <c r="O337" s="20" t="s">
        <v>1846</v>
      </c>
      <c r="P337" s="20"/>
      <c r="Q337" s="20"/>
      <c r="R337" s="20"/>
      <c r="S337" s="20" t="s">
        <v>125</v>
      </c>
      <c r="T337" s="20" t="s">
        <v>856</v>
      </c>
      <c r="U337" s="20"/>
      <c r="V337" s="20"/>
      <c r="W337" s="20" t="str">
        <f>TEXT(Table4[[#This Row],[Confirmed Sampling Date]], "yyyy") &amp; "_" &amp; TEXT(Table4[[#This Row],[Confirmed Sampling Date]], "mm") &amp; "_" &amp; TEXT(Table4[[#This Row],[Confirmed Sampling Date]], "dd")</f>
        <v>2025_10_22</v>
      </c>
      <c r="X337" s="20" t="str">
        <f t="shared" si="5"/>
        <v>Funchal</v>
      </c>
      <c r="Y337" s="20" t="str">
        <f>VLOOKUP(Table4[[#This Row],[FromSite-UPS]],Table1[[Company or Name]:[NOTES]],2,FALSE)</f>
        <v>Portugal</v>
      </c>
      <c r="Z337" s="20">
        <f>IFERROR(WEEKNUM(Table4[[#This Row],[Confirmed Sampling Date]] - 10, 21), "TBD")</f>
        <v>41</v>
      </c>
      <c r="AA337" s="20" t="str">
        <f>_xlfn.XLOOKUP(Table4[[#This Row],[FromSite-UPS]],sites!D:D,sites!W:W,"",0)</f>
        <v>R. do Matadouro 4, Funchal, 9050-100, Portugal</v>
      </c>
      <c r="AB337" s="20" t="str">
        <f>_xlfn.XLOOKUP(Table4[[#This Row],[ToLab]],labs!D:D,labs!P:P,"no adres",0)</f>
        <v>Av. Rovisco Pais 1, Laboratorio de Analises de Agua, Lisbon, 1049-001, Portugal</v>
      </c>
      <c r="AC337" s="20">
        <f>_xlfn.XLOOKUP(Table4[[#This Row],[combi]],AREA!E:E,AREA!F:F,"",0)</f>
        <v>89</v>
      </c>
      <c r="AD337" s="20" t="str">
        <f>_xlfn.XLOOKUP(Table4[[#This Row],[combi]],AREA!E:E,AREA!G:G,"",0)</f>
        <v>Pick-up service of hypothetic package as defined in the Tech. Specs. and delivery to lots
2 and 3 contractors according to Scenario 1</v>
      </c>
      <c r="AE337" s="20" t="s">
        <v>126</v>
      </c>
      <c r="AF337" s="20" t="str">
        <f>_xlfn.XLOOKUP(Table4[[#This Row],[FromSite-UPS]],sites!D:D,sites!AB:AB,"",0)&amp;_xlfn.XLOOKUP(Table4[[#This Row],[ToLab]],labs!D:D,labs!Q:Q,"",0)</f>
        <v>EUEU</v>
      </c>
    </row>
    <row r="338" spans="2:32" ht="15.6" customHeight="1" x14ac:dyDescent="0.25">
      <c r="B338" s="13">
        <v>317</v>
      </c>
      <c r="C338" s="14" t="s">
        <v>53</v>
      </c>
      <c r="D338" s="13">
        <v>1</v>
      </c>
      <c r="E338" s="79">
        <v>45952</v>
      </c>
      <c r="F338" s="80">
        <v>45953</v>
      </c>
      <c r="G338" s="13">
        <f>IFERROR(WEEKNUM(Table4[[#This Row],[Confirmed Pick-up Date]]),"TBD")</f>
        <v>43</v>
      </c>
      <c r="H338" s="13" t="str">
        <f>IFERROR(TEXT(Table4[[#This Row],[Confirmed Pick-up Date]],"yy-mm"),"TBD")</f>
        <v>25-10</v>
      </c>
      <c r="I338" s="78" t="s">
        <v>1628</v>
      </c>
      <c r="J338" s="13" t="str">
        <f>IFERROR(VLOOKUP(Table4[[#This Row],[FromSite-UPS]],Table1[[#All],[Company or Name]:[FromSite3]],15,FALSE),"")</f>
        <v>Funchal WWTP</v>
      </c>
      <c r="K338" s="20" t="str">
        <f>IFERROR(VLOOKUP(Table4[[#This Row],[FromSite-UPS]],Table1[[#All],[Company or Name]:[FromSite3]],16,FALSE),"")</f>
        <v>Madeira, 10 locations</v>
      </c>
      <c r="L338" s="20">
        <f>IFERROR(VLOOKUP(Table4[[#This Row],[FromSite-UPS]],Table1[[#All],[Company or Name]:[FromSite3]],14,FALSE),"")</f>
        <v>0.70833333333333337</v>
      </c>
      <c r="M338" s="13" t="s">
        <v>1011</v>
      </c>
      <c r="N338" s="20" t="s">
        <v>134</v>
      </c>
      <c r="O338" s="20" t="s">
        <v>1846</v>
      </c>
      <c r="P338" s="20"/>
      <c r="Q338" s="20"/>
      <c r="R338" s="20"/>
      <c r="S338" s="20" t="s">
        <v>125</v>
      </c>
      <c r="T338" s="20" t="s">
        <v>856</v>
      </c>
      <c r="U338" s="20"/>
      <c r="V338" s="20"/>
      <c r="W338" s="20" t="str">
        <f>TEXT(Table4[[#This Row],[Confirmed Sampling Date]], "yyyy") &amp; "_" &amp; TEXT(Table4[[#This Row],[Confirmed Sampling Date]], "mm") &amp; "_" &amp; TEXT(Table4[[#This Row],[Confirmed Sampling Date]], "dd")</f>
        <v>2025_10_22</v>
      </c>
      <c r="X338" s="20" t="str">
        <f t="shared" si="5"/>
        <v>Funchal</v>
      </c>
      <c r="Y338" s="20" t="str">
        <f>VLOOKUP(Table4[[#This Row],[FromSite-UPS]],Table1[[Company or Name]:[NOTES]],2,FALSE)</f>
        <v>Portugal</v>
      </c>
      <c r="Z338" s="20">
        <f>IFERROR(WEEKNUM(Table4[[#This Row],[Confirmed Sampling Date]] - 10, 21), "TBD")</f>
        <v>41</v>
      </c>
      <c r="AA338" s="20" t="str">
        <f>_xlfn.XLOOKUP(Table4[[#This Row],[FromSite-UPS]],sites!D:D,sites!W:W,"",0)</f>
        <v>R. do Matadouro 4, Funchal, 9050-100, Portugal</v>
      </c>
      <c r="AB338" s="20" t="str">
        <f>_xlfn.XLOOKUP(Table4[[#This Row],[ToLab]],labs!D:D,labs!P:P,"no adres",0)</f>
        <v>Av. Rovisco Pais 1, Laboratorio de Analises de Agua, Lisbon, 1049-001, Portugal</v>
      </c>
      <c r="AC338" s="20">
        <f>_xlfn.XLOOKUP(Table4[[#This Row],[combi]],AREA!E:E,AREA!F:F,"",0)</f>
        <v>89</v>
      </c>
      <c r="AD338" s="20" t="str">
        <f>_xlfn.XLOOKUP(Table4[[#This Row],[combi]],AREA!E:E,AREA!G:G,"",0)</f>
        <v>Pick-up service of hypothetic package as defined in the Tech. Specs. and delivery to lots
2 and 3 contractors according to Scenario 1</v>
      </c>
      <c r="AE338" s="20" t="s">
        <v>126</v>
      </c>
      <c r="AF338" s="20" t="str">
        <f>_xlfn.XLOOKUP(Table4[[#This Row],[FromSite-UPS]],sites!D:D,sites!AB:AB,"",0)&amp;_xlfn.XLOOKUP(Table4[[#This Row],[ToLab]],labs!D:D,labs!Q:Q,"",0)</f>
        <v>EUEU</v>
      </c>
    </row>
    <row r="339" spans="2:32" ht="15.6" customHeight="1" x14ac:dyDescent="0.25">
      <c r="B339" s="13">
        <v>327</v>
      </c>
      <c r="C339" s="14" t="s">
        <v>53</v>
      </c>
      <c r="D339" s="13">
        <v>1</v>
      </c>
      <c r="E339" s="79">
        <v>45952</v>
      </c>
      <c r="F339" s="80">
        <v>45953</v>
      </c>
      <c r="G339" s="13">
        <f>IFERROR(WEEKNUM(Table4[[#This Row],[Confirmed Pick-up Date]]),"TBD")</f>
        <v>43</v>
      </c>
      <c r="H339" s="13" t="str">
        <f>IFERROR(TEXT(Table4[[#This Row],[Confirmed Pick-up Date]],"yy-mm"),"TBD")</f>
        <v>25-10</v>
      </c>
      <c r="I339" s="78" t="s">
        <v>1628</v>
      </c>
      <c r="J339" s="13" t="str">
        <f>IFERROR(VLOOKUP(Table4[[#This Row],[FromSite-UPS]],Table1[[#All],[Company or Name]:[FromSite3]],15,FALSE),"")</f>
        <v>Funchal WWTP</v>
      </c>
      <c r="K339" s="20" t="str">
        <f>IFERROR(VLOOKUP(Table4[[#This Row],[FromSite-UPS]],Table1[[#All],[Company or Name]:[FromSite3]],16,FALSE),"")</f>
        <v>Madeira, 10 locations</v>
      </c>
      <c r="L339" s="20">
        <f>IFERROR(VLOOKUP(Table4[[#This Row],[FromSite-UPS]],Table1[[#All],[Company or Name]:[FromSite3]],14,FALSE),"")</f>
        <v>0.70833333333333337</v>
      </c>
      <c r="M339" s="13" t="s">
        <v>1011</v>
      </c>
      <c r="N339" s="20" t="s">
        <v>134</v>
      </c>
      <c r="O339" s="20" t="s">
        <v>1846</v>
      </c>
      <c r="P339" s="20"/>
      <c r="Q339" s="20"/>
      <c r="R339" s="20"/>
      <c r="S339" s="20" t="s">
        <v>125</v>
      </c>
      <c r="T339" s="20" t="s">
        <v>856</v>
      </c>
      <c r="U339" s="20"/>
      <c r="V339" s="20"/>
      <c r="W339" s="20" t="str">
        <f>TEXT(Table4[[#This Row],[Confirmed Sampling Date]], "yyyy") &amp; "_" &amp; TEXT(Table4[[#This Row],[Confirmed Sampling Date]], "mm") &amp; "_" &amp; TEXT(Table4[[#This Row],[Confirmed Sampling Date]], "dd")</f>
        <v>2025_10_22</v>
      </c>
      <c r="X339" s="20" t="str">
        <f t="shared" si="5"/>
        <v>Funchal</v>
      </c>
      <c r="Y339" s="20" t="str">
        <f>VLOOKUP(Table4[[#This Row],[FromSite-UPS]],Table1[[Company or Name]:[NOTES]],2,FALSE)</f>
        <v>Portugal</v>
      </c>
      <c r="Z339" s="20">
        <f>IFERROR(WEEKNUM(Table4[[#This Row],[Confirmed Sampling Date]] - 10, 21), "TBD")</f>
        <v>41</v>
      </c>
      <c r="AA339" s="20" t="str">
        <f>_xlfn.XLOOKUP(Table4[[#This Row],[FromSite-UPS]],sites!D:D,sites!W:W,"",0)</f>
        <v>R. do Matadouro 4, Funchal, 9050-100, Portugal</v>
      </c>
      <c r="AB339" s="20" t="str">
        <f>_xlfn.XLOOKUP(Table4[[#This Row],[ToLab]],labs!D:D,labs!P:P,"no adres",0)</f>
        <v>Av. Rovisco Pais 1, Laboratorio de Analises de Agua, Lisbon, 1049-001, Portugal</v>
      </c>
      <c r="AC339" s="20">
        <f>_xlfn.XLOOKUP(Table4[[#This Row],[combi]],AREA!E:E,AREA!F:F,"",0)</f>
        <v>89</v>
      </c>
      <c r="AD339" s="20" t="str">
        <f>_xlfn.XLOOKUP(Table4[[#This Row],[combi]],AREA!E:E,AREA!G:G,"",0)</f>
        <v>Pick-up service of hypothetic package as defined in the Tech. Specs. and delivery to lots
2 and 3 contractors according to Scenario 1</v>
      </c>
      <c r="AE339" s="20" t="s">
        <v>126</v>
      </c>
      <c r="AF339" s="20" t="str">
        <f>_xlfn.XLOOKUP(Table4[[#This Row],[FromSite-UPS]],sites!D:D,sites!AB:AB,"",0)&amp;_xlfn.XLOOKUP(Table4[[#This Row],[ToLab]],labs!D:D,labs!Q:Q,"",0)</f>
        <v>EUEU</v>
      </c>
    </row>
    <row r="340" spans="2:32" ht="15.6" customHeight="1" x14ac:dyDescent="0.25">
      <c r="B340" s="13">
        <v>337</v>
      </c>
      <c r="C340" s="14" t="s">
        <v>53</v>
      </c>
      <c r="D340" s="13">
        <v>1</v>
      </c>
      <c r="E340" s="79">
        <v>45952</v>
      </c>
      <c r="F340" s="80">
        <v>45953</v>
      </c>
      <c r="G340" s="13">
        <f>IFERROR(WEEKNUM(Table4[[#This Row],[Confirmed Pick-up Date]]),"TBD")</f>
        <v>43</v>
      </c>
      <c r="H340" s="13" t="str">
        <f>IFERROR(TEXT(Table4[[#This Row],[Confirmed Pick-up Date]],"yy-mm"),"TBD")</f>
        <v>25-10</v>
      </c>
      <c r="I340" s="78" t="s">
        <v>1628</v>
      </c>
      <c r="J340" s="20" t="str">
        <f>IFERROR(VLOOKUP(Table4[[#This Row],[FromSite-UPS]],Table1[[#All],[Company or Name]:[FromSite3]],15,FALSE),"")</f>
        <v>Funchal WWTP</v>
      </c>
      <c r="K340" s="20" t="str">
        <f>IFERROR(VLOOKUP(Table4[[#This Row],[FromSite-UPS]],Table1[[#All],[Company or Name]:[FromSite3]],16,FALSE),"")</f>
        <v>Madeira, 10 locations</v>
      </c>
      <c r="L340" s="20">
        <f>IFERROR(VLOOKUP(Table4[[#This Row],[FromSite-UPS]],Table1[[#All],[Company or Name]:[FromSite3]],14,FALSE),"")</f>
        <v>0.70833333333333337</v>
      </c>
      <c r="M340" s="13" t="s">
        <v>1011</v>
      </c>
      <c r="N340" s="20" t="s">
        <v>134</v>
      </c>
      <c r="O340" s="20" t="s">
        <v>1846</v>
      </c>
      <c r="P340" s="20"/>
      <c r="Q340" s="20"/>
      <c r="R340" s="20"/>
      <c r="S340" s="20" t="s">
        <v>125</v>
      </c>
      <c r="T340" s="20" t="s">
        <v>856</v>
      </c>
      <c r="U340" s="20"/>
      <c r="V340" s="20"/>
      <c r="W340" s="20" t="str">
        <f>TEXT(Table4[[#This Row],[Confirmed Sampling Date]], "yyyy") &amp; "_" &amp; TEXT(Table4[[#This Row],[Confirmed Sampling Date]], "mm") &amp; "_" &amp; TEXT(Table4[[#This Row],[Confirmed Sampling Date]], "dd")</f>
        <v>2025_10_22</v>
      </c>
      <c r="X340" s="20" t="str">
        <f t="shared" si="5"/>
        <v>Funchal</v>
      </c>
      <c r="Y340" s="20" t="str">
        <f>VLOOKUP(Table4[[#This Row],[FromSite-UPS]],Table1[[Company or Name]:[NOTES]],2,FALSE)</f>
        <v>Portugal</v>
      </c>
      <c r="Z340" s="20">
        <f>IFERROR(WEEKNUM(Table4[[#This Row],[Confirmed Sampling Date]] - 10, 21), "TBD")</f>
        <v>41</v>
      </c>
      <c r="AA340" s="20" t="str">
        <f>_xlfn.XLOOKUP(Table4[[#This Row],[FromSite-UPS]],sites!D:D,sites!W:W,"",0)</f>
        <v>R. do Matadouro 4, Funchal, 9050-100, Portugal</v>
      </c>
      <c r="AB340" s="20" t="str">
        <f>_xlfn.XLOOKUP(Table4[[#This Row],[ToLab]],labs!D:D,labs!P:P,"no adres",0)</f>
        <v>Av. Rovisco Pais 1, Laboratorio de Analises de Agua, Lisbon, 1049-001, Portugal</v>
      </c>
      <c r="AC340" s="20">
        <f>_xlfn.XLOOKUP(Table4[[#This Row],[combi]],AREA!E:E,AREA!F:F,"",0)</f>
        <v>89</v>
      </c>
      <c r="AD340" s="20" t="str">
        <f>_xlfn.XLOOKUP(Table4[[#This Row],[combi]],AREA!E:E,AREA!G:G,"",0)</f>
        <v>Pick-up service of hypothetic package as defined in the Tech. Specs. and delivery to lots
2 and 3 contractors according to Scenario 1</v>
      </c>
      <c r="AE340" s="20" t="s">
        <v>126</v>
      </c>
      <c r="AF340" s="20" t="str">
        <f>_xlfn.XLOOKUP(Table4[[#This Row],[FromSite-UPS]],sites!D:D,sites!AB:AB,"",0)&amp;_xlfn.XLOOKUP(Table4[[#This Row],[ToLab]],labs!D:D,labs!Q:Q,"",0)</f>
        <v>EUEU</v>
      </c>
    </row>
    <row r="341" spans="2:32" ht="15.6" customHeight="1" x14ac:dyDescent="0.25">
      <c r="B341" s="13">
        <v>347</v>
      </c>
      <c r="C341" s="14" t="s">
        <v>53</v>
      </c>
      <c r="D341" s="13">
        <v>1</v>
      </c>
      <c r="E341" s="79">
        <v>45952</v>
      </c>
      <c r="F341" s="80">
        <v>45953</v>
      </c>
      <c r="G341" s="13">
        <f>IFERROR(WEEKNUM(Table4[[#This Row],[Confirmed Pick-up Date]]),"TBD")</f>
        <v>43</v>
      </c>
      <c r="H341" s="13" t="str">
        <f>IFERROR(TEXT(Table4[[#This Row],[Confirmed Pick-up Date]],"yy-mm"),"TBD")</f>
        <v>25-10</v>
      </c>
      <c r="I341" s="78" t="s">
        <v>1628</v>
      </c>
      <c r="J341" s="20" t="str">
        <f>IFERROR(VLOOKUP(Table4[[#This Row],[FromSite-UPS]],Table1[[#All],[Company or Name]:[FromSite3]],15,FALSE),"")</f>
        <v>Funchal WWTP</v>
      </c>
      <c r="K341" s="20" t="str">
        <f>IFERROR(VLOOKUP(Table4[[#This Row],[FromSite-UPS]],Table1[[#All],[Company or Name]:[FromSite3]],16,FALSE),"")</f>
        <v>Madeira, 10 locations</v>
      </c>
      <c r="L341" s="20">
        <f>IFERROR(VLOOKUP(Table4[[#This Row],[FromSite-UPS]],Table1[[#All],[Company or Name]:[FromSite3]],14,FALSE),"")</f>
        <v>0.70833333333333337</v>
      </c>
      <c r="M341" s="13" t="s">
        <v>1011</v>
      </c>
      <c r="N341" s="20" t="s">
        <v>134</v>
      </c>
      <c r="O341" s="20" t="s">
        <v>1846</v>
      </c>
      <c r="P341" s="20"/>
      <c r="Q341" s="20"/>
      <c r="R341" s="20"/>
      <c r="S341" s="20" t="s">
        <v>125</v>
      </c>
      <c r="T341" s="20" t="s">
        <v>856</v>
      </c>
      <c r="U341" s="20"/>
      <c r="V341" s="20"/>
      <c r="W341" s="20" t="str">
        <f>TEXT(Table4[[#This Row],[Confirmed Sampling Date]], "yyyy") &amp; "_" &amp; TEXT(Table4[[#This Row],[Confirmed Sampling Date]], "mm") &amp; "_" &amp; TEXT(Table4[[#This Row],[Confirmed Sampling Date]], "dd")</f>
        <v>2025_10_22</v>
      </c>
      <c r="X341" s="20" t="str">
        <f t="shared" si="5"/>
        <v>Funchal</v>
      </c>
      <c r="Y341" s="20" t="str">
        <f>VLOOKUP(Table4[[#This Row],[FromSite-UPS]],Table1[[Company or Name]:[NOTES]],2,FALSE)</f>
        <v>Portugal</v>
      </c>
      <c r="Z341" s="20">
        <f>IFERROR(WEEKNUM(Table4[[#This Row],[Confirmed Sampling Date]] - 10, 21), "TBD")</f>
        <v>41</v>
      </c>
      <c r="AA341" s="20" t="str">
        <f>_xlfn.XLOOKUP(Table4[[#This Row],[FromSite-UPS]],sites!D:D,sites!W:W,"",0)</f>
        <v>R. do Matadouro 4, Funchal, 9050-100, Portugal</v>
      </c>
      <c r="AB341" s="20" t="str">
        <f>_xlfn.XLOOKUP(Table4[[#This Row],[ToLab]],labs!D:D,labs!P:P,"no adres",0)</f>
        <v>Av. Rovisco Pais 1, Laboratorio de Analises de Agua, Lisbon, 1049-001, Portugal</v>
      </c>
      <c r="AC341" s="20">
        <f>_xlfn.XLOOKUP(Table4[[#This Row],[combi]],AREA!E:E,AREA!F:F,"",0)</f>
        <v>89</v>
      </c>
      <c r="AD341" s="20" t="str">
        <f>_xlfn.XLOOKUP(Table4[[#This Row],[combi]],AREA!E:E,AREA!G:G,"",0)</f>
        <v>Pick-up service of hypothetic package as defined in the Tech. Specs. and delivery to lots
2 and 3 contractors according to Scenario 1</v>
      </c>
      <c r="AE341" s="20" t="s">
        <v>126</v>
      </c>
      <c r="AF341" s="20" t="str">
        <f>_xlfn.XLOOKUP(Table4[[#This Row],[FromSite-UPS]],sites!D:D,sites!AB:AB,"",0)&amp;_xlfn.XLOOKUP(Table4[[#This Row],[ToLab]],labs!D:D,labs!Q:Q,"",0)</f>
        <v>EUEU</v>
      </c>
    </row>
    <row r="342" spans="2:32" ht="15.6" customHeight="1" x14ac:dyDescent="0.25">
      <c r="B342" s="13">
        <v>357</v>
      </c>
      <c r="C342" s="14" t="s">
        <v>53</v>
      </c>
      <c r="D342" s="13">
        <v>1</v>
      </c>
      <c r="E342" s="79">
        <v>45952</v>
      </c>
      <c r="F342" s="80">
        <v>45953</v>
      </c>
      <c r="G342" s="13">
        <f>IFERROR(WEEKNUM(Table4[[#This Row],[Confirmed Pick-up Date]]),"TBD")</f>
        <v>43</v>
      </c>
      <c r="H342" s="13" t="str">
        <f>IFERROR(TEXT(Table4[[#This Row],[Confirmed Pick-up Date]],"yy-mm"),"TBD")</f>
        <v>25-10</v>
      </c>
      <c r="I342" s="78" t="s">
        <v>1628</v>
      </c>
      <c r="J342" s="20" t="str">
        <f>IFERROR(VLOOKUP(Table4[[#This Row],[FromSite-UPS]],Table1[[#All],[Company or Name]:[FromSite3]],15,FALSE),"")</f>
        <v>Funchal WWTP</v>
      </c>
      <c r="K342" s="20" t="str">
        <f>IFERROR(VLOOKUP(Table4[[#This Row],[FromSite-UPS]],Table1[[#All],[Company or Name]:[FromSite3]],16,FALSE),"")</f>
        <v>Madeira, 10 locations</v>
      </c>
      <c r="L342" s="20">
        <f>IFERROR(VLOOKUP(Table4[[#This Row],[FromSite-UPS]],Table1[[#All],[Company or Name]:[FromSite3]],14,FALSE),"")</f>
        <v>0.70833333333333337</v>
      </c>
      <c r="M342" s="13" t="s">
        <v>1011</v>
      </c>
      <c r="N342" s="20" t="s">
        <v>134</v>
      </c>
      <c r="O342" s="20" t="s">
        <v>1846</v>
      </c>
      <c r="P342" s="20"/>
      <c r="Q342" s="20"/>
      <c r="R342" s="20"/>
      <c r="S342" s="20" t="s">
        <v>125</v>
      </c>
      <c r="T342" s="20" t="s">
        <v>856</v>
      </c>
      <c r="U342" s="20"/>
      <c r="V342" s="20"/>
      <c r="W342" s="20" t="str">
        <f>TEXT(Table4[[#This Row],[Confirmed Sampling Date]], "yyyy") &amp; "_" &amp; TEXT(Table4[[#This Row],[Confirmed Sampling Date]], "mm") &amp; "_" &amp; TEXT(Table4[[#This Row],[Confirmed Sampling Date]], "dd")</f>
        <v>2025_10_22</v>
      </c>
      <c r="X342" s="20" t="str">
        <f t="shared" si="5"/>
        <v>Funchal</v>
      </c>
      <c r="Y342" s="20" t="str">
        <f>VLOOKUP(Table4[[#This Row],[FromSite-UPS]],Table1[[Company or Name]:[NOTES]],2,FALSE)</f>
        <v>Portugal</v>
      </c>
      <c r="Z342" s="20">
        <f>IFERROR(WEEKNUM(Table4[[#This Row],[Confirmed Sampling Date]] - 10, 21), "TBD")</f>
        <v>41</v>
      </c>
      <c r="AA342" s="20" t="str">
        <f>_xlfn.XLOOKUP(Table4[[#This Row],[FromSite-UPS]],sites!D:D,sites!W:W,"",0)</f>
        <v>R. do Matadouro 4, Funchal, 9050-100, Portugal</v>
      </c>
      <c r="AB342" s="20" t="str">
        <f>_xlfn.XLOOKUP(Table4[[#This Row],[ToLab]],labs!D:D,labs!P:P,"no adres",0)</f>
        <v>Av. Rovisco Pais 1, Laboratorio de Analises de Agua, Lisbon, 1049-001, Portugal</v>
      </c>
      <c r="AC342" s="20">
        <f>_xlfn.XLOOKUP(Table4[[#This Row],[combi]],AREA!E:E,AREA!F:F,"",0)</f>
        <v>89</v>
      </c>
      <c r="AD342" s="20" t="str">
        <f>_xlfn.XLOOKUP(Table4[[#This Row],[combi]],AREA!E:E,AREA!G:G,"",0)</f>
        <v>Pick-up service of hypothetic package as defined in the Tech. Specs. and delivery to lots
2 and 3 contractors according to Scenario 1</v>
      </c>
      <c r="AE342" s="20" t="s">
        <v>126</v>
      </c>
      <c r="AF342" s="20" t="str">
        <f>_xlfn.XLOOKUP(Table4[[#This Row],[FromSite-UPS]],sites!D:D,sites!AB:AB,"",0)&amp;_xlfn.XLOOKUP(Table4[[#This Row],[ToLab]],labs!D:D,labs!Q:Q,"",0)</f>
        <v>EUEU</v>
      </c>
    </row>
    <row r="343" spans="2:32" ht="15.6" customHeight="1" x14ac:dyDescent="0.25">
      <c r="B343" s="13">
        <v>367</v>
      </c>
      <c r="C343" s="14" t="s">
        <v>53</v>
      </c>
      <c r="D343" s="13">
        <v>1</v>
      </c>
      <c r="E343" s="79">
        <v>45952</v>
      </c>
      <c r="F343" s="81">
        <v>45953</v>
      </c>
      <c r="G343" s="13">
        <f>IFERROR(WEEKNUM(Table4[[#This Row],[Confirmed Pick-up Date]]),"TBD")</f>
        <v>43</v>
      </c>
      <c r="H343" s="13" t="str">
        <f>IFERROR(TEXT(Table4[[#This Row],[Confirmed Pick-up Date]],"yy-mm"),"TBD")</f>
        <v>25-10</v>
      </c>
      <c r="I343" s="78" t="s">
        <v>1628</v>
      </c>
      <c r="J343" s="20" t="str">
        <f>IFERROR(VLOOKUP(Table4[[#This Row],[FromSite-UPS]],Table1[[#All],[Company or Name]:[FromSite3]],15,FALSE),"")</f>
        <v>Funchal WWTP</v>
      </c>
      <c r="K343" s="20" t="str">
        <f>IFERROR(VLOOKUP(Table4[[#This Row],[FromSite-UPS]],Table1[[#All],[Company or Name]:[FromSite3]],16,FALSE),"")</f>
        <v>Madeira, 10 locations</v>
      </c>
      <c r="L343" s="20">
        <f>IFERROR(VLOOKUP(Table4[[#This Row],[FromSite-UPS]],Table1[[#All],[Company or Name]:[FromSite3]],14,FALSE),"")</f>
        <v>0.70833333333333337</v>
      </c>
      <c r="M343" s="13" t="s">
        <v>1011</v>
      </c>
      <c r="N343" s="20" t="s">
        <v>134</v>
      </c>
      <c r="O343" s="20" t="s">
        <v>1846</v>
      </c>
      <c r="P343" s="20"/>
      <c r="Q343" s="20"/>
      <c r="R343" s="20"/>
      <c r="S343" s="20" t="s">
        <v>125</v>
      </c>
      <c r="T343" s="20" t="s">
        <v>856</v>
      </c>
      <c r="U343" s="20"/>
      <c r="V343" s="20"/>
      <c r="W343" s="20" t="str">
        <f>TEXT(Table4[[#This Row],[Confirmed Sampling Date]], "yyyy") &amp; "_" &amp; TEXT(Table4[[#This Row],[Confirmed Sampling Date]], "mm") &amp; "_" &amp; TEXT(Table4[[#This Row],[Confirmed Sampling Date]], "dd")</f>
        <v>2025_10_22</v>
      </c>
      <c r="X343" s="20" t="str">
        <f t="shared" si="5"/>
        <v>Funchal</v>
      </c>
      <c r="Y343" s="20" t="str">
        <f>VLOOKUP(Table4[[#This Row],[FromSite-UPS]],Table1[[Company or Name]:[NOTES]],2,FALSE)</f>
        <v>Portugal</v>
      </c>
      <c r="Z343" s="20">
        <f>IFERROR(WEEKNUM(Table4[[#This Row],[Confirmed Sampling Date]] - 10, 21), "TBD")</f>
        <v>41</v>
      </c>
      <c r="AA343" s="20" t="str">
        <f>_xlfn.XLOOKUP(Table4[[#This Row],[FromSite-UPS]],sites!D:D,sites!W:W,"",0)</f>
        <v>R. do Matadouro 4, Funchal, 9050-100, Portugal</v>
      </c>
      <c r="AB343" s="20" t="str">
        <f>_xlfn.XLOOKUP(Table4[[#This Row],[ToLab]],labs!D:D,labs!P:P,"no adres",0)</f>
        <v>Av. Rovisco Pais 1, Laboratorio de Analises de Agua, Lisbon, 1049-001, Portugal</v>
      </c>
      <c r="AC343" s="20">
        <f>_xlfn.XLOOKUP(Table4[[#This Row],[combi]],AREA!E:E,AREA!F:F,"",0)</f>
        <v>89</v>
      </c>
      <c r="AD343" s="20" t="str">
        <f>_xlfn.XLOOKUP(Table4[[#This Row],[combi]],AREA!E:E,AREA!G:G,"",0)</f>
        <v>Pick-up service of hypothetic package as defined in the Tech. Specs. and delivery to lots
2 and 3 contractors according to Scenario 1</v>
      </c>
      <c r="AE343" s="20" t="s">
        <v>126</v>
      </c>
      <c r="AF343" s="20" t="str">
        <f>_xlfn.XLOOKUP(Table4[[#This Row],[FromSite-UPS]],sites!D:D,sites!AB:AB,"",0)&amp;_xlfn.XLOOKUP(Table4[[#This Row],[ToLab]],labs!D:D,labs!Q:Q,"",0)</f>
        <v>EUEU</v>
      </c>
    </row>
    <row r="344" spans="2:32" ht="15.6" customHeight="1" x14ac:dyDescent="0.25">
      <c r="B344" s="13">
        <v>377</v>
      </c>
      <c r="C344" s="14" t="s">
        <v>53</v>
      </c>
      <c r="D344" s="13">
        <v>1</v>
      </c>
      <c r="E344" s="79">
        <v>45952</v>
      </c>
      <c r="F344" s="80">
        <v>45953</v>
      </c>
      <c r="G344" s="13">
        <f>IFERROR(WEEKNUM(Table4[[#This Row],[Confirmed Pick-up Date]]),"TBD")</f>
        <v>43</v>
      </c>
      <c r="H344" s="13" t="str">
        <f>IFERROR(TEXT(Table4[[#This Row],[Confirmed Pick-up Date]],"yy-mm"),"TBD")</f>
        <v>25-10</v>
      </c>
      <c r="I344" s="78" t="s">
        <v>1628</v>
      </c>
      <c r="J344" s="20" t="str">
        <f>IFERROR(VLOOKUP(Table4[[#This Row],[FromSite-UPS]],Table1[[#All],[Company or Name]:[FromSite3]],15,FALSE),"")</f>
        <v>Funchal WWTP</v>
      </c>
      <c r="K344" s="20" t="str">
        <f>IFERROR(VLOOKUP(Table4[[#This Row],[FromSite-UPS]],Table1[[#All],[Company or Name]:[FromSite3]],16,FALSE),"")</f>
        <v>Madeira, 10 locations</v>
      </c>
      <c r="L344" s="20">
        <f>IFERROR(VLOOKUP(Table4[[#This Row],[FromSite-UPS]],Table1[[#All],[Company or Name]:[FromSite3]],14,FALSE),"")</f>
        <v>0.70833333333333337</v>
      </c>
      <c r="M344" s="13" t="s">
        <v>1011</v>
      </c>
      <c r="N344" s="20" t="s">
        <v>134</v>
      </c>
      <c r="O344" s="20" t="s">
        <v>1846</v>
      </c>
      <c r="P344" s="20"/>
      <c r="Q344" s="20"/>
      <c r="R344" s="20"/>
      <c r="S344" s="20" t="s">
        <v>125</v>
      </c>
      <c r="T344" s="20" t="s">
        <v>856</v>
      </c>
      <c r="U344" s="20"/>
      <c r="V344" s="20"/>
      <c r="W344" s="20" t="str">
        <f>TEXT(Table4[[#This Row],[Confirmed Sampling Date]], "yyyy") &amp; "_" &amp; TEXT(Table4[[#This Row],[Confirmed Sampling Date]], "mm") &amp; "_" &amp; TEXT(Table4[[#This Row],[Confirmed Sampling Date]], "dd")</f>
        <v>2025_10_22</v>
      </c>
      <c r="X344" s="20" t="str">
        <f t="shared" si="5"/>
        <v>Funchal</v>
      </c>
      <c r="Y344" s="20" t="str">
        <f>VLOOKUP(Table4[[#This Row],[FromSite-UPS]],Table1[[Company or Name]:[NOTES]],2,FALSE)</f>
        <v>Portugal</v>
      </c>
      <c r="Z344" s="20">
        <f>IFERROR(WEEKNUM(Table4[[#This Row],[Confirmed Sampling Date]] - 10, 21), "TBD")</f>
        <v>41</v>
      </c>
      <c r="AA344" s="20" t="str">
        <f>_xlfn.XLOOKUP(Table4[[#This Row],[FromSite-UPS]],sites!D:D,sites!W:W,"",0)</f>
        <v>R. do Matadouro 4, Funchal, 9050-100, Portugal</v>
      </c>
      <c r="AB344" s="20" t="str">
        <f>_xlfn.XLOOKUP(Table4[[#This Row],[ToLab]],labs!D:D,labs!P:P,"no adres",0)</f>
        <v>Av. Rovisco Pais 1, Laboratorio de Analises de Agua, Lisbon, 1049-001, Portugal</v>
      </c>
      <c r="AC344" s="20">
        <f>_xlfn.XLOOKUP(Table4[[#This Row],[combi]],AREA!E:E,AREA!F:F,"",0)</f>
        <v>89</v>
      </c>
      <c r="AD344" s="20" t="str">
        <f>_xlfn.XLOOKUP(Table4[[#This Row],[combi]],AREA!E:E,AREA!G:G,"",0)</f>
        <v>Pick-up service of hypothetic package as defined in the Tech. Specs. and delivery to lots
2 and 3 contractors according to Scenario 1</v>
      </c>
      <c r="AE344" s="20" t="s">
        <v>126</v>
      </c>
      <c r="AF344" s="20" t="str">
        <f>_xlfn.XLOOKUP(Table4[[#This Row],[FromSite-UPS]],sites!D:D,sites!AB:AB,"",0)&amp;_xlfn.XLOOKUP(Table4[[#This Row],[ToLab]],labs!D:D,labs!Q:Q,"",0)</f>
        <v>EUEU</v>
      </c>
    </row>
    <row r="345" spans="2:32" ht="15.6" customHeight="1" x14ac:dyDescent="0.25">
      <c r="B345" s="13">
        <v>387</v>
      </c>
      <c r="C345" s="14" t="s">
        <v>53</v>
      </c>
      <c r="D345" s="13">
        <v>1</v>
      </c>
      <c r="E345" s="79">
        <v>45952</v>
      </c>
      <c r="F345" s="80">
        <v>45953</v>
      </c>
      <c r="G345" s="13">
        <f>IFERROR(WEEKNUM(Table4[[#This Row],[Confirmed Pick-up Date]]),"TBD")</f>
        <v>43</v>
      </c>
      <c r="H345" s="13" t="str">
        <f>IFERROR(TEXT(Table4[[#This Row],[Confirmed Pick-up Date]],"yy-mm"),"TBD")</f>
        <v>25-10</v>
      </c>
      <c r="I345" s="78" t="s">
        <v>1628</v>
      </c>
      <c r="J345" s="20" t="str">
        <f>IFERROR(VLOOKUP(Table4[[#This Row],[FromSite-UPS]],Table1[[#All],[Company or Name]:[FromSite3]],15,FALSE),"")</f>
        <v>Funchal WWTP</v>
      </c>
      <c r="K345" s="20" t="str">
        <f>IFERROR(VLOOKUP(Table4[[#This Row],[FromSite-UPS]],Table1[[#All],[Company or Name]:[FromSite3]],16,FALSE),"")</f>
        <v>Madeira, 10 locations</v>
      </c>
      <c r="L345" s="20">
        <f>IFERROR(VLOOKUP(Table4[[#This Row],[FromSite-UPS]],Table1[[#All],[Company or Name]:[FromSite3]],14,FALSE),"")</f>
        <v>0.70833333333333337</v>
      </c>
      <c r="M345" s="13" t="s">
        <v>1011</v>
      </c>
      <c r="N345" s="20" t="s">
        <v>134</v>
      </c>
      <c r="O345" s="20" t="s">
        <v>1846</v>
      </c>
      <c r="P345" s="20"/>
      <c r="Q345" s="65"/>
      <c r="R345" s="20"/>
      <c r="S345" s="20" t="s">
        <v>125</v>
      </c>
      <c r="T345" s="20" t="s">
        <v>856</v>
      </c>
      <c r="U345" s="20"/>
      <c r="V345" s="20"/>
      <c r="W345" s="20" t="str">
        <f>TEXT(Table4[[#This Row],[Confirmed Sampling Date]], "yyyy") &amp; "_" &amp; TEXT(Table4[[#This Row],[Confirmed Sampling Date]], "mm") &amp; "_" &amp; TEXT(Table4[[#This Row],[Confirmed Sampling Date]], "dd")</f>
        <v>2025_10_22</v>
      </c>
      <c r="X345" s="20" t="str">
        <f t="shared" si="5"/>
        <v>Funchal</v>
      </c>
      <c r="Y345" s="20" t="str">
        <f>VLOOKUP(Table4[[#This Row],[FromSite-UPS]],Table1[[Company or Name]:[NOTES]],2,FALSE)</f>
        <v>Portugal</v>
      </c>
      <c r="Z345" s="20">
        <f>IFERROR(WEEKNUM(Table4[[#This Row],[Confirmed Sampling Date]] - 10, 21), "TBD")</f>
        <v>41</v>
      </c>
      <c r="AA345" s="20" t="str">
        <f>_xlfn.XLOOKUP(Table4[[#This Row],[FromSite-UPS]],sites!D:D,sites!W:W,"",0)</f>
        <v>R. do Matadouro 4, Funchal, 9050-100, Portugal</v>
      </c>
      <c r="AB345" s="20" t="str">
        <f>_xlfn.XLOOKUP(Table4[[#This Row],[ToLab]],labs!D:D,labs!P:P,"no adres",0)</f>
        <v>Av. Rovisco Pais 1, Laboratorio de Analises de Agua, Lisbon, 1049-001, Portugal</v>
      </c>
      <c r="AC345" s="20">
        <f>_xlfn.XLOOKUP(Table4[[#This Row],[combi]],AREA!E:E,AREA!F:F,"",0)</f>
        <v>89</v>
      </c>
      <c r="AD345" s="20" t="str">
        <f>_xlfn.XLOOKUP(Table4[[#This Row],[combi]],AREA!E:E,AREA!G:G,"",0)</f>
        <v>Pick-up service of hypothetic package as defined in the Tech. Specs. and delivery to lots
2 and 3 contractors according to Scenario 1</v>
      </c>
      <c r="AE345" s="20" t="s">
        <v>126</v>
      </c>
      <c r="AF345" s="20" t="str">
        <f>_xlfn.XLOOKUP(Table4[[#This Row],[FromSite-UPS]],sites!D:D,sites!AB:AB,"",0)&amp;_xlfn.XLOOKUP(Table4[[#This Row],[ToLab]],labs!D:D,labs!Q:Q,"",0)</f>
        <v>EUEU</v>
      </c>
    </row>
    <row r="346" spans="2:32" ht="15.6" customHeight="1" x14ac:dyDescent="0.25">
      <c r="B346" s="13">
        <v>397</v>
      </c>
      <c r="C346" s="14" t="s">
        <v>53</v>
      </c>
      <c r="D346" s="13">
        <v>1</v>
      </c>
      <c r="E346" s="79">
        <v>45952</v>
      </c>
      <c r="F346" s="81">
        <v>45953</v>
      </c>
      <c r="G346" s="13">
        <f>IFERROR(WEEKNUM(Table4[[#This Row],[Confirmed Pick-up Date]]),"TBD")</f>
        <v>43</v>
      </c>
      <c r="H346" s="13" t="str">
        <f>IFERROR(TEXT(Table4[[#This Row],[Confirmed Pick-up Date]],"yy-mm"),"TBD")</f>
        <v>25-10</v>
      </c>
      <c r="I346" s="67" t="s">
        <v>1628</v>
      </c>
      <c r="J346" s="20" t="str">
        <f>IFERROR(VLOOKUP(Table4[[#This Row],[FromSite-UPS]],Table1[[#All],[Company or Name]:[FromSite3]],15,FALSE),"")</f>
        <v>Funchal WWTP</v>
      </c>
      <c r="K346" s="20" t="str">
        <f>IFERROR(VLOOKUP(Table4[[#This Row],[FromSite-UPS]],Table1[[#All],[Company or Name]:[FromSite3]],16,FALSE),"")</f>
        <v>Madeira, 10 locations</v>
      </c>
      <c r="L346" s="20">
        <f>IFERROR(VLOOKUP(Table4[[#This Row],[FromSite-UPS]],Table1[[#All],[Company or Name]:[FromSite3]],14,FALSE),"")</f>
        <v>0.70833333333333337</v>
      </c>
      <c r="M346" s="13" t="s">
        <v>1011</v>
      </c>
      <c r="N346" s="20" t="s">
        <v>134</v>
      </c>
      <c r="O346" s="20" t="s">
        <v>1846</v>
      </c>
      <c r="P346" s="20"/>
      <c r="Q346" s="20"/>
      <c r="R346" s="20"/>
      <c r="S346" s="20" t="s">
        <v>125</v>
      </c>
      <c r="T346" s="20" t="s">
        <v>856</v>
      </c>
      <c r="U346" s="20"/>
      <c r="V346" s="20"/>
      <c r="W346" s="20" t="str">
        <f>TEXT(Table4[[#This Row],[Confirmed Sampling Date]], "yyyy") &amp; "_" &amp; TEXT(Table4[[#This Row],[Confirmed Sampling Date]], "mm") &amp; "_" &amp; TEXT(Table4[[#This Row],[Confirmed Sampling Date]], "dd")</f>
        <v>2025_10_22</v>
      </c>
      <c r="X346" s="20" t="str">
        <f t="shared" si="5"/>
        <v>Funchal</v>
      </c>
      <c r="Y346" s="20" t="str">
        <f>VLOOKUP(Table4[[#This Row],[FromSite-UPS]],Table1[[Company or Name]:[NOTES]],2,FALSE)</f>
        <v>Portugal</v>
      </c>
      <c r="Z346" s="20">
        <f>IFERROR(WEEKNUM(Table4[[#This Row],[Confirmed Sampling Date]] - 10, 21), "TBD")</f>
        <v>41</v>
      </c>
      <c r="AA346" s="20" t="str">
        <f>_xlfn.XLOOKUP(Table4[[#This Row],[FromSite-UPS]],sites!D:D,sites!W:W,"",0)</f>
        <v>R. do Matadouro 4, Funchal, 9050-100, Portugal</v>
      </c>
      <c r="AB346" s="20" t="str">
        <f>_xlfn.XLOOKUP(Table4[[#This Row],[ToLab]],labs!D:D,labs!P:P,"no adres",0)</f>
        <v>Av. Rovisco Pais 1, Laboratorio de Analises de Agua, Lisbon, 1049-001, Portugal</v>
      </c>
      <c r="AC346" s="20">
        <f>_xlfn.XLOOKUP(Table4[[#This Row],[combi]],AREA!E:E,AREA!F:F,"",0)</f>
        <v>89</v>
      </c>
      <c r="AD346" s="20" t="str">
        <f>_xlfn.XLOOKUP(Table4[[#This Row],[combi]],AREA!E:E,AREA!G:G,"",0)</f>
        <v>Pick-up service of hypothetic package as defined in the Tech. Specs. and delivery to lots
2 and 3 contractors according to Scenario 1</v>
      </c>
      <c r="AE346" s="20" t="s">
        <v>126</v>
      </c>
      <c r="AF346" s="20" t="str">
        <f>_xlfn.XLOOKUP(Table4[[#This Row],[FromSite-UPS]],sites!D:D,sites!AB:AB,"",0)&amp;_xlfn.XLOOKUP(Table4[[#This Row],[ToLab]],labs!D:D,labs!Q:Q,"",0)</f>
        <v>EUEU</v>
      </c>
    </row>
    <row r="347" spans="2:32" ht="15.6" customHeight="1" x14ac:dyDescent="0.25">
      <c r="B347" s="13">
        <v>407</v>
      </c>
      <c r="C347" s="14" t="s">
        <v>53</v>
      </c>
      <c r="D347" s="13">
        <v>1</v>
      </c>
      <c r="E347" s="79">
        <v>45952</v>
      </c>
      <c r="F347" s="81">
        <v>45953</v>
      </c>
      <c r="G347" s="13">
        <f>IFERROR(WEEKNUM(Table4[[#This Row],[Confirmed Pick-up Date]]),"TBD")</f>
        <v>43</v>
      </c>
      <c r="H347" s="13" t="str">
        <f>IFERROR(TEXT(Table4[[#This Row],[Confirmed Pick-up Date]],"yy-mm"),"TBD")</f>
        <v>25-10</v>
      </c>
      <c r="I347" s="67" t="s">
        <v>1628</v>
      </c>
      <c r="J347" s="20" t="str">
        <f>IFERROR(VLOOKUP(Table4[[#This Row],[FromSite-UPS]],Table1[[#All],[Company or Name]:[FromSite3]],15,FALSE),"")</f>
        <v>Funchal WWTP</v>
      </c>
      <c r="K347" s="20" t="str">
        <f>IFERROR(VLOOKUP(Table4[[#This Row],[FromSite-UPS]],Table1[[#All],[Company or Name]:[FromSite3]],16,FALSE),"")</f>
        <v>Madeira, 10 locations</v>
      </c>
      <c r="L347" s="20">
        <f>IFERROR(VLOOKUP(Table4[[#This Row],[FromSite-UPS]],Table1[[#All],[Company or Name]:[FromSite3]],14,FALSE),"")</f>
        <v>0.70833333333333337</v>
      </c>
      <c r="M347" s="13" t="s">
        <v>1011</v>
      </c>
      <c r="N347" s="20" t="s">
        <v>134</v>
      </c>
      <c r="O347" s="20" t="s">
        <v>1846</v>
      </c>
      <c r="P347" s="65"/>
      <c r="Q347" s="65"/>
      <c r="R347" s="20"/>
      <c r="S347" s="20" t="s">
        <v>125</v>
      </c>
      <c r="T347" s="20" t="s">
        <v>856</v>
      </c>
      <c r="U347" s="20"/>
      <c r="V347" s="20"/>
      <c r="W347" s="20" t="str">
        <f>TEXT(Table4[[#This Row],[Confirmed Sampling Date]], "yyyy") &amp; "_" &amp; TEXT(Table4[[#This Row],[Confirmed Sampling Date]], "mm") &amp; "_" &amp; TEXT(Table4[[#This Row],[Confirmed Sampling Date]], "dd")</f>
        <v>2025_10_22</v>
      </c>
      <c r="X347" s="20" t="str">
        <f t="shared" si="5"/>
        <v>Funchal</v>
      </c>
      <c r="Y347" s="20" t="str">
        <f>VLOOKUP(Table4[[#This Row],[FromSite-UPS]],Table1[[Company or Name]:[NOTES]],2,FALSE)</f>
        <v>Portugal</v>
      </c>
      <c r="Z347" s="20">
        <f>IFERROR(WEEKNUM(Table4[[#This Row],[Confirmed Sampling Date]] - 10, 21), "TBD")</f>
        <v>41</v>
      </c>
      <c r="AA347" s="20" t="str">
        <f>_xlfn.XLOOKUP(Table4[[#This Row],[FromSite-UPS]],sites!D:D,sites!W:W,"",0)</f>
        <v>R. do Matadouro 4, Funchal, 9050-100, Portugal</v>
      </c>
      <c r="AB347" s="20" t="str">
        <f>_xlfn.XLOOKUP(Table4[[#This Row],[ToLab]],labs!D:D,labs!P:P,"no adres",0)</f>
        <v>Av. Rovisco Pais 1, Laboratorio de Analises de Agua, Lisbon, 1049-001, Portugal</v>
      </c>
      <c r="AC347" s="20">
        <f>_xlfn.XLOOKUP(Table4[[#This Row],[combi]],AREA!E:E,AREA!F:F,"",0)</f>
        <v>89</v>
      </c>
      <c r="AD347" s="20" t="str">
        <f>_xlfn.XLOOKUP(Table4[[#This Row],[combi]],AREA!E:E,AREA!G:G,"",0)</f>
        <v>Pick-up service of hypothetic package as defined in the Tech. Specs. and delivery to lots
2 and 3 contractors according to Scenario 1</v>
      </c>
      <c r="AE347" s="20" t="s">
        <v>126</v>
      </c>
      <c r="AF347" s="20" t="str">
        <f>_xlfn.XLOOKUP(Table4[[#This Row],[FromSite-UPS]],sites!D:D,sites!AB:AB,"",0)&amp;_xlfn.XLOOKUP(Table4[[#This Row],[ToLab]],labs!D:D,labs!Q:Q,"",0)</f>
        <v>EUEU</v>
      </c>
    </row>
    <row r="348" spans="2:32" ht="15.6" customHeight="1" x14ac:dyDescent="0.25">
      <c r="B348" s="13">
        <v>417</v>
      </c>
      <c r="C348" s="14" t="s">
        <v>53</v>
      </c>
      <c r="D348" s="13">
        <v>1</v>
      </c>
      <c r="E348" s="79">
        <v>45952</v>
      </c>
      <c r="F348" s="80">
        <v>45953</v>
      </c>
      <c r="G348" s="13">
        <f>IFERROR(WEEKNUM(Table4[[#This Row],[Confirmed Pick-up Date]]),"TBD")</f>
        <v>43</v>
      </c>
      <c r="H348" s="13" t="str">
        <f>IFERROR(TEXT(Table4[[#This Row],[Confirmed Pick-up Date]],"yy-mm"),"TBD")</f>
        <v>25-10</v>
      </c>
      <c r="I348" s="78" t="s">
        <v>1628</v>
      </c>
      <c r="J348" s="20" t="str">
        <f>IFERROR(VLOOKUP(Table4[[#This Row],[FromSite-UPS]],Table1[[#All],[Company or Name]:[FromSite3]],15,FALSE),"")</f>
        <v>Funchal WWTP</v>
      </c>
      <c r="K348" s="20" t="str">
        <f>IFERROR(VLOOKUP(Table4[[#This Row],[FromSite-UPS]],Table1[[#All],[Company or Name]:[FromSite3]],16,FALSE),"")</f>
        <v>Madeira, 10 locations</v>
      </c>
      <c r="L348" s="20">
        <f>IFERROR(VLOOKUP(Table4[[#This Row],[FromSite-UPS]],Table1[[#All],[Company or Name]:[FromSite3]],14,FALSE),"")</f>
        <v>0.70833333333333337</v>
      </c>
      <c r="M348" s="13" t="s">
        <v>1011</v>
      </c>
      <c r="N348" s="20" t="s">
        <v>134</v>
      </c>
      <c r="O348" s="20" t="s">
        <v>1846</v>
      </c>
      <c r="P348" s="65"/>
      <c r="Q348" s="65"/>
      <c r="R348" s="20"/>
      <c r="S348" s="20" t="s">
        <v>125</v>
      </c>
      <c r="T348" s="20" t="s">
        <v>856</v>
      </c>
      <c r="U348" s="20"/>
      <c r="V348" s="20"/>
      <c r="W348" s="20" t="str">
        <f>TEXT(Table4[[#This Row],[Confirmed Sampling Date]], "yyyy") &amp; "_" &amp; TEXT(Table4[[#This Row],[Confirmed Sampling Date]], "mm") &amp; "_" &amp; TEXT(Table4[[#This Row],[Confirmed Sampling Date]], "dd")</f>
        <v>2025_10_22</v>
      </c>
      <c r="X348" s="20" t="str">
        <f t="shared" si="5"/>
        <v>Funchal</v>
      </c>
      <c r="Y348" s="20" t="str">
        <f>VLOOKUP(Table4[[#This Row],[FromSite-UPS]],Table1[[Company or Name]:[NOTES]],2,FALSE)</f>
        <v>Portugal</v>
      </c>
      <c r="Z348" s="20">
        <f>IFERROR(WEEKNUM(Table4[[#This Row],[Confirmed Sampling Date]] - 10, 21), "TBD")</f>
        <v>41</v>
      </c>
      <c r="AA348" s="20" t="str">
        <f>_xlfn.XLOOKUP(Table4[[#This Row],[FromSite-UPS]],sites!D:D,sites!W:W,"",0)</f>
        <v>R. do Matadouro 4, Funchal, 9050-100, Portugal</v>
      </c>
      <c r="AB348" s="20" t="str">
        <f>_xlfn.XLOOKUP(Table4[[#This Row],[ToLab]],labs!D:D,labs!P:P,"no adres",0)</f>
        <v>Av. Rovisco Pais 1, Laboratorio de Analises de Agua, Lisbon, 1049-001, Portugal</v>
      </c>
      <c r="AC348" s="20">
        <f>_xlfn.XLOOKUP(Table4[[#This Row],[combi]],AREA!E:E,AREA!F:F,"",0)</f>
        <v>89</v>
      </c>
      <c r="AD348" s="20" t="str">
        <f>_xlfn.XLOOKUP(Table4[[#This Row],[combi]],AREA!E:E,AREA!G:G,"",0)</f>
        <v>Pick-up service of hypothetic package as defined in the Tech. Specs. and delivery to lots
2 and 3 contractors according to Scenario 1</v>
      </c>
      <c r="AE348" s="20" t="s">
        <v>126</v>
      </c>
      <c r="AF348" s="20" t="str">
        <f>_xlfn.XLOOKUP(Table4[[#This Row],[FromSite-UPS]],sites!D:D,sites!AB:AB,"",0)&amp;_xlfn.XLOOKUP(Table4[[#This Row],[ToLab]],labs!D:D,labs!Q:Q,"",0)</f>
        <v>EUEU</v>
      </c>
    </row>
    <row r="349" spans="2:32" ht="15.6" customHeight="1" x14ac:dyDescent="0.25">
      <c r="B349" s="13">
        <v>427</v>
      </c>
      <c r="C349" s="14" t="s">
        <v>53</v>
      </c>
      <c r="D349" s="13">
        <v>1</v>
      </c>
      <c r="E349" s="79">
        <v>45952</v>
      </c>
      <c r="F349" s="81">
        <v>45953</v>
      </c>
      <c r="G349" s="13">
        <f>IFERROR(WEEKNUM(Table4[[#This Row],[Confirmed Pick-up Date]]),"TBD")</f>
        <v>43</v>
      </c>
      <c r="H349" s="13" t="str">
        <f>IFERROR(TEXT(Table4[[#This Row],[Confirmed Pick-up Date]],"yy-mm"),"TBD")</f>
        <v>25-10</v>
      </c>
      <c r="I349" s="67" t="s">
        <v>1628</v>
      </c>
      <c r="J349" s="20" t="str">
        <f>IFERROR(VLOOKUP(Table4[[#This Row],[FromSite-UPS]],Table1[[#All],[Company or Name]:[FromSite3]],15,FALSE),"")</f>
        <v>Funchal WWTP</v>
      </c>
      <c r="K349" s="20" t="str">
        <f>IFERROR(VLOOKUP(Table4[[#This Row],[FromSite-UPS]],Table1[[#All],[Company or Name]:[FromSite3]],16,FALSE),"")</f>
        <v>Madeira, 10 locations</v>
      </c>
      <c r="L349" s="20">
        <f>IFERROR(VLOOKUP(Table4[[#This Row],[FromSite-UPS]],Table1[[#All],[Company or Name]:[FromSite3]],14,FALSE),"")</f>
        <v>0.70833333333333337</v>
      </c>
      <c r="M349" s="13" t="s">
        <v>1011</v>
      </c>
      <c r="N349" s="20" t="s">
        <v>134</v>
      </c>
      <c r="O349" s="20" t="s">
        <v>1846</v>
      </c>
      <c r="P349" s="65"/>
      <c r="Q349" s="65"/>
      <c r="R349" s="20"/>
      <c r="S349" s="20" t="s">
        <v>125</v>
      </c>
      <c r="T349" s="20" t="s">
        <v>856</v>
      </c>
      <c r="U349" s="20"/>
      <c r="V349" s="20"/>
      <c r="W349" s="20" t="str">
        <f>TEXT(Table4[[#This Row],[Confirmed Sampling Date]], "yyyy") &amp; "_" &amp; TEXT(Table4[[#This Row],[Confirmed Sampling Date]], "mm") &amp; "_" &amp; TEXT(Table4[[#This Row],[Confirmed Sampling Date]], "dd")</f>
        <v>2025_10_22</v>
      </c>
      <c r="X349" s="20" t="str">
        <f t="shared" si="5"/>
        <v>Funchal</v>
      </c>
      <c r="Y349" s="20" t="str">
        <f>VLOOKUP(Table4[[#This Row],[FromSite-UPS]],Table1[[Company or Name]:[NOTES]],2,FALSE)</f>
        <v>Portugal</v>
      </c>
      <c r="Z349" s="20">
        <f>IFERROR(WEEKNUM(Table4[[#This Row],[Confirmed Sampling Date]] - 10, 21), "TBD")</f>
        <v>41</v>
      </c>
      <c r="AA349" s="20" t="str">
        <f>_xlfn.XLOOKUP(Table4[[#This Row],[FromSite-UPS]],sites!D:D,sites!W:W,"",0)</f>
        <v>R. do Matadouro 4, Funchal, 9050-100, Portugal</v>
      </c>
      <c r="AB349" s="20" t="str">
        <f>_xlfn.XLOOKUP(Table4[[#This Row],[ToLab]],labs!D:D,labs!P:P,"no adres",0)</f>
        <v>Av. Rovisco Pais 1, Laboratorio de Analises de Agua, Lisbon, 1049-001, Portugal</v>
      </c>
      <c r="AC349" s="20">
        <f>_xlfn.XLOOKUP(Table4[[#This Row],[combi]],AREA!E:E,AREA!F:F,"",0)</f>
        <v>89</v>
      </c>
      <c r="AD349" s="20" t="str">
        <f>_xlfn.XLOOKUP(Table4[[#This Row],[combi]],AREA!E:E,AREA!G:G,"",0)</f>
        <v>Pick-up service of hypothetic package as defined in the Tech. Specs. and delivery to lots
2 and 3 contractors according to Scenario 1</v>
      </c>
      <c r="AE349" s="20" t="s">
        <v>126</v>
      </c>
      <c r="AF349" s="20" t="str">
        <f>_xlfn.XLOOKUP(Table4[[#This Row],[FromSite-UPS]],sites!D:D,sites!AB:AB,"",0)&amp;_xlfn.XLOOKUP(Table4[[#This Row],[ToLab]],labs!D:D,labs!Q:Q,"",0)</f>
        <v>EUEU</v>
      </c>
    </row>
    <row r="350" spans="2:32" ht="15.6" customHeight="1" x14ac:dyDescent="0.25">
      <c r="B350" s="13">
        <v>437</v>
      </c>
      <c r="C350" s="14" t="s">
        <v>53</v>
      </c>
      <c r="D350" s="13">
        <v>1</v>
      </c>
      <c r="E350" s="79">
        <v>45952</v>
      </c>
      <c r="F350" s="80">
        <v>45953</v>
      </c>
      <c r="G350" s="13">
        <f>IFERROR(WEEKNUM(Table4[[#This Row],[Confirmed Pick-up Date]]),"TBD")</f>
        <v>43</v>
      </c>
      <c r="H350" s="13" t="str">
        <f>IFERROR(TEXT(Table4[[#This Row],[Confirmed Pick-up Date]],"yy-mm"),"TBD")</f>
        <v>25-10</v>
      </c>
      <c r="I350" s="78" t="s">
        <v>1628</v>
      </c>
      <c r="J350" s="20" t="str">
        <f>IFERROR(VLOOKUP(Table4[[#This Row],[FromSite-UPS]],Table1[[#All],[Company or Name]:[FromSite3]],15,FALSE),"")</f>
        <v>Funchal WWTP</v>
      </c>
      <c r="K350" s="20" t="str">
        <f>IFERROR(VLOOKUP(Table4[[#This Row],[FromSite-UPS]],Table1[[#All],[Company or Name]:[FromSite3]],16,FALSE),"")</f>
        <v>Madeira, 10 locations</v>
      </c>
      <c r="L350" s="20">
        <f>IFERROR(VLOOKUP(Table4[[#This Row],[FromSite-UPS]],Table1[[#All],[Company or Name]:[FromSite3]],14,FALSE),"")</f>
        <v>0.70833333333333337</v>
      </c>
      <c r="M350" s="13" t="s">
        <v>1011</v>
      </c>
      <c r="N350" s="20" t="s">
        <v>134</v>
      </c>
      <c r="O350" s="20" t="s">
        <v>1846</v>
      </c>
      <c r="P350" s="65"/>
      <c r="Q350" s="65"/>
      <c r="R350" s="20"/>
      <c r="S350" s="20" t="s">
        <v>125</v>
      </c>
      <c r="T350" s="20" t="s">
        <v>856</v>
      </c>
      <c r="U350" s="20"/>
      <c r="V350" s="20"/>
      <c r="W350" s="20" t="str">
        <f>TEXT(Table4[[#This Row],[Confirmed Sampling Date]], "yyyy") &amp; "_" &amp; TEXT(Table4[[#This Row],[Confirmed Sampling Date]], "mm") &amp; "_" &amp; TEXT(Table4[[#This Row],[Confirmed Sampling Date]], "dd")</f>
        <v>2025_10_22</v>
      </c>
      <c r="X350" s="20" t="str">
        <f t="shared" si="5"/>
        <v>Funchal</v>
      </c>
      <c r="Y350" s="20" t="str">
        <f>VLOOKUP(Table4[[#This Row],[FromSite-UPS]],Table1[[Company or Name]:[NOTES]],2,FALSE)</f>
        <v>Portugal</v>
      </c>
      <c r="Z350" s="20">
        <f>IFERROR(WEEKNUM(Table4[[#This Row],[Confirmed Sampling Date]] - 10, 21), "TBD")</f>
        <v>41</v>
      </c>
      <c r="AA350" s="20" t="str">
        <f>_xlfn.XLOOKUP(Table4[[#This Row],[FromSite-UPS]],sites!D:D,sites!W:W,"",0)</f>
        <v>R. do Matadouro 4, Funchal, 9050-100, Portugal</v>
      </c>
      <c r="AB350" s="20" t="str">
        <f>_xlfn.XLOOKUP(Table4[[#This Row],[ToLab]],labs!D:D,labs!P:P,"no adres",0)</f>
        <v>Av. Rovisco Pais 1, Laboratorio de Analises de Agua, Lisbon, 1049-001, Portugal</v>
      </c>
      <c r="AC350" s="20">
        <f>_xlfn.XLOOKUP(Table4[[#This Row],[combi]],AREA!E:E,AREA!F:F,"",0)</f>
        <v>89</v>
      </c>
      <c r="AD350" s="20" t="str">
        <f>_xlfn.XLOOKUP(Table4[[#This Row],[combi]],AREA!E:E,AREA!G:G,"",0)</f>
        <v>Pick-up service of hypothetic package as defined in the Tech. Specs. and delivery to lots
2 and 3 contractors according to Scenario 1</v>
      </c>
      <c r="AE350" s="20" t="s">
        <v>126</v>
      </c>
      <c r="AF350" s="20" t="str">
        <f>_xlfn.XLOOKUP(Table4[[#This Row],[FromSite-UPS]],sites!D:D,sites!AB:AB,"",0)&amp;_xlfn.XLOOKUP(Table4[[#This Row],[ToLab]],labs!D:D,labs!Q:Q,"",0)</f>
        <v>EUEU</v>
      </c>
    </row>
    <row r="351" spans="2:32" ht="15.6" customHeight="1" x14ac:dyDescent="0.25">
      <c r="B351" s="13">
        <v>447</v>
      </c>
      <c r="C351" s="14" t="s">
        <v>53</v>
      </c>
      <c r="D351" s="13">
        <v>1</v>
      </c>
      <c r="E351" s="79">
        <v>45952</v>
      </c>
      <c r="F351" s="80">
        <v>45953</v>
      </c>
      <c r="G351" s="13">
        <f>IFERROR(WEEKNUM(Table4[[#This Row],[Confirmed Pick-up Date]]),"TBD")</f>
        <v>43</v>
      </c>
      <c r="H351" s="13" t="str">
        <f>IFERROR(TEXT(Table4[[#This Row],[Confirmed Pick-up Date]],"yy-mm"),"TBD")</f>
        <v>25-10</v>
      </c>
      <c r="I351" s="78" t="s">
        <v>1628</v>
      </c>
      <c r="J351" s="20" t="str">
        <f>IFERROR(VLOOKUP(Table4[[#This Row],[FromSite-UPS]],Table1[[#All],[Company or Name]:[FromSite3]],15,FALSE),"")</f>
        <v>Funchal WWTP</v>
      </c>
      <c r="K351" s="20" t="str">
        <f>IFERROR(VLOOKUP(Table4[[#This Row],[FromSite-UPS]],Table1[[#All],[Company or Name]:[FromSite3]],16,FALSE),"")</f>
        <v>Madeira, 10 locations</v>
      </c>
      <c r="L351" s="20">
        <f>IFERROR(VLOOKUP(Table4[[#This Row],[FromSite-UPS]],Table1[[#All],[Company or Name]:[FromSite3]],14,FALSE),"")</f>
        <v>0.70833333333333337</v>
      </c>
      <c r="M351" s="13" t="s">
        <v>1011</v>
      </c>
      <c r="N351" s="20" t="s">
        <v>134</v>
      </c>
      <c r="O351" s="20" t="s">
        <v>1846</v>
      </c>
      <c r="P351" s="20"/>
      <c r="Q351" s="20"/>
      <c r="R351" s="20"/>
      <c r="S351" s="20" t="s">
        <v>125</v>
      </c>
      <c r="T351" s="20" t="s">
        <v>856</v>
      </c>
      <c r="U351" s="20"/>
      <c r="V351" s="20"/>
      <c r="W351" s="20" t="str">
        <f>TEXT(Table4[[#This Row],[Confirmed Sampling Date]], "yyyy") &amp; "_" &amp; TEXT(Table4[[#This Row],[Confirmed Sampling Date]], "mm") &amp; "_" &amp; TEXT(Table4[[#This Row],[Confirmed Sampling Date]], "dd")</f>
        <v>2025_10_22</v>
      </c>
      <c r="X351" s="20" t="str">
        <f t="shared" si="5"/>
        <v>Funchal</v>
      </c>
      <c r="Y351" s="20" t="str">
        <f>VLOOKUP(Table4[[#This Row],[FromSite-UPS]],Table1[[Company or Name]:[NOTES]],2,FALSE)</f>
        <v>Portugal</v>
      </c>
      <c r="Z351" s="20">
        <f>IFERROR(WEEKNUM(Table4[[#This Row],[Confirmed Sampling Date]] - 10, 21), "TBD")</f>
        <v>41</v>
      </c>
      <c r="AA351" s="20" t="str">
        <f>_xlfn.XLOOKUP(Table4[[#This Row],[FromSite-UPS]],sites!D:D,sites!W:W,"",0)</f>
        <v>R. do Matadouro 4, Funchal, 9050-100, Portugal</v>
      </c>
      <c r="AB351" s="20" t="str">
        <f>_xlfn.XLOOKUP(Table4[[#This Row],[ToLab]],labs!D:D,labs!P:P,"no adres",0)</f>
        <v>Av. Rovisco Pais 1, Laboratorio de Analises de Agua, Lisbon, 1049-001, Portugal</v>
      </c>
      <c r="AC351" s="20">
        <f>_xlfn.XLOOKUP(Table4[[#This Row],[combi]],AREA!E:E,AREA!F:F,"",0)</f>
        <v>89</v>
      </c>
      <c r="AD351" s="20" t="str">
        <f>_xlfn.XLOOKUP(Table4[[#This Row],[combi]],AREA!E:E,AREA!G:G,"",0)</f>
        <v>Pick-up service of hypothetic package as defined in the Tech. Specs. and delivery to lots
2 and 3 contractors according to Scenario 1</v>
      </c>
      <c r="AE351" s="20" t="s">
        <v>126</v>
      </c>
      <c r="AF351" s="20" t="str">
        <f>_xlfn.XLOOKUP(Table4[[#This Row],[FromSite-UPS]],sites!D:D,sites!AB:AB,"",0)&amp;_xlfn.XLOOKUP(Table4[[#This Row],[ToLab]],labs!D:D,labs!Q:Q,"",0)</f>
        <v>EUEU</v>
      </c>
    </row>
    <row r="352" spans="2:32" ht="15.6" customHeight="1" x14ac:dyDescent="0.25">
      <c r="B352" s="13">
        <v>457</v>
      </c>
      <c r="C352" s="14" t="s">
        <v>53</v>
      </c>
      <c r="D352" s="13">
        <v>1</v>
      </c>
      <c r="E352" s="79">
        <v>45952</v>
      </c>
      <c r="F352" s="80">
        <v>45953</v>
      </c>
      <c r="G352" s="13">
        <f>IFERROR(WEEKNUM(Table4[[#This Row],[Confirmed Pick-up Date]]),"TBD")</f>
        <v>43</v>
      </c>
      <c r="H352" s="13" t="str">
        <f>IFERROR(TEXT(Table4[[#This Row],[Confirmed Pick-up Date]],"yy-mm"),"TBD")</f>
        <v>25-10</v>
      </c>
      <c r="I352" s="78" t="s">
        <v>1628</v>
      </c>
      <c r="J352" s="20" t="str">
        <f>IFERROR(VLOOKUP(Table4[[#This Row],[FromSite-UPS]],Table1[[#All],[Company or Name]:[FromSite3]],15,FALSE),"")</f>
        <v>Funchal WWTP</v>
      </c>
      <c r="K352" s="20" t="str">
        <f>IFERROR(VLOOKUP(Table4[[#This Row],[FromSite-UPS]],Table1[[#All],[Company or Name]:[FromSite3]],16,FALSE),"")</f>
        <v>Madeira, 10 locations</v>
      </c>
      <c r="L352" s="20">
        <f>IFERROR(VLOOKUP(Table4[[#This Row],[FromSite-UPS]],Table1[[#All],[Company or Name]:[FromSite3]],14,FALSE),"")</f>
        <v>0.70833333333333337</v>
      </c>
      <c r="M352" s="13" t="s">
        <v>1011</v>
      </c>
      <c r="N352" s="20" t="s">
        <v>134</v>
      </c>
      <c r="O352" s="20" t="s">
        <v>1846</v>
      </c>
      <c r="P352" s="20"/>
      <c r="Q352" s="20"/>
      <c r="R352" s="20"/>
      <c r="S352" s="20" t="s">
        <v>125</v>
      </c>
      <c r="T352" s="20" t="s">
        <v>856</v>
      </c>
      <c r="U352" s="20"/>
      <c r="V352" s="20"/>
      <c r="W352" s="20" t="str">
        <f>TEXT(Table4[[#This Row],[Confirmed Sampling Date]], "yyyy") &amp; "_" &amp; TEXT(Table4[[#This Row],[Confirmed Sampling Date]], "mm") &amp; "_" &amp; TEXT(Table4[[#This Row],[Confirmed Sampling Date]], "dd")</f>
        <v>2025_10_22</v>
      </c>
      <c r="X352" s="20" t="str">
        <f t="shared" si="5"/>
        <v>Funchal</v>
      </c>
      <c r="Y352" s="20" t="str">
        <f>VLOOKUP(Table4[[#This Row],[FromSite-UPS]],Table1[[Company or Name]:[NOTES]],2,FALSE)</f>
        <v>Portugal</v>
      </c>
      <c r="Z352" s="20">
        <f>IFERROR(WEEKNUM(Table4[[#This Row],[Confirmed Sampling Date]] - 10, 21), "TBD")</f>
        <v>41</v>
      </c>
      <c r="AA352" s="20" t="str">
        <f>_xlfn.XLOOKUP(Table4[[#This Row],[FromSite-UPS]],sites!D:D,sites!W:W,"",0)</f>
        <v>R. do Matadouro 4, Funchal, 9050-100, Portugal</v>
      </c>
      <c r="AB352" s="20" t="str">
        <f>_xlfn.XLOOKUP(Table4[[#This Row],[ToLab]],labs!D:D,labs!P:P,"no adres",0)</f>
        <v>Av. Rovisco Pais 1, Laboratorio de Analises de Agua, Lisbon, 1049-001, Portugal</v>
      </c>
      <c r="AC352" s="20">
        <f>_xlfn.XLOOKUP(Table4[[#This Row],[combi]],AREA!E:E,AREA!F:F,"",0)</f>
        <v>89</v>
      </c>
      <c r="AD352" s="20" t="str">
        <f>_xlfn.XLOOKUP(Table4[[#This Row],[combi]],AREA!E:E,AREA!G:G,"",0)</f>
        <v>Pick-up service of hypothetic package as defined in the Tech. Specs. and delivery to lots
2 and 3 contractors according to Scenario 1</v>
      </c>
      <c r="AE352" s="20" t="s">
        <v>126</v>
      </c>
      <c r="AF352" s="20" t="str">
        <f>_xlfn.XLOOKUP(Table4[[#This Row],[FromSite-UPS]],sites!D:D,sites!AB:AB,"",0)&amp;_xlfn.XLOOKUP(Table4[[#This Row],[ToLab]],labs!D:D,labs!Q:Q,"",0)</f>
        <v>EUEU</v>
      </c>
    </row>
    <row r="353" spans="2:32" ht="15.6" customHeight="1" x14ac:dyDescent="0.25">
      <c r="B353" s="13">
        <v>467</v>
      </c>
      <c r="C353" s="14" t="s">
        <v>53</v>
      </c>
      <c r="D353" s="13">
        <v>1</v>
      </c>
      <c r="E353" s="79">
        <v>45952</v>
      </c>
      <c r="F353" s="80">
        <v>45953</v>
      </c>
      <c r="G353" s="13">
        <f>IFERROR(WEEKNUM(Table4[[#This Row],[Confirmed Pick-up Date]]),"TBD")</f>
        <v>43</v>
      </c>
      <c r="H353" s="13" t="str">
        <f>IFERROR(TEXT(Table4[[#This Row],[Confirmed Pick-up Date]],"yy-mm"),"TBD")</f>
        <v>25-10</v>
      </c>
      <c r="I353" s="78" t="s">
        <v>1628</v>
      </c>
      <c r="J353" s="20" t="str">
        <f>IFERROR(VLOOKUP(Table4[[#This Row],[FromSite-UPS]],Table1[[#All],[Company or Name]:[FromSite3]],15,FALSE),"")</f>
        <v>Funchal WWTP</v>
      </c>
      <c r="K353" s="20" t="str">
        <f>IFERROR(VLOOKUP(Table4[[#This Row],[FromSite-UPS]],Table1[[#All],[Company or Name]:[FromSite3]],16,FALSE),"")</f>
        <v>Madeira, 10 locations</v>
      </c>
      <c r="L353" s="20">
        <f>IFERROR(VLOOKUP(Table4[[#This Row],[FromSite-UPS]],Table1[[#All],[Company or Name]:[FromSite3]],14,FALSE),"")</f>
        <v>0.70833333333333337</v>
      </c>
      <c r="M353" s="13" t="s">
        <v>1011</v>
      </c>
      <c r="N353" s="20" t="s">
        <v>134</v>
      </c>
      <c r="O353" s="20" t="s">
        <v>1846</v>
      </c>
      <c r="P353" s="20"/>
      <c r="Q353" s="20"/>
      <c r="R353" s="20"/>
      <c r="S353" s="20" t="s">
        <v>125</v>
      </c>
      <c r="T353" s="20" t="s">
        <v>856</v>
      </c>
      <c r="U353" s="20"/>
      <c r="V353" s="20"/>
      <c r="W353" s="20" t="str">
        <f>TEXT(Table4[[#This Row],[Confirmed Sampling Date]], "yyyy") &amp; "_" &amp; TEXT(Table4[[#This Row],[Confirmed Sampling Date]], "mm") &amp; "_" &amp; TEXT(Table4[[#This Row],[Confirmed Sampling Date]], "dd")</f>
        <v>2025_10_22</v>
      </c>
      <c r="X353" s="20" t="str">
        <f t="shared" si="5"/>
        <v>Funchal</v>
      </c>
      <c r="Y353" s="20" t="str">
        <f>VLOOKUP(Table4[[#This Row],[FromSite-UPS]],Table1[[Company or Name]:[NOTES]],2,FALSE)</f>
        <v>Portugal</v>
      </c>
      <c r="Z353" s="20">
        <f>IFERROR(WEEKNUM(Table4[[#This Row],[Confirmed Sampling Date]] - 10, 21), "TBD")</f>
        <v>41</v>
      </c>
      <c r="AA353" s="20" t="str">
        <f>_xlfn.XLOOKUP(Table4[[#This Row],[FromSite-UPS]],sites!D:D,sites!W:W,"",0)</f>
        <v>R. do Matadouro 4, Funchal, 9050-100, Portugal</v>
      </c>
      <c r="AB353" s="20" t="str">
        <f>_xlfn.XLOOKUP(Table4[[#This Row],[ToLab]],labs!D:D,labs!P:P,"no adres",0)</f>
        <v>Av. Rovisco Pais 1, Laboratorio de Analises de Agua, Lisbon, 1049-001, Portugal</v>
      </c>
      <c r="AC353" s="20">
        <f>_xlfn.XLOOKUP(Table4[[#This Row],[combi]],AREA!E:E,AREA!F:F,"",0)</f>
        <v>89</v>
      </c>
      <c r="AD353" s="20" t="str">
        <f>_xlfn.XLOOKUP(Table4[[#This Row],[combi]],AREA!E:E,AREA!G:G,"",0)</f>
        <v>Pick-up service of hypothetic package as defined in the Tech. Specs. and delivery to lots
2 and 3 contractors according to Scenario 1</v>
      </c>
      <c r="AE353" s="20" t="s">
        <v>126</v>
      </c>
      <c r="AF353" s="20" t="str">
        <f>_xlfn.XLOOKUP(Table4[[#This Row],[FromSite-UPS]],sites!D:D,sites!AB:AB,"",0)&amp;_xlfn.XLOOKUP(Table4[[#This Row],[ToLab]],labs!D:D,labs!Q:Q,"",0)</f>
        <v>EUEU</v>
      </c>
    </row>
    <row r="354" spans="2:32" ht="15.6" customHeight="1" x14ac:dyDescent="0.25">
      <c r="B354" s="13">
        <v>477</v>
      </c>
      <c r="C354" s="14" t="s">
        <v>53</v>
      </c>
      <c r="D354" s="13">
        <v>1</v>
      </c>
      <c r="E354" s="79">
        <v>45952</v>
      </c>
      <c r="F354" s="80">
        <v>45953</v>
      </c>
      <c r="G354" s="13">
        <f>IFERROR(WEEKNUM(Table4[[#This Row],[Confirmed Pick-up Date]]),"TBD")</f>
        <v>43</v>
      </c>
      <c r="H354" s="13" t="str">
        <f>IFERROR(TEXT(Table4[[#This Row],[Confirmed Pick-up Date]],"yy-mm"),"TBD")</f>
        <v>25-10</v>
      </c>
      <c r="I354" s="78" t="s">
        <v>1628</v>
      </c>
      <c r="J354" s="20" t="str">
        <f>IFERROR(VLOOKUP(Table4[[#This Row],[FromSite-UPS]],Table1[[#All],[Company or Name]:[FromSite3]],15,FALSE),"")</f>
        <v>Funchal WWTP</v>
      </c>
      <c r="K354" s="20" t="str">
        <f>IFERROR(VLOOKUP(Table4[[#This Row],[FromSite-UPS]],Table1[[#All],[Company or Name]:[FromSite3]],16,FALSE),"")</f>
        <v>Madeira, 10 locations</v>
      </c>
      <c r="L354" s="20">
        <f>IFERROR(VLOOKUP(Table4[[#This Row],[FromSite-UPS]],Table1[[#All],[Company or Name]:[FromSite3]],14,FALSE),"")</f>
        <v>0.70833333333333337</v>
      </c>
      <c r="M354" s="13" t="s">
        <v>1011</v>
      </c>
      <c r="N354" s="20" t="s">
        <v>134</v>
      </c>
      <c r="O354" s="20" t="s">
        <v>1846</v>
      </c>
      <c r="P354" s="20"/>
      <c r="Q354" s="20"/>
      <c r="R354" s="20"/>
      <c r="S354" s="20" t="s">
        <v>125</v>
      </c>
      <c r="T354" s="20" t="s">
        <v>856</v>
      </c>
      <c r="U354" s="20"/>
      <c r="V354" s="20"/>
      <c r="W354" s="20" t="str">
        <f>TEXT(Table4[[#This Row],[Confirmed Sampling Date]], "yyyy") &amp; "_" &amp; TEXT(Table4[[#This Row],[Confirmed Sampling Date]], "mm") &amp; "_" &amp; TEXT(Table4[[#This Row],[Confirmed Sampling Date]], "dd")</f>
        <v>2025_10_22</v>
      </c>
      <c r="X354" s="20" t="str">
        <f t="shared" si="5"/>
        <v>Funchal</v>
      </c>
      <c r="Y354" s="20" t="str">
        <f>VLOOKUP(Table4[[#This Row],[FromSite-UPS]],Table1[[Company or Name]:[NOTES]],2,FALSE)</f>
        <v>Portugal</v>
      </c>
      <c r="Z354" s="20">
        <f>IFERROR(WEEKNUM(Table4[[#This Row],[Confirmed Sampling Date]] - 10, 21), "TBD")</f>
        <v>41</v>
      </c>
      <c r="AA354" s="20" t="str">
        <f>_xlfn.XLOOKUP(Table4[[#This Row],[FromSite-UPS]],sites!D:D,sites!W:W,"",0)</f>
        <v>R. do Matadouro 4, Funchal, 9050-100, Portugal</v>
      </c>
      <c r="AB354" s="20" t="str">
        <f>_xlfn.XLOOKUP(Table4[[#This Row],[ToLab]],labs!D:D,labs!P:P,"no adres",0)</f>
        <v>Av. Rovisco Pais 1, Laboratorio de Analises de Agua, Lisbon, 1049-001, Portugal</v>
      </c>
      <c r="AC354" s="20">
        <f>_xlfn.XLOOKUP(Table4[[#This Row],[combi]],AREA!E:E,AREA!F:F,"",0)</f>
        <v>89</v>
      </c>
      <c r="AD354" s="20" t="str">
        <f>_xlfn.XLOOKUP(Table4[[#This Row],[combi]],AREA!E:E,AREA!G:G,"",0)</f>
        <v>Pick-up service of hypothetic package as defined in the Tech. Specs. and delivery to lots
2 and 3 contractors according to Scenario 1</v>
      </c>
      <c r="AE354" s="20" t="s">
        <v>126</v>
      </c>
      <c r="AF354" s="20" t="str">
        <f>_xlfn.XLOOKUP(Table4[[#This Row],[FromSite-UPS]],sites!D:D,sites!AB:AB,"",0)&amp;_xlfn.XLOOKUP(Table4[[#This Row],[ToLab]],labs!D:D,labs!Q:Q,"",0)</f>
        <v>EUEU</v>
      </c>
    </row>
    <row r="355" spans="2:32" ht="15.6" customHeight="1" x14ac:dyDescent="0.25">
      <c r="B355" s="13">
        <v>487</v>
      </c>
      <c r="C355" s="14" t="s">
        <v>53</v>
      </c>
      <c r="D355" s="13">
        <v>1</v>
      </c>
      <c r="E355" s="79">
        <v>45952</v>
      </c>
      <c r="F355" s="80">
        <v>45953</v>
      </c>
      <c r="G355" s="13">
        <f>IFERROR(WEEKNUM(Table4[[#This Row],[Confirmed Pick-up Date]]),"TBD")</f>
        <v>43</v>
      </c>
      <c r="H355" s="13" t="str">
        <f>IFERROR(TEXT(Table4[[#This Row],[Confirmed Pick-up Date]],"yy-mm"),"TBD")</f>
        <v>25-10</v>
      </c>
      <c r="I355" s="78" t="s">
        <v>1628</v>
      </c>
      <c r="J355" s="20" t="str">
        <f>IFERROR(VLOOKUP(Table4[[#This Row],[FromSite-UPS]],Table1[[#All],[Company or Name]:[FromSite3]],15,FALSE),"")</f>
        <v>Funchal WWTP</v>
      </c>
      <c r="K355" s="20" t="str">
        <f>IFERROR(VLOOKUP(Table4[[#This Row],[FromSite-UPS]],Table1[[#All],[Company or Name]:[FromSite3]],16,FALSE),"")</f>
        <v>Madeira, 10 locations</v>
      </c>
      <c r="L355" s="20">
        <f>IFERROR(VLOOKUP(Table4[[#This Row],[FromSite-UPS]],Table1[[#All],[Company or Name]:[FromSite3]],14,FALSE),"")</f>
        <v>0.70833333333333337</v>
      </c>
      <c r="M355" s="13" t="s">
        <v>1011</v>
      </c>
      <c r="N355" s="20" t="s">
        <v>134</v>
      </c>
      <c r="O355" s="20" t="s">
        <v>1846</v>
      </c>
      <c r="P355" s="20"/>
      <c r="Q355" s="20"/>
      <c r="R355" s="20"/>
      <c r="S355" s="20" t="s">
        <v>125</v>
      </c>
      <c r="T355" s="20" t="s">
        <v>856</v>
      </c>
      <c r="U355" s="20"/>
      <c r="V355" s="20"/>
      <c r="W355" s="20" t="str">
        <f>TEXT(Table4[[#This Row],[Confirmed Sampling Date]], "yyyy") &amp; "_" &amp; TEXT(Table4[[#This Row],[Confirmed Sampling Date]], "mm") &amp; "_" &amp; TEXT(Table4[[#This Row],[Confirmed Sampling Date]], "dd")</f>
        <v>2025_10_22</v>
      </c>
      <c r="X355" s="20" t="str">
        <f t="shared" si="5"/>
        <v>Funchal</v>
      </c>
      <c r="Y355" s="20" t="str">
        <f>VLOOKUP(Table4[[#This Row],[FromSite-UPS]],Table1[[Company or Name]:[NOTES]],2,FALSE)</f>
        <v>Portugal</v>
      </c>
      <c r="Z355" s="20">
        <f>IFERROR(WEEKNUM(Table4[[#This Row],[Confirmed Sampling Date]] - 10, 21), "TBD")</f>
        <v>41</v>
      </c>
      <c r="AA355" s="20" t="str">
        <f>_xlfn.XLOOKUP(Table4[[#This Row],[FromSite-UPS]],sites!D:D,sites!W:W,"",0)</f>
        <v>R. do Matadouro 4, Funchal, 9050-100, Portugal</v>
      </c>
      <c r="AB355" s="20" t="str">
        <f>_xlfn.XLOOKUP(Table4[[#This Row],[ToLab]],labs!D:D,labs!P:P,"no adres",0)</f>
        <v>Av. Rovisco Pais 1, Laboratorio de Analises de Agua, Lisbon, 1049-001, Portugal</v>
      </c>
      <c r="AC355" s="20">
        <f>_xlfn.XLOOKUP(Table4[[#This Row],[combi]],AREA!E:E,AREA!F:F,"",0)</f>
        <v>89</v>
      </c>
      <c r="AD355" s="20" t="str">
        <f>_xlfn.XLOOKUP(Table4[[#This Row],[combi]],AREA!E:E,AREA!G:G,"",0)</f>
        <v>Pick-up service of hypothetic package as defined in the Tech. Specs. and delivery to lots
2 and 3 contractors according to Scenario 1</v>
      </c>
      <c r="AE355" s="20" t="s">
        <v>126</v>
      </c>
      <c r="AF355" s="20" t="str">
        <f>_xlfn.XLOOKUP(Table4[[#This Row],[FromSite-UPS]],sites!D:D,sites!AB:AB,"",0)&amp;_xlfn.XLOOKUP(Table4[[#This Row],[ToLab]],labs!D:D,labs!Q:Q,"",0)</f>
        <v>EUEU</v>
      </c>
    </row>
    <row r="356" spans="2:32" ht="15.6" customHeight="1" x14ac:dyDescent="0.25">
      <c r="B356" s="13">
        <v>497</v>
      </c>
      <c r="C356" s="14" t="s">
        <v>53</v>
      </c>
      <c r="D356" s="13">
        <v>1</v>
      </c>
      <c r="E356" s="79">
        <v>45952</v>
      </c>
      <c r="F356" s="80">
        <v>45953</v>
      </c>
      <c r="G356" s="13">
        <f>IFERROR(WEEKNUM(Table4[[#This Row],[Confirmed Pick-up Date]]),"TBD")</f>
        <v>43</v>
      </c>
      <c r="H356" s="13" t="str">
        <f>IFERROR(TEXT(Table4[[#This Row],[Confirmed Pick-up Date]],"yy-mm"),"TBD")</f>
        <v>25-10</v>
      </c>
      <c r="I356" s="78" t="s">
        <v>1628</v>
      </c>
      <c r="J356" s="20" t="str">
        <f>IFERROR(VLOOKUP(Table4[[#This Row],[FromSite-UPS]],Table1[[#All],[Company or Name]:[FromSite3]],15,FALSE),"")</f>
        <v>Funchal WWTP</v>
      </c>
      <c r="K356" s="20" t="str">
        <f>IFERROR(VLOOKUP(Table4[[#This Row],[FromSite-UPS]],Table1[[#All],[Company or Name]:[FromSite3]],16,FALSE),"")</f>
        <v>Madeira, 10 locations</v>
      </c>
      <c r="L356" s="20">
        <f>IFERROR(VLOOKUP(Table4[[#This Row],[FromSite-UPS]],Table1[[#All],[Company or Name]:[FromSite3]],14,FALSE),"")</f>
        <v>0.70833333333333337</v>
      </c>
      <c r="M356" s="13" t="s">
        <v>1011</v>
      </c>
      <c r="N356" s="20" t="s">
        <v>134</v>
      </c>
      <c r="O356" s="20">
        <v>1094957614</v>
      </c>
      <c r="P356" s="20"/>
      <c r="Q356" s="20"/>
      <c r="R356" s="20"/>
      <c r="S356" s="20" t="s">
        <v>125</v>
      </c>
      <c r="T356" s="20" t="s">
        <v>856</v>
      </c>
      <c r="U356" s="20"/>
      <c r="V356" s="20"/>
      <c r="W356" s="20" t="str">
        <f>TEXT(Table4[[#This Row],[Confirmed Sampling Date]], "yyyy") &amp; "_" &amp; TEXT(Table4[[#This Row],[Confirmed Sampling Date]], "mm") &amp; "_" &amp; TEXT(Table4[[#This Row],[Confirmed Sampling Date]], "dd")</f>
        <v>2025_10_22</v>
      </c>
      <c r="X356" s="20" t="str">
        <f t="shared" si="5"/>
        <v>Funchal</v>
      </c>
      <c r="Y356" s="20" t="str">
        <f>VLOOKUP(Table4[[#This Row],[FromSite-UPS]],Table1[[Company or Name]:[NOTES]],2,FALSE)</f>
        <v>Portugal</v>
      </c>
      <c r="Z356" s="20">
        <f>IFERROR(WEEKNUM(Table4[[#This Row],[Confirmed Sampling Date]] - 10, 21), "TBD")</f>
        <v>41</v>
      </c>
      <c r="AA356" s="20" t="str">
        <f>_xlfn.XLOOKUP(Table4[[#This Row],[FromSite-UPS]],sites!D:D,sites!W:W,"",0)</f>
        <v>R. do Matadouro 4, Funchal, 9050-100, Portugal</v>
      </c>
      <c r="AB356" s="20" t="str">
        <f>_xlfn.XLOOKUP(Table4[[#This Row],[ToLab]],labs!D:D,labs!P:P,"no adres",0)</f>
        <v>Av. Rovisco Pais 1, Laboratorio de Analises de Agua, Lisbon, 1049-001, Portugal</v>
      </c>
      <c r="AC356" s="20">
        <f>_xlfn.XLOOKUP(Table4[[#This Row],[combi]],AREA!E:E,AREA!F:F,"",0)</f>
        <v>89</v>
      </c>
      <c r="AD356" s="20" t="str">
        <f>_xlfn.XLOOKUP(Table4[[#This Row],[combi]],AREA!E:E,AREA!G:G,"",0)</f>
        <v>Pick-up service of hypothetic package as defined in the Tech. Specs. and delivery to lots
2 and 3 contractors according to Scenario 1</v>
      </c>
      <c r="AE356" s="20" t="s">
        <v>126</v>
      </c>
      <c r="AF356" s="20" t="str">
        <f>_xlfn.XLOOKUP(Table4[[#This Row],[FromSite-UPS]],sites!D:D,sites!AB:AB,"",0)&amp;_xlfn.XLOOKUP(Table4[[#This Row],[ToLab]],labs!D:D,labs!Q:Q,"",0)</f>
        <v>EUEU</v>
      </c>
    </row>
    <row r="357" spans="2:32" ht="15.6" customHeight="1" x14ac:dyDescent="0.25">
      <c r="B357" s="13">
        <v>542</v>
      </c>
      <c r="C357" s="14" t="s">
        <v>53</v>
      </c>
      <c r="D357" s="13">
        <v>1</v>
      </c>
      <c r="E357" s="83">
        <v>45952</v>
      </c>
      <c r="F357" s="83">
        <v>45953</v>
      </c>
      <c r="G357" s="13">
        <f>IFERROR(WEEKNUM(Table4[[#This Row],[Confirmed Pick-up Date]]),"TBD")</f>
        <v>43</v>
      </c>
      <c r="H357" s="13" t="str">
        <f>IFERROR(TEXT(Table4[[#This Row],[Confirmed Pick-up Date]],"yy-mm"),"TBD")</f>
        <v>25-10</v>
      </c>
      <c r="I357" s="13" t="s">
        <v>1628</v>
      </c>
      <c r="J357" s="20" t="str">
        <f>IFERROR(VLOOKUP(Table4[[#This Row],[FromSite-UPS]],Table1[[#All],[Company or Name]:[FromSite3]],15,FALSE),"")</f>
        <v>Funchal WWTP</v>
      </c>
      <c r="K357" s="20" t="str">
        <f>IFERROR(VLOOKUP(Table4[[#This Row],[FromSite-UPS]],Table1[[#All],[Company or Name]:[FromSite3]],16,FALSE),"")</f>
        <v>Madeira, 10 locations</v>
      </c>
      <c r="L357" s="20">
        <f>IFERROR(VLOOKUP(Table4[[#This Row],[FromSite-UPS]],Table1[[#All],[Company or Name]:[FromSite3]],14,FALSE),"")</f>
        <v>0.70833333333333337</v>
      </c>
      <c r="M357" s="13" t="s">
        <v>1283</v>
      </c>
      <c r="N357" s="20" t="s">
        <v>134</v>
      </c>
      <c r="O357" s="20" t="s">
        <v>1847</v>
      </c>
      <c r="P357" s="20"/>
      <c r="Q357" s="20"/>
      <c r="R357" s="20"/>
      <c r="S357" s="20" t="s">
        <v>125</v>
      </c>
      <c r="T357" s="20" t="s">
        <v>856</v>
      </c>
      <c r="U357" s="20"/>
      <c r="V357" s="20"/>
      <c r="W357" s="20" t="str">
        <f>TEXT(Table4[[#This Row],[Confirmed Sampling Date]], "yyyy") &amp; "_" &amp; TEXT(Table4[[#This Row],[Confirmed Sampling Date]], "mm") &amp; "_" &amp; TEXT(Table4[[#This Row],[Confirmed Sampling Date]], "dd")</f>
        <v>2025_10_22</v>
      </c>
      <c r="X357" s="20" t="str">
        <f t="shared" si="5"/>
        <v>Funchal</v>
      </c>
      <c r="Y357" s="20" t="str">
        <f>VLOOKUP(Table4[[#This Row],[FromSite-UPS]],Table1[[Company or Name]:[NOTES]],2,FALSE)</f>
        <v>Portugal</v>
      </c>
      <c r="Z357" s="20">
        <f>IFERROR(WEEKNUM(Table4[[#This Row],[Confirmed Sampling Date]] - 10, 21), "TBD")</f>
        <v>41</v>
      </c>
      <c r="AA357" s="20" t="str">
        <f>_xlfn.XLOOKUP(Table4[[#This Row],[FromSite-UPS]],sites!D:D,sites!W:W,"",0)</f>
        <v>R. do Matadouro 4, Funchal, 9050-100, Portugal</v>
      </c>
      <c r="AB357" s="20" t="str">
        <f>_xlfn.XLOOKUP(Table4[[#This Row],[ToLab]],labs!D:D,labs!P:P,"no adres",0)</f>
        <v>C. del Dracma 16-18, Labaqua SAU - Sede Alicante, Alicante, 03114 , Spain</v>
      </c>
      <c r="AC357" s="20">
        <f>_xlfn.XLOOKUP(Table4[[#This Row],[combi]],AREA!E:E,AREA!F:F,"",0)</f>
        <v>89</v>
      </c>
      <c r="AD357" s="20" t="str">
        <f>_xlfn.XLOOKUP(Table4[[#This Row],[combi]],AREA!E:E,AREA!G:G,"",0)</f>
        <v>Pick-up service of hypothetic package as defined in the Tech. Specs. and delivery to lots
2 and 3 contractors according to Scenario 1</v>
      </c>
      <c r="AE357" s="20" t="s">
        <v>126</v>
      </c>
      <c r="AF357" s="20" t="str">
        <f>_xlfn.XLOOKUP(Table4[[#This Row],[FromSite-UPS]],sites!D:D,sites!AB:AB,"",0)&amp;_xlfn.XLOOKUP(Table4[[#This Row],[ToLab]],labs!D:D,labs!Q:Q,"",0)</f>
        <v>EUEU</v>
      </c>
    </row>
    <row r="358" spans="2:32" ht="15.6" customHeight="1" x14ac:dyDescent="0.25">
      <c r="B358" s="13">
        <v>566</v>
      </c>
      <c r="C358" s="14" t="s">
        <v>53</v>
      </c>
      <c r="D358" s="13">
        <v>1</v>
      </c>
      <c r="E358" s="83">
        <v>45952</v>
      </c>
      <c r="F358" s="83">
        <v>45953</v>
      </c>
      <c r="G358" s="13">
        <f>IFERROR(WEEKNUM(Table4[[#This Row],[Confirmed Pick-up Date]]),"TBD")</f>
        <v>43</v>
      </c>
      <c r="H358" s="13" t="str">
        <f>IFERROR(TEXT(Table4[[#This Row],[Confirmed Pick-up Date]],"yy-mm"),"TBD")</f>
        <v>25-10</v>
      </c>
      <c r="I358" s="13" t="s">
        <v>1628</v>
      </c>
      <c r="J358" s="20" t="str">
        <f>IFERROR(VLOOKUP(Table4[[#This Row],[FromSite-UPS]],Table1[[#All],[Company or Name]:[FromSite3]],15,FALSE),"")</f>
        <v>Funchal WWTP</v>
      </c>
      <c r="K358" s="20" t="str">
        <f>IFERROR(VLOOKUP(Table4[[#This Row],[FromSite-UPS]],Table1[[#All],[Company or Name]:[FromSite3]],16,FALSE),"")</f>
        <v>Madeira, 10 locations</v>
      </c>
      <c r="L358" s="13" t="s">
        <v>1283</v>
      </c>
      <c r="M358" s="13" t="s">
        <v>1283</v>
      </c>
      <c r="N358" s="20" t="s">
        <v>134</v>
      </c>
      <c r="O358" s="20" t="s">
        <v>1847</v>
      </c>
      <c r="P358" s="20"/>
      <c r="Q358" s="20"/>
      <c r="R358" s="20"/>
      <c r="S358" s="20" t="s">
        <v>125</v>
      </c>
      <c r="T358" s="20" t="s">
        <v>856</v>
      </c>
      <c r="U358" s="20"/>
      <c r="V358" s="20"/>
      <c r="W358" s="20" t="str">
        <f>TEXT(Table4[[#This Row],[Confirmed Sampling Date]], "yyyy") &amp; "_" &amp; TEXT(Table4[[#This Row],[Confirmed Sampling Date]], "mm") &amp; "_" &amp; TEXT(Table4[[#This Row],[Confirmed Sampling Date]], "dd")</f>
        <v>2025_10_22</v>
      </c>
      <c r="X358" s="20" t="str">
        <f t="shared" si="5"/>
        <v>Funchal</v>
      </c>
      <c r="Y358" s="20" t="str">
        <f>VLOOKUP(Table4[[#This Row],[FromSite-UPS]],Table1[[Company or Name]:[NOTES]],2,FALSE)</f>
        <v>Portugal</v>
      </c>
      <c r="Z358" s="20">
        <f>IFERROR(WEEKNUM(Table4[[#This Row],[Confirmed Sampling Date]] - 10, 21), "TBD")</f>
        <v>41</v>
      </c>
      <c r="AA358" s="20" t="str">
        <f>_xlfn.XLOOKUP(Table4[[#This Row],[FromSite-UPS]],sites!D:D,sites!W:W,"",0)</f>
        <v>R. do Matadouro 4, Funchal, 9050-100, Portugal</v>
      </c>
      <c r="AB358" s="20" t="str">
        <f>_xlfn.XLOOKUP(Table4[[#This Row],[ToLab]],labs!D:D,labs!P:P,"no adres",0)</f>
        <v>C. del Dracma 16-18, Labaqua SAU - Sede Alicante, Alicante, 03114 , Spain</v>
      </c>
      <c r="AC358" s="20">
        <f>_xlfn.XLOOKUP(Table4[[#This Row],[combi]],AREA!E:E,AREA!F:F,"",0)</f>
        <v>89</v>
      </c>
      <c r="AD358" s="20" t="str">
        <f>_xlfn.XLOOKUP(Table4[[#This Row],[combi]],AREA!E:E,AREA!G:G,"",0)</f>
        <v>Pick-up service of hypothetic package as defined in the Tech. Specs. and delivery to lots
2 and 3 contractors according to Scenario 1</v>
      </c>
      <c r="AE358" s="20" t="s">
        <v>126</v>
      </c>
      <c r="AF358" s="20" t="str">
        <f>_xlfn.XLOOKUP(Table4[[#This Row],[FromSite-UPS]],sites!D:D,sites!AB:AB,"",0)&amp;_xlfn.XLOOKUP(Table4[[#This Row],[ToLab]],labs!D:D,labs!Q:Q,"",0)</f>
        <v>EUEU</v>
      </c>
    </row>
    <row r="359" spans="2:32" ht="15.6" customHeight="1" x14ac:dyDescent="0.25">
      <c r="B359" s="13">
        <v>574</v>
      </c>
      <c r="C359" s="14" t="s">
        <v>53</v>
      </c>
      <c r="D359" s="13">
        <v>1</v>
      </c>
      <c r="E359" s="83">
        <v>45952</v>
      </c>
      <c r="F359" s="83">
        <v>45953</v>
      </c>
      <c r="G359" s="13">
        <f>IFERROR(WEEKNUM(Table4[[#This Row],[Confirmed Pick-up Date]]),"TBD")</f>
        <v>43</v>
      </c>
      <c r="H359" s="13" t="str">
        <f>IFERROR(TEXT(Table4[[#This Row],[Confirmed Pick-up Date]],"yy-mm"),"TBD")</f>
        <v>25-10</v>
      </c>
      <c r="I359" s="13" t="s">
        <v>1628</v>
      </c>
      <c r="J359" s="20" t="str">
        <f>IFERROR(VLOOKUP(Table4[[#This Row],[FromSite-UPS]],Table1[[#All],[Company or Name]:[FromSite3]],15,FALSE),"")</f>
        <v>Funchal WWTP</v>
      </c>
      <c r="K359" s="20" t="str">
        <f>IFERROR(VLOOKUP(Table4[[#This Row],[FromSite-UPS]],Table1[[#All],[Company or Name]:[FromSite3]],16,FALSE),"")</f>
        <v>Madeira, 10 locations</v>
      </c>
      <c r="L359" s="13" t="s">
        <v>1283</v>
      </c>
      <c r="M359" s="13" t="s">
        <v>1283</v>
      </c>
      <c r="N359" s="20" t="s">
        <v>134</v>
      </c>
      <c r="O359" s="20" t="s">
        <v>1847</v>
      </c>
      <c r="P359" s="20"/>
      <c r="Q359" s="20"/>
      <c r="R359" s="20"/>
      <c r="S359" s="20" t="s">
        <v>125</v>
      </c>
      <c r="T359" s="20" t="s">
        <v>856</v>
      </c>
      <c r="U359" s="20"/>
      <c r="V359" s="20"/>
      <c r="W359" s="20" t="str">
        <f>TEXT(Table4[[#This Row],[Confirmed Sampling Date]], "yyyy") &amp; "_" &amp; TEXT(Table4[[#This Row],[Confirmed Sampling Date]], "mm") &amp; "_" &amp; TEXT(Table4[[#This Row],[Confirmed Sampling Date]], "dd")</f>
        <v>2025_10_22</v>
      </c>
      <c r="X359" s="20" t="str">
        <f t="shared" si="5"/>
        <v>Funchal</v>
      </c>
      <c r="Y359" s="20" t="str">
        <f>VLOOKUP(Table4[[#This Row],[FromSite-UPS]],Table1[[Company or Name]:[NOTES]],2,FALSE)</f>
        <v>Portugal</v>
      </c>
      <c r="Z359" s="20">
        <f>IFERROR(WEEKNUM(Table4[[#This Row],[Confirmed Sampling Date]] - 10, 21), "TBD")</f>
        <v>41</v>
      </c>
      <c r="AA359" s="20" t="str">
        <f>_xlfn.XLOOKUP(Table4[[#This Row],[FromSite-UPS]],sites!D:D,sites!W:W,"",0)</f>
        <v>R. do Matadouro 4, Funchal, 9050-100, Portugal</v>
      </c>
      <c r="AB359" s="20" t="str">
        <f>_xlfn.XLOOKUP(Table4[[#This Row],[ToLab]],labs!D:D,labs!P:P,"no adres",0)</f>
        <v>C. del Dracma 16-18, Labaqua SAU - Sede Alicante, Alicante, 03114 , Spain</v>
      </c>
      <c r="AC359" s="20">
        <f>_xlfn.XLOOKUP(Table4[[#This Row],[combi]],AREA!E:E,AREA!F:F,"",0)</f>
        <v>89</v>
      </c>
      <c r="AD359" s="20" t="str">
        <f>_xlfn.XLOOKUP(Table4[[#This Row],[combi]],AREA!E:E,AREA!G:G,"",0)</f>
        <v>Pick-up service of hypothetic package as defined in the Tech. Specs. and delivery to lots
2 and 3 contractors according to Scenario 1</v>
      </c>
      <c r="AE359" s="20" t="s">
        <v>126</v>
      </c>
      <c r="AF359" s="20" t="str">
        <f>_xlfn.XLOOKUP(Table4[[#This Row],[FromSite-UPS]],sites!D:D,sites!AB:AB,"",0)&amp;_xlfn.XLOOKUP(Table4[[#This Row],[ToLab]],labs!D:D,labs!Q:Q,"",0)</f>
        <v>EUEU</v>
      </c>
    </row>
    <row r="360" spans="2:32" ht="15.6" customHeight="1" x14ac:dyDescent="0.25">
      <c r="B360" s="13">
        <v>582</v>
      </c>
      <c r="C360" s="14" t="s">
        <v>53</v>
      </c>
      <c r="D360" s="13">
        <v>1</v>
      </c>
      <c r="E360" s="83">
        <v>45952</v>
      </c>
      <c r="F360" s="83">
        <v>45953</v>
      </c>
      <c r="G360" s="13">
        <f>IFERROR(WEEKNUM(Table4[[#This Row],[Confirmed Pick-up Date]]),"TBD")</f>
        <v>43</v>
      </c>
      <c r="H360" s="13" t="str">
        <f>IFERROR(TEXT(Table4[[#This Row],[Confirmed Pick-up Date]],"yy-mm"),"TBD")</f>
        <v>25-10</v>
      </c>
      <c r="I360" s="13" t="s">
        <v>1628</v>
      </c>
      <c r="J360" s="20" t="str">
        <f>IFERROR(VLOOKUP(Table4[[#This Row],[FromSite-UPS]],Table1[[#All],[Company or Name]:[FromSite3]],15,FALSE),"")</f>
        <v>Funchal WWTP</v>
      </c>
      <c r="K360" s="20" t="str">
        <f>IFERROR(VLOOKUP(Table4[[#This Row],[FromSite-UPS]],Table1[[#All],[Company or Name]:[FromSite3]],16,FALSE),"")</f>
        <v>Madeira, 10 locations</v>
      </c>
      <c r="L360" s="13" t="s">
        <v>1283</v>
      </c>
      <c r="M360" s="13" t="s">
        <v>1283</v>
      </c>
      <c r="N360" s="20" t="s">
        <v>134</v>
      </c>
      <c r="O360" s="20" t="s">
        <v>1847</v>
      </c>
      <c r="P360" s="20"/>
      <c r="Q360" s="20"/>
      <c r="R360" s="20"/>
      <c r="S360" s="20" t="s">
        <v>125</v>
      </c>
      <c r="T360" s="20" t="s">
        <v>856</v>
      </c>
      <c r="U360" s="20"/>
      <c r="V360" s="20"/>
      <c r="W360" s="20" t="str">
        <f>TEXT(Table4[[#This Row],[Confirmed Sampling Date]], "yyyy") &amp; "_" &amp; TEXT(Table4[[#This Row],[Confirmed Sampling Date]], "mm") &amp; "_" &amp; TEXT(Table4[[#This Row],[Confirmed Sampling Date]], "dd")</f>
        <v>2025_10_22</v>
      </c>
      <c r="X360" s="20" t="str">
        <f t="shared" si="5"/>
        <v>Funchal</v>
      </c>
      <c r="Y360" s="20" t="str">
        <f>VLOOKUP(Table4[[#This Row],[FromSite-UPS]],Table1[[Company or Name]:[NOTES]],2,FALSE)</f>
        <v>Portugal</v>
      </c>
      <c r="Z360" s="20">
        <f>IFERROR(WEEKNUM(Table4[[#This Row],[Confirmed Sampling Date]] - 10, 21), "TBD")</f>
        <v>41</v>
      </c>
      <c r="AA360" s="20" t="str">
        <f>_xlfn.XLOOKUP(Table4[[#This Row],[FromSite-UPS]],sites!D:D,sites!W:W,"",0)</f>
        <v>R. do Matadouro 4, Funchal, 9050-100, Portugal</v>
      </c>
      <c r="AB360" s="20" t="str">
        <f>_xlfn.XLOOKUP(Table4[[#This Row],[ToLab]],labs!D:D,labs!P:P,"no adres",0)</f>
        <v>C. del Dracma 16-18, Labaqua SAU - Sede Alicante, Alicante, 03114 , Spain</v>
      </c>
      <c r="AC360" s="20">
        <f>_xlfn.XLOOKUP(Table4[[#This Row],[combi]],AREA!E:E,AREA!F:F,"",0)</f>
        <v>89</v>
      </c>
      <c r="AD360" s="20" t="str">
        <f>_xlfn.XLOOKUP(Table4[[#This Row],[combi]],AREA!E:E,AREA!G:G,"",0)</f>
        <v>Pick-up service of hypothetic package as defined in the Tech. Specs. and delivery to lots
2 and 3 contractors according to Scenario 1</v>
      </c>
      <c r="AE360" s="20" t="s">
        <v>126</v>
      </c>
      <c r="AF360" s="20" t="str">
        <f>_xlfn.XLOOKUP(Table4[[#This Row],[FromSite-UPS]],sites!D:D,sites!AB:AB,"",0)&amp;_xlfn.XLOOKUP(Table4[[#This Row],[ToLab]],labs!D:D,labs!Q:Q,"",0)</f>
        <v>EUEU</v>
      </c>
    </row>
    <row r="361" spans="2:32" ht="15.6" hidden="1" customHeight="1" x14ac:dyDescent="0.25">
      <c r="B361" s="13">
        <v>620</v>
      </c>
      <c r="C361" s="14" t="s">
        <v>53</v>
      </c>
      <c r="D361" s="13">
        <v>1</v>
      </c>
      <c r="E361" s="83">
        <v>45939</v>
      </c>
      <c r="F361" s="83">
        <v>45940</v>
      </c>
      <c r="G361" s="20">
        <f>IFERROR(WEEKNUM(Table4[[#This Row],[Confirmed Pick-up Date]]),"TBD")</f>
        <v>41</v>
      </c>
      <c r="H361" s="20" t="str">
        <f>IFERROR(TEXT(Table4[[#This Row],[Confirmed Pick-up Date]],"yy-mm"),"TBD")</f>
        <v>25-10</v>
      </c>
      <c r="I361" s="13" t="s">
        <v>1598</v>
      </c>
      <c r="J361" s="20" t="str">
        <f>IFERROR(VLOOKUP(Table4[[#This Row],[FromSite-UPS]],Table1[[#All],[Company or Name]:[FromSite3]],15,FALSE),"")</f>
        <v>Heraklion WWTP</v>
      </c>
      <c r="K361" s="20" t="str">
        <f>IFERROR(VLOOKUP(Table4[[#This Row],[FromSite-UPS]],Table1[[#All],[Company or Name]:[FromSite3]],16,FALSE),"")</f>
        <v>Heraklion Airport</v>
      </c>
      <c r="L361" s="20">
        <f>IFERROR(VLOOKUP(Table4[[#This Row],[FromSite-UPS]],Table1[[#All],[Company or Name]:[FromSite3]],14,FALSE),"")</f>
        <v>0.5</v>
      </c>
      <c r="M361" s="13" t="s">
        <v>1011</v>
      </c>
      <c r="N361" s="20" t="s">
        <v>813</v>
      </c>
      <c r="O361" s="20" t="s">
        <v>1697</v>
      </c>
      <c r="P361" s="20" t="s">
        <v>134</v>
      </c>
      <c r="Q361" s="37" t="s">
        <v>1864</v>
      </c>
      <c r="R361" s="20" t="s">
        <v>1732</v>
      </c>
      <c r="S361" s="20" t="s">
        <v>125</v>
      </c>
      <c r="T361" s="20" t="s">
        <v>856</v>
      </c>
      <c r="U361" s="20"/>
      <c r="V361" s="20"/>
      <c r="W361" s="20" t="str">
        <f>TEXT(Table4[[#This Row],[Confirmed Sampling Date]], "yyyy") &amp; "_" &amp; TEXT(Table4[[#This Row],[Confirmed Sampling Date]], "mm") &amp; "_" &amp; TEXT(Table4[[#This Row],[Confirmed Sampling Date]], "dd")</f>
        <v>2025_10_09</v>
      </c>
      <c r="X361" s="20" t="str">
        <f t="shared" si="5"/>
        <v>Heraklion</v>
      </c>
      <c r="Y361" s="20" t="str">
        <f>VLOOKUP(Table4[[#This Row],[FromSite-UPS]],Table1[[Company or Name]:[NOTES]],2,FALSE)</f>
        <v>Greece</v>
      </c>
      <c r="Z361" s="20">
        <f>IFERROR(WEEKNUM(Table4[[#This Row],[Confirmed Sampling Date]] - 10, 21), "TBD")</f>
        <v>40</v>
      </c>
      <c r="AA361" s="20" t="str">
        <f>_xlfn.XLOOKUP(Table4[[#This Row],[FromSite-UPS]],sites!D:D,sites!W:W,"",0)</f>
        <v>Andrea Kalokerinou 13, Pteryga 3D, Giofirakia, 715 00, Greece</v>
      </c>
      <c r="AB361" s="20" t="str">
        <f>_xlfn.XLOOKUP(Table4[[#This Row],[ToLab]],labs!D:D,labs!P:P,"no adres",0)</f>
        <v>Av. Rovisco Pais 1, Laboratorio de Analises de Agua, Lisbon, 1049-001, Portugal</v>
      </c>
      <c r="AC361" s="20">
        <f>_xlfn.XLOOKUP(Table4[[#This Row],[combi]],AREA!E:E,AREA!F:F,"",0)</f>
        <v>89</v>
      </c>
      <c r="AD361" s="20" t="str">
        <f>_xlfn.XLOOKUP(Table4[[#This Row],[combi]],AREA!E:E,AREA!G:G,"",0)</f>
        <v>Pick-up service of hypothetic package as defined in the Tech. Specs. and delivery to lots
2 and 3 contractors according to Scenario 1</v>
      </c>
      <c r="AE361" s="20" t="s">
        <v>126</v>
      </c>
      <c r="AF361" s="20" t="str">
        <f>_xlfn.XLOOKUP(Table4[[#This Row],[FromSite-UPS]],sites!D:D,sites!AB:AB,"",0)&amp;_xlfn.XLOOKUP(Table4[[#This Row],[ToLab]],labs!D:D,labs!Q:Q,"",0)</f>
        <v>EUEU</v>
      </c>
    </row>
    <row r="362" spans="2:32" ht="15.6" hidden="1" customHeight="1" x14ac:dyDescent="0.25">
      <c r="B362" s="13">
        <v>627</v>
      </c>
      <c r="C362" s="14" t="s">
        <v>53</v>
      </c>
      <c r="D362" s="13">
        <v>1</v>
      </c>
      <c r="E362" s="83">
        <v>45939</v>
      </c>
      <c r="F362" s="83">
        <v>45940</v>
      </c>
      <c r="G362" s="20">
        <f>IFERROR(WEEKNUM(Table4[[#This Row],[Confirmed Pick-up Date]]),"TBD")</f>
        <v>41</v>
      </c>
      <c r="H362" s="20" t="str">
        <f>IFERROR(TEXT(Table4[[#This Row],[Confirmed Pick-up Date]],"yy-mm"),"TBD")</f>
        <v>25-10</v>
      </c>
      <c r="I362" s="13" t="s">
        <v>1598</v>
      </c>
      <c r="J362" s="20" t="str">
        <f>IFERROR(VLOOKUP(Table4[[#This Row],[FromSite-UPS]],Table1[[#All],[Company or Name]:[FromSite3]],15,FALSE),"")</f>
        <v>Heraklion WWTP</v>
      </c>
      <c r="K362" s="20" t="str">
        <f>IFERROR(VLOOKUP(Table4[[#This Row],[FromSite-UPS]],Table1[[#All],[Company or Name]:[FromSite3]],16,FALSE),"")</f>
        <v>Heraklion Airport</v>
      </c>
      <c r="L362" s="20">
        <f>IFERROR(VLOOKUP(Table4[[#This Row],[FromSite-UPS]],Table1[[#All],[Company or Name]:[FromSite3]],14,FALSE),"")</f>
        <v>0.5</v>
      </c>
      <c r="M362" s="13" t="s">
        <v>1011</v>
      </c>
      <c r="N362" s="20" t="s">
        <v>813</v>
      </c>
      <c r="O362" s="20" t="s">
        <v>1698</v>
      </c>
      <c r="P362" s="20" t="s">
        <v>134</v>
      </c>
      <c r="Q362" s="37" t="s">
        <v>1864</v>
      </c>
      <c r="R362" s="20" t="s">
        <v>1720</v>
      </c>
      <c r="S362" s="20" t="s">
        <v>125</v>
      </c>
      <c r="T362" s="20" t="s">
        <v>856</v>
      </c>
      <c r="U362" s="20"/>
      <c r="V362" s="20"/>
      <c r="W362" s="20" t="str">
        <f>TEXT(Table4[[#This Row],[Confirmed Sampling Date]], "yyyy") &amp; "_" &amp; TEXT(Table4[[#This Row],[Confirmed Sampling Date]], "mm") &amp; "_" &amp; TEXT(Table4[[#This Row],[Confirmed Sampling Date]], "dd")</f>
        <v>2025_10_09</v>
      </c>
      <c r="X362" s="20" t="str">
        <f t="shared" si="5"/>
        <v>Heraklion</v>
      </c>
      <c r="Y362" s="20" t="str">
        <f>VLOOKUP(Table4[[#This Row],[FromSite-UPS]],Table1[[Company or Name]:[NOTES]],2,FALSE)</f>
        <v>Greece</v>
      </c>
      <c r="Z362" s="20">
        <f>IFERROR(WEEKNUM(Table4[[#This Row],[Confirmed Sampling Date]] - 10, 21), "TBD")</f>
        <v>40</v>
      </c>
      <c r="AA362" s="20" t="str">
        <f>_xlfn.XLOOKUP(Table4[[#This Row],[FromSite-UPS]],sites!D:D,sites!W:W,"",0)</f>
        <v>Andrea Kalokerinou 13, Pteryga 3D, Giofirakia, 715 00, Greece</v>
      </c>
      <c r="AB362" s="20" t="str">
        <f>_xlfn.XLOOKUP(Table4[[#This Row],[ToLab]],labs!D:D,labs!P:P,"no adres",0)</f>
        <v>Av. Rovisco Pais 1, Laboratorio de Analises de Agua, Lisbon, 1049-001, Portugal</v>
      </c>
      <c r="AC362" s="20">
        <f>_xlfn.XLOOKUP(Table4[[#This Row],[combi]],AREA!E:E,AREA!F:F,"",0)</f>
        <v>89</v>
      </c>
      <c r="AD362" s="20" t="str">
        <f>_xlfn.XLOOKUP(Table4[[#This Row],[combi]],AREA!E:E,AREA!G:G,"",0)</f>
        <v>Pick-up service of hypothetic package as defined in the Tech. Specs. and delivery to lots
2 and 3 contractors according to Scenario 1</v>
      </c>
      <c r="AE362" s="20" t="s">
        <v>126</v>
      </c>
      <c r="AF362" s="20" t="str">
        <f>_xlfn.XLOOKUP(Table4[[#This Row],[FromSite-UPS]],sites!D:D,sites!AB:AB,"",0)&amp;_xlfn.XLOOKUP(Table4[[#This Row],[ToLab]],labs!D:D,labs!Q:Q,"",0)</f>
        <v>EUEU</v>
      </c>
    </row>
    <row r="363" spans="2:32" ht="15.6" customHeight="1" x14ac:dyDescent="0.25">
      <c r="B363" s="13">
        <v>621</v>
      </c>
      <c r="C363" s="14" t="s">
        <v>53</v>
      </c>
      <c r="D363" s="13">
        <v>1</v>
      </c>
      <c r="E363" s="83">
        <v>45953</v>
      </c>
      <c r="F363" s="83">
        <v>45954</v>
      </c>
      <c r="G363" s="13">
        <f>IFERROR(WEEKNUM(Table4[[#This Row],[Confirmed Pick-up Date]]),"TBD")</f>
        <v>43</v>
      </c>
      <c r="H363" s="13" t="str">
        <f>IFERROR(TEXT(Table4[[#This Row],[Confirmed Pick-up Date]],"yy-mm"),"TBD")</f>
        <v>25-10</v>
      </c>
      <c r="I363" s="13" t="s">
        <v>1598</v>
      </c>
      <c r="J363" s="20" t="str">
        <f>IFERROR(VLOOKUP(Table4[[#This Row],[FromSite-UPS]],Table1[[#All],[Company or Name]:[FromSite3]],15,FALSE),"")</f>
        <v>Heraklion WWTP</v>
      </c>
      <c r="K363" s="20" t="str">
        <f>IFERROR(VLOOKUP(Table4[[#This Row],[FromSite-UPS]],Table1[[#All],[Company or Name]:[FromSite3]],16,FALSE),"")</f>
        <v>Heraklion Airport</v>
      </c>
      <c r="L363" s="20">
        <f>IFERROR(VLOOKUP(Table4[[#This Row],[FromSite-UPS]],Table1[[#All],[Company or Name]:[FromSite3]],14,FALSE),"")</f>
        <v>0.5</v>
      </c>
      <c r="M363" s="13" t="s">
        <v>1011</v>
      </c>
      <c r="N363" s="20" t="s">
        <v>813</v>
      </c>
      <c r="O363" s="20">
        <v>1094950813</v>
      </c>
      <c r="P363" s="20"/>
      <c r="Q363" s="65"/>
      <c r="R363" s="20"/>
      <c r="S363" s="20" t="s">
        <v>125</v>
      </c>
      <c r="T363" s="20" t="s">
        <v>856</v>
      </c>
      <c r="U363" s="20"/>
      <c r="V363" s="20"/>
      <c r="W363" s="20" t="str">
        <f>TEXT(Table4[[#This Row],[Confirmed Sampling Date]], "yyyy") &amp; "_" &amp; TEXT(Table4[[#This Row],[Confirmed Sampling Date]], "mm") &amp; "_" &amp; TEXT(Table4[[#This Row],[Confirmed Sampling Date]], "dd")</f>
        <v>2025_10_23</v>
      </c>
      <c r="X363" s="20" t="str">
        <f t="shared" si="5"/>
        <v>Heraklion</v>
      </c>
      <c r="Y363" s="20" t="str">
        <f>VLOOKUP(Table4[[#This Row],[FromSite-UPS]],Table1[[Company or Name]:[NOTES]],2,FALSE)</f>
        <v>Greece</v>
      </c>
      <c r="Z363" s="20">
        <f>IFERROR(WEEKNUM(Table4[[#This Row],[Confirmed Sampling Date]] - 10, 21), "TBD")</f>
        <v>42</v>
      </c>
      <c r="AA363" s="20" t="str">
        <f>_xlfn.XLOOKUP(Table4[[#This Row],[FromSite-UPS]],sites!D:D,sites!W:W,"",0)</f>
        <v>Andrea Kalokerinou 13, Pteryga 3D, Giofirakia, 715 00, Greece</v>
      </c>
      <c r="AB363" s="20" t="str">
        <f>_xlfn.XLOOKUP(Table4[[#This Row],[ToLab]],labs!D:D,labs!P:P,"no adres",0)</f>
        <v>Av. Rovisco Pais 1, Laboratorio de Analises de Agua, Lisbon, 1049-001, Portugal</v>
      </c>
      <c r="AC363" s="20">
        <f>_xlfn.XLOOKUP(Table4[[#This Row],[combi]],AREA!E:E,AREA!F:F,"",0)</f>
        <v>89</v>
      </c>
      <c r="AD363" s="20" t="str">
        <f>_xlfn.XLOOKUP(Table4[[#This Row],[combi]],AREA!E:E,AREA!G:G,"",0)</f>
        <v>Pick-up service of hypothetic package as defined in the Tech. Specs. and delivery to lots
2 and 3 contractors according to Scenario 1</v>
      </c>
      <c r="AE363" s="20" t="s">
        <v>125</v>
      </c>
      <c r="AF363" s="20" t="str">
        <f>_xlfn.XLOOKUP(Table4[[#This Row],[FromSite-UPS]],sites!D:D,sites!AB:AB,"",0)&amp;_xlfn.XLOOKUP(Table4[[#This Row],[ToLab]],labs!D:D,labs!Q:Q,"",0)</f>
        <v>EUEU</v>
      </c>
    </row>
    <row r="364" spans="2:32" ht="15.6" customHeight="1" x14ac:dyDescent="0.25">
      <c r="B364" s="13">
        <v>628</v>
      </c>
      <c r="C364" s="14" t="s">
        <v>53</v>
      </c>
      <c r="D364" s="13">
        <v>1</v>
      </c>
      <c r="E364" s="83">
        <v>45953</v>
      </c>
      <c r="F364" s="83">
        <v>45954</v>
      </c>
      <c r="G364" s="13">
        <f>IFERROR(WEEKNUM(Table4[[#This Row],[Confirmed Pick-up Date]]),"TBD")</f>
        <v>43</v>
      </c>
      <c r="H364" s="13" t="str">
        <f>IFERROR(TEXT(Table4[[#This Row],[Confirmed Pick-up Date]],"yy-mm"),"TBD")</f>
        <v>25-10</v>
      </c>
      <c r="I364" s="13" t="s">
        <v>1598</v>
      </c>
      <c r="J364" s="20" t="str">
        <f>IFERROR(VLOOKUP(Table4[[#This Row],[FromSite-UPS]],Table1[[#All],[Company or Name]:[FromSite3]],15,FALSE),"")</f>
        <v>Heraklion WWTP</v>
      </c>
      <c r="K364" s="20" t="str">
        <f>IFERROR(VLOOKUP(Table4[[#This Row],[FromSite-UPS]],Table1[[#All],[Company or Name]:[FromSite3]],16,FALSE),"")</f>
        <v>Heraklion Airport</v>
      </c>
      <c r="L364" s="20">
        <f>IFERROR(VLOOKUP(Table4[[#This Row],[FromSite-UPS]],Table1[[#All],[Company or Name]:[FromSite3]],14,FALSE),"")</f>
        <v>0.5</v>
      </c>
      <c r="M364" s="13" t="s">
        <v>1011</v>
      </c>
      <c r="N364" s="20" t="s">
        <v>813</v>
      </c>
      <c r="O364" s="20">
        <v>1094950813</v>
      </c>
      <c r="P364" s="20"/>
      <c r="Q364" s="65"/>
      <c r="R364" s="20"/>
      <c r="S364" s="20" t="s">
        <v>125</v>
      </c>
      <c r="T364" s="20" t="s">
        <v>856</v>
      </c>
      <c r="U364" s="20"/>
      <c r="V364" s="20"/>
      <c r="W364" s="20" t="str">
        <f>TEXT(Table4[[#This Row],[Confirmed Sampling Date]], "yyyy") &amp; "_" &amp; TEXT(Table4[[#This Row],[Confirmed Sampling Date]], "mm") &amp; "_" &amp; TEXT(Table4[[#This Row],[Confirmed Sampling Date]], "dd")</f>
        <v>2025_10_23</v>
      </c>
      <c r="X364" s="20" t="str">
        <f t="shared" si="5"/>
        <v>Heraklion</v>
      </c>
      <c r="Y364" s="20" t="str">
        <f>VLOOKUP(Table4[[#This Row],[FromSite-UPS]],Table1[[Company or Name]:[NOTES]],2,FALSE)</f>
        <v>Greece</v>
      </c>
      <c r="Z364" s="20">
        <f>IFERROR(WEEKNUM(Table4[[#This Row],[Confirmed Sampling Date]] - 10, 21), "TBD")</f>
        <v>42</v>
      </c>
      <c r="AA364" s="20" t="str">
        <f>_xlfn.XLOOKUP(Table4[[#This Row],[FromSite-UPS]],sites!D:D,sites!W:W,"",0)</f>
        <v>Andrea Kalokerinou 13, Pteryga 3D, Giofirakia, 715 00, Greece</v>
      </c>
      <c r="AB364" s="20" t="str">
        <f>_xlfn.XLOOKUP(Table4[[#This Row],[ToLab]],labs!D:D,labs!P:P,"no adres",0)</f>
        <v>Av. Rovisco Pais 1, Laboratorio de Analises de Agua, Lisbon, 1049-001, Portugal</v>
      </c>
      <c r="AC364" s="20">
        <f>_xlfn.XLOOKUP(Table4[[#This Row],[combi]],AREA!E:E,AREA!F:F,"",0)</f>
        <v>89</v>
      </c>
      <c r="AD364" s="20" t="str">
        <f>_xlfn.XLOOKUP(Table4[[#This Row],[combi]],AREA!E:E,AREA!G:G,"",0)</f>
        <v>Pick-up service of hypothetic package as defined in the Tech. Specs. and delivery to lots
2 and 3 contractors according to Scenario 1</v>
      </c>
      <c r="AE364" s="20" t="s">
        <v>125</v>
      </c>
      <c r="AF364" s="20" t="str">
        <f>_xlfn.XLOOKUP(Table4[[#This Row],[FromSite-UPS]],sites!D:D,sites!AB:AB,"",0)&amp;_xlfn.XLOOKUP(Table4[[#This Row],[ToLab]],labs!D:D,labs!Q:Q,"",0)</f>
        <v>EUEU</v>
      </c>
    </row>
    <row r="365" spans="2:32" ht="15.6" hidden="1" customHeight="1" x14ac:dyDescent="0.25">
      <c r="B365" s="13">
        <v>220</v>
      </c>
      <c r="C365" s="14" t="s">
        <v>53</v>
      </c>
      <c r="D365" s="13">
        <v>1</v>
      </c>
      <c r="E365" s="83">
        <v>45937</v>
      </c>
      <c r="F365" s="83">
        <v>45938</v>
      </c>
      <c r="G365" s="20">
        <f>IFERROR(WEEKNUM(Table4[[#This Row],[Confirmed Pick-up Date]]),"TBD")</f>
        <v>41</v>
      </c>
      <c r="H365" s="20" t="str">
        <f>IFERROR(TEXT(Table4[[#This Row],[Confirmed Pick-up Date]],"yy-mm"),"TBD")</f>
        <v>25-10</v>
      </c>
      <c r="I365" s="13" t="s">
        <v>779</v>
      </c>
      <c r="J365" s="20" t="str">
        <f>IFERROR(VLOOKUP(Table4[[#This Row],[FromSite-UPS]],Table1[[#All],[Company or Name]:[FromSite3]],15,FALSE),"")</f>
        <v>Larnaca WWTP</v>
      </c>
      <c r="K365" s="20" t="str">
        <f>IFERROR(VLOOKUP(Table4[[#This Row],[FromSite-UPS]],Table1[[#All],[Company or Name]:[FromSite3]],16,FALSE),"")</f>
        <v>Larnaca Airport</v>
      </c>
      <c r="L365" s="20">
        <f>IFERROR(VLOOKUP(Table4[[#This Row],[FromSite-UPS]],Table1[[#All],[Company or Name]:[FromSite3]],14,FALSE),"")</f>
        <v>0.54166666666666663</v>
      </c>
      <c r="M365" s="13" t="s">
        <v>1011</v>
      </c>
      <c r="N365" s="20" t="s">
        <v>813</v>
      </c>
      <c r="O365" s="13" t="s">
        <v>1690</v>
      </c>
      <c r="P365" s="13" t="s">
        <v>134</v>
      </c>
      <c r="Q365" s="20" t="s">
        <v>1851</v>
      </c>
      <c r="R365" s="20"/>
      <c r="S365" s="20" t="s">
        <v>125</v>
      </c>
      <c r="T365" s="20" t="s">
        <v>856</v>
      </c>
      <c r="U365" s="20"/>
      <c r="V365" s="20"/>
      <c r="W365" s="20" t="str">
        <f>TEXT(Table4[[#This Row],[Confirmed Sampling Date]], "yyyy") &amp; "_" &amp; TEXT(Table4[[#This Row],[Confirmed Sampling Date]], "mm") &amp; "_" &amp; TEXT(Table4[[#This Row],[Confirmed Sampling Date]], "dd")</f>
        <v>2025_10_07</v>
      </c>
      <c r="X365" s="20" t="str">
        <f t="shared" si="5"/>
        <v>Larnaca</v>
      </c>
      <c r="Y365" s="20" t="str">
        <f>VLOOKUP(Table4[[#This Row],[FromSite-UPS]],Table1[[Company or Name]:[NOTES]],2,FALSE)</f>
        <v>Cyprus</v>
      </c>
      <c r="Z365" s="20">
        <f>IFERROR(WEEKNUM(Table4[[#This Row],[Confirmed Sampling Date]] - 10, 21), "TBD")</f>
        <v>39</v>
      </c>
      <c r="AA365" s="20" t="str">
        <f>_xlfn.XLOOKUP(Table4[[#This Row],[FromSite-UPS]],sites!D:D,sites!W:W,"",0)</f>
        <v>Adamantiou Korai street 12, Larnaca District Local Government Organization offices, Larnaca, 6010, Cyprus</v>
      </c>
      <c r="AB365" s="20" t="str">
        <f>_xlfn.XLOOKUP(Table4[[#This Row],[ToLab]],labs!D:D,labs!P:P,"no adres",0)</f>
        <v>Av. Rovisco Pais 1, Laboratorio de Analises de Agua, Lisbon, 1049-001, Portugal</v>
      </c>
      <c r="AC365" s="20">
        <f>_xlfn.XLOOKUP(Table4[[#This Row],[combi]],AREA!E:E,AREA!F:F,"",0)</f>
        <v>89</v>
      </c>
      <c r="AD365" s="20" t="str">
        <f>_xlfn.XLOOKUP(Table4[[#This Row],[combi]],AREA!E:E,AREA!G:G,"",0)</f>
        <v>Pick-up service of hypothetic package as defined in the Tech. Specs. and delivery to lots
2 and 3 contractors according to Scenario 1</v>
      </c>
      <c r="AE365" s="20" t="s">
        <v>125</v>
      </c>
      <c r="AF365" s="20" t="str">
        <f>_xlfn.XLOOKUP(Table4[[#This Row],[FromSite-UPS]],sites!D:D,sites!AB:AB,"",0)&amp;_xlfn.XLOOKUP(Table4[[#This Row],[ToLab]],labs!D:D,labs!Q:Q,"",0)</f>
        <v>EUEU</v>
      </c>
    </row>
    <row r="366" spans="2:32" ht="15.6" hidden="1" customHeight="1" x14ac:dyDescent="0.25">
      <c r="B366" s="13">
        <v>233</v>
      </c>
      <c r="C366" s="14" t="s">
        <v>53</v>
      </c>
      <c r="D366" s="13">
        <v>1</v>
      </c>
      <c r="E366" s="83">
        <v>45937</v>
      </c>
      <c r="F366" s="83">
        <v>45938</v>
      </c>
      <c r="G366" s="20">
        <f>IFERROR(WEEKNUM(Table4[[#This Row],[Confirmed Pick-up Date]]),"TBD")</f>
        <v>41</v>
      </c>
      <c r="H366" s="20" t="str">
        <f>IFERROR(TEXT(Table4[[#This Row],[Confirmed Pick-up Date]],"yy-mm"),"TBD")</f>
        <v>25-10</v>
      </c>
      <c r="I366" s="13" t="s">
        <v>779</v>
      </c>
      <c r="J366" s="20" t="str">
        <f>IFERROR(VLOOKUP(Table4[[#This Row],[FromSite-UPS]],Table1[[#All],[Company or Name]:[FromSite3]],15,FALSE),"")</f>
        <v>Larnaca WWTP</v>
      </c>
      <c r="K366" s="20" t="str">
        <f>IFERROR(VLOOKUP(Table4[[#This Row],[FromSite-UPS]],Table1[[#All],[Company or Name]:[FromSite3]],16,FALSE),"")</f>
        <v>Larnaca Airport</v>
      </c>
      <c r="L366" s="20">
        <f>IFERROR(VLOOKUP(Table4[[#This Row],[FromSite-UPS]],Table1[[#All],[Company or Name]:[FromSite3]],14,FALSE),"")</f>
        <v>0.54166666666666663</v>
      </c>
      <c r="M366" s="13" t="s">
        <v>1011</v>
      </c>
      <c r="N366" s="20" t="s">
        <v>813</v>
      </c>
      <c r="O366" s="20" t="s">
        <v>1691</v>
      </c>
      <c r="P366" s="20" t="s">
        <v>134</v>
      </c>
      <c r="Q366" s="20" t="s">
        <v>1851</v>
      </c>
      <c r="R366" s="20"/>
      <c r="S366" s="20" t="s">
        <v>125</v>
      </c>
      <c r="T366" s="20" t="s">
        <v>856</v>
      </c>
      <c r="U366" s="20"/>
      <c r="V366" s="20"/>
      <c r="W366" s="20" t="str">
        <f>TEXT(Table4[[#This Row],[Confirmed Sampling Date]], "yyyy") &amp; "_" &amp; TEXT(Table4[[#This Row],[Confirmed Sampling Date]], "mm") &amp; "_" &amp; TEXT(Table4[[#This Row],[Confirmed Sampling Date]], "dd")</f>
        <v>2025_10_07</v>
      </c>
      <c r="X366" s="20" t="str">
        <f t="shared" si="5"/>
        <v>Larnaca</v>
      </c>
      <c r="Y366" s="20" t="str">
        <f>VLOOKUP(Table4[[#This Row],[FromSite-UPS]],Table1[[Company or Name]:[NOTES]],2,FALSE)</f>
        <v>Cyprus</v>
      </c>
      <c r="Z366" s="20">
        <f>IFERROR(WEEKNUM(Table4[[#This Row],[Confirmed Sampling Date]] - 10, 21), "TBD")</f>
        <v>39</v>
      </c>
      <c r="AA366" s="20" t="str">
        <f>_xlfn.XLOOKUP(Table4[[#This Row],[FromSite-UPS]],sites!D:D,sites!W:W,"",0)</f>
        <v>Adamantiou Korai street 12, Larnaca District Local Government Organization offices, Larnaca, 6010, Cyprus</v>
      </c>
      <c r="AB366" s="20" t="str">
        <f>_xlfn.XLOOKUP(Table4[[#This Row],[ToLab]],labs!D:D,labs!P:P,"no adres",0)</f>
        <v>Av. Rovisco Pais 1, Laboratorio de Analises de Agua, Lisbon, 1049-001, Portugal</v>
      </c>
      <c r="AC366" s="20">
        <f>_xlfn.XLOOKUP(Table4[[#This Row],[combi]],AREA!E:E,AREA!F:F,"",0)</f>
        <v>89</v>
      </c>
      <c r="AD366" s="20" t="str">
        <f>_xlfn.XLOOKUP(Table4[[#This Row],[combi]],AREA!E:E,AREA!G:G,"",0)</f>
        <v>Pick-up service of hypothetic package as defined in the Tech. Specs. and delivery to lots
2 and 3 contractors according to Scenario 1</v>
      </c>
      <c r="AE366" s="20" t="s">
        <v>125</v>
      </c>
      <c r="AF366" s="20" t="str">
        <f>_xlfn.XLOOKUP(Table4[[#This Row],[FromSite-UPS]],sites!D:D,sites!AB:AB,"",0)&amp;_xlfn.XLOOKUP(Table4[[#This Row],[ToLab]],labs!D:D,labs!Q:Q,"",0)</f>
        <v>EUEU</v>
      </c>
    </row>
    <row r="367" spans="2:32" ht="15.6" customHeight="1" x14ac:dyDescent="0.25">
      <c r="B367" s="13">
        <v>221</v>
      </c>
      <c r="C367" s="14" t="s">
        <v>53</v>
      </c>
      <c r="D367" s="13">
        <v>1</v>
      </c>
      <c r="E367" s="79">
        <v>45951</v>
      </c>
      <c r="F367" s="80">
        <v>45952</v>
      </c>
      <c r="G367" s="13">
        <f>IFERROR(WEEKNUM(Table4[[#This Row],[Confirmed Pick-up Date]]),"TBD")</f>
        <v>43</v>
      </c>
      <c r="H367" s="13" t="str">
        <f>IFERROR(TEXT(Table4[[#This Row],[Confirmed Pick-up Date]],"yy-mm"),"TBD")</f>
        <v>25-10</v>
      </c>
      <c r="I367" s="13" t="s">
        <v>779</v>
      </c>
      <c r="J367" s="20" t="str">
        <f>IFERROR(VLOOKUP(Table4[[#This Row],[FromSite-UPS]],Table1[[#All],[Company or Name]:[FromSite3]],15,FALSE),"")</f>
        <v>Larnaca WWTP</v>
      </c>
      <c r="K367" s="20" t="str">
        <f>IFERROR(VLOOKUP(Table4[[#This Row],[FromSite-UPS]],Table1[[#All],[Company or Name]:[FromSite3]],16,FALSE),"")</f>
        <v>Larnaca Airport</v>
      </c>
      <c r="L367" s="20">
        <f>IFERROR(VLOOKUP(Table4[[#This Row],[FromSite-UPS]],Table1[[#All],[Company or Name]:[FromSite3]],14,FALSE),"")</f>
        <v>0.54166666666666663</v>
      </c>
      <c r="M367" s="13" t="s">
        <v>1011</v>
      </c>
      <c r="N367" s="20" t="s">
        <v>134</v>
      </c>
      <c r="O367" s="13" t="s">
        <v>1753</v>
      </c>
      <c r="P367" s="13"/>
      <c r="Q367" s="20"/>
      <c r="R367" s="20"/>
      <c r="S367" s="20" t="s">
        <v>125</v>
      </c>
      <c r="T367" s="20" t="s">
        <v>856</v>
      </c>
      <c r="U367" s="20"/>
      <c r="V367" s="20"/>
      <c r="W367" s="20" t="str">
        <f>TEXT(Table4[[#This Row],[Confirmed Sampling Date]], "yyyy") &amp; "_" &amp; TEXT(Table4[[#This Row],[Confirmed Sampling Date]], "mm") &amp; "_" &amp; TEXT(Table4[[#This Row],[Confirmed Sampling Date]], "dd")</f>
        <v>2025_10_21</v>
      </c>
      <c r="X367" s="20" t="str">
        <f t="shared" si="5"/>
        <v>Larnaca</v>
      </c>
      <c r="Y367" s="20" t="str">
        <f>VLOOKUP(Table4[[#This Row],[FromSite-UPS]],Table1[[Company or Name]:[NOTES]],2,FALSE)</f>
        <v>Cyprus</v>
      </c>
      <c r="Z367" s="20">
        <f>IFERROR(WEEKNUM(Table4[[#This Row],[Confirmed Sampling Date]] - 10, 21), "TBD")</f>
        <v>41</v>
      </c>
      <c r="AA367" s="20" t="str">
        <f>_xlfn.XLOOKUP(Table4[[#This Row],[FromSite-UPS]],sites!D:D,sites!W:W,"",0)</f>
        <v>Adamantiou Korai street 12, Larnaca District Local Government Organization offices, Larnaca, 6010, Cyprus</v>
      </c>
      <c r="AB367" s="20" t="str">
        <f>_xlfn.XLOOKUP(Table4[[#This Row],[ToLab]],labs!D:D,labs!P:P,"no adres",0)</f>
        <v>Av. Rovisco Pais 1, Laboratorio de Analises de Agua, Lisbon, 1049-001, Portugal</v>
      </c>
      <c r="AC367" s="20">
        <f>_xlfn.XLOOKUP(Table4[[#This Row],[combi]],AREA!E:E,AREA!F:F,"",0)</f>
        <v>89</v>
      </c>
      <c r="AD367" s="20" t="str">
        <f>_xlfn.XLOOKUP(Table4[[#This Row],[combi]],AREA!E:E,AREA!G:G,"",0)</f>
        <v>Pick-up service of hypothetic package as defined in the Tech. Specs. and delivery to lots
2 and 3 contractors according to Scenario 1</v>
      </c>
      <c r="AE367" s="20" t="s">
        <v>125</v>
      </c>
      <c r="AF367" s="20" t="str">
        <f>_xlfn.XLOOKUP(Table4[[#This Row],[FromSite-UPS]],sites!D:D,sites!AB:AB,"",0)&amp;_xlfn.XLOOKUP(Table4[[#This Row],[ToLab]],labs!D:D,labs!Q:Q,"",0)</f>
        <v>EUEU</v>
      </c>
    </row>
    <row r="368" spans="2:32" ht="15.6" customHeight="1" x14ac:dyDescent="0.25">
      <c r="B368" s="13">
        <v>234</v>
      </c>
      <c r="C368" s="14" t="s">
        <v>53</v>
      </c>
      <c r="D368" s="13">
        <v>1</v>
      </c>
      <c r="E368" s="79">
        <v>45951</v>
      </c>
      <c r="F368" s="80">
        <v>45952</v>
      </c>
      <c r="G368" s="13">
        <f>IFERROR(WEEKNUM(Table4[[#This Row],[Confirmed Pick-up Date]]),"TBD")</f>
        <v>43</v>
      </c>
      <c r="H368" s="13" t="str">
        <f>IFERROR(TEXT(Table4[[#This Row],[Confirmed Pick-up Date]],"yy-mm"),"TBD")</f>
        <v>25-10</v>
      </c>
      <c r="I368" s="13" t="s">
        <v>779</v>
      </c>
      <c r="J368" s="20" t="str">
        <f>IFERROR(VLOOKUP(Table4[[#This Row],[FromSite-UPS]],Table1[[#All],[Company or Name]:[FromSite3]],15,FALSE),"")</f>
        <v>Larnaca WWTP</v>
      </c>
      <c r="K368" s="20" t="str">
        <f>IFERROR(VLOOKUP(Table4[[#This Row],[FromSite-UPS]],Table1[[#All],[Company or Name]:[FromSite3]],16,FALSE),"")</f>
        <v>Larnaca Airport</v>
      </c>
      <c r="L368" s="20">
        <f>IFERROR(VLOOKUP(Table4[[#This Row],[FromSite-UPS]],Table1[[#All],[Company or Name]:[FromSite3]],14,FALSE),"")</f>
        <v>0.54166666666666663</v>
      </c>
      <c r="M368" s="13" t="s">
        <v>1011</v>
      </c>
      <c r="N368" s="20" t="s">
        <v>134</v>
      </c>
      <c r="O368" s="20" t="s">
        <v>1754</v>
      </c>
      <c r="P368" s="65"/>
      <c r="Q368" s="65"/>
      <c r="R368" s="20"/>
      <c r="S368" s="20" t="s">
        <v>125</v>
      </c>
      <c r="T368" s="20" t="s">
        <v>856</v>
      </c>
      <c r="U368" s="20"/>
      <c r="V368" s="20"/>
      <c r="W368" s="20" t="str">
        <f>TEXT(Table4[[#This Row],[Confirmed Sampling Date]], "yyyy") &amp; "_" &amp; TEXT(Table4[[#This Row],[Confirmed Sampling Date]], "mm") &amp; "_" &amp; TEXT(Table4[[#This Row],[Confirmed Sampling Date]], "dd")</f>
        <v>2025_10_21</v>
      </c>
      <c r="X368" s="20" t="str">
        <f t="shared" si="5"/>
        <v>Larnaca</v>
      </c>
      <c r="Y368" s="20" t="str">
        <f>VLOOKUP(Table4[[#This Row],[FromSite-UPS]],Table1[[Company or Name]:[NOTES]],2,FALSE)</f>
        <v>Cyprus</v>
      </c>
      <c r="Z368" s="20">
        <f>IFERROR(WEEKNUM(Table4[[#This Row],[Confirmed Sampling Date]] - 10, 21), "TBD")</f>
        <v>41</v>
      </c>
      <c r="AA368" s="20" t="str">
        <f>_xlfn.XLOOKUP(Table4[[#This Row],[FromSite-UPS]],sites!D:D,sites!W:W,"",0)</f>
        <v>Adamantiou Korai street 12, Larnaca District Local Government Organization offices, Larnaca, 6010, Cyprus</v>
      </c>
      <c r="AB368" s="20" t="str">
        <f>_xlfn.XLOOKUP(Table4[[#This Row],[ToLab]],labs!D:D,labs!P:P,"no adres",0)</f>
        <v>Av. Rovisco Pais 1, Laboratorio de Analises de Agua, Lisbon, 1049-001, Portugal</v>
      </c>
      <c r="AC368" s="20">
        <f>_xlfn.XLOOKUP(Table4[[#This Row],[combi]],AREA!E:E,AREA!F:F,"",0)</f>
        <v>89</v>
      </c>
      <c r="AD368" s="20" t="str">
        <f>_xlfn.XLOOKUP(Table4[[#This Row],[combi]],AREA!E:E,AREA!G:G,"",0)</f>
        <v>Pick-up service of hypothetic package as defined in the Tech. Specs. and delivery to lots
2 and 3 contractors according to Scenario 1</v>
      </c>
      <c r="AE368" s="20" t="s">
        <v>125</v>
      </c>
      <c r="AF368" s="20" t="str">
        <f>_xlfn.XLOOKUP(Table4[[#This Row],[FromSite-UPS]],sites!D:D,sites!AB:AB,"",0)&amp;_xlfn.XLOOKUP(Table4[[#This Row],[ToLab]],labs!D:D,labs!Q:Q,"",0)</f>
        <v>EUEU</v>
      </c>
    </row>
    <row r="369" spans="2:32" ht="15.6" hidden="1" customHeight="1" x14ac:dyDescent="0.25">
      <c r="B369" s="13">
        <v>641</v>
      </c>
      <c r="C369" s="14" t="s">
        <v>53</v>
      </c>
      <c r="D369" s="13">
        <v>1</v>
      </c>
      <c r="E369" s="83">
        <v>45938</v>
      </c>
      <c r="F369" s="22">
        <v>45939</v>
      </c>
      <c r="G369" s="20">
        <f>IFERROR(WEEKNUM(Table4[[#This Row],[Confirmed Pick-up Date]]),"TBD")</f>
        <v>41</v>
      </c>
      <c r="H369" s="20" t="str">
        <f>IFERROR(TEXT(Table4[[#This Row],[Confirmed Pick-up Date]],"yy-mm"),"TBD")</f>
        <v>25-10</v>
      </c>
      <c r="I369" s="13" t="s">
        <v>637</v>
      </c>
      <c r="J369" s="20" t="str">
        <f>IFERROR(VLOOKUP(Table4[[#This Row],[FromSite-UPS]],Table1[[#All],[Company or Name]:[FromSite3]],15,FALSE),"")</f>
        <v>Luxembourg (Beggen) WWTP</v>
      </c>
      <c r="K369" s="20" t="str">
        <f>IFERROR(VLOOKUP(Table4[[#This Row],[FromSite-UPS]],Table1[[#All],[Company or Name]:[FromSite3]],16,FALSE),"")</f>
        <v>Luxembourg Airport</v>
      </c>
      <c r="L369" s="20">
        <f>IFERROR(VLOOKUP(Table4[[#This Row],[FromSite-UPS]],Table1[[#All],[Company or Name]:[FromSite3]],14,FALSE),"")</f>
        <v>0.66666666666666663</v>
      </c>
      <c r="M369" s="13" t="s">
        <v>1011</v>
      </c>
      <c r="N369" s="20" t="s">
        <v>892</v>
      </c>
      <c r="O369" s="20" t="s">
        <v>1816</v>
      </c>
      <c r="P369" s="20" t="s">
        <v>134</v>
      </c>
      <c r="Q369" s="20" t="s">
        <v>1858</v>
      </c>
      <c r="R369" s="20"/>
      <c r="S369" s="20" t="s">
        <v>125</v>
      </c>
      <c r="T369" s="20" t="s">
        <v>856</v>
      </c>
      <c r="U369" s="20"/>
      <c r="V369" s="20"/>
      <c r="W369" s="20" t="str">
        <f>TEXT(Table4[[#This Row],[Confirmed Sampling Date]], "yyyy") &amp; "_" &amp; TEXT(Table4[[#This Row],[Confirmed Sampling Date]], "mm") &amp; "_" &amp; TEXT(Table4[[#This Row],[Confirmed Sampling Date]], "dd")</f>
        <v>2025_10_08</v>
      </c>
      <c r="X369" s="20" t="str">
        <f t="shared" si="5"/>
        <v>Luxembourg</v>
      </c>
      <c r="Y369" s="20" t="str">
        <f>VLOOKUP(Table4[[#This Row],[FromSite-UPS]],Table1[[Company or Name]:[NOTES]],2,FALSE)</f>
        <v>Luxembourg</v>
      </c>
      <c r="Z369" s="20">
        <f>IFERROR(WEEKNUM(Table4[[#This Row],[Confirmed Sampling Date]] - 10, 21), "TBD")</f>
        <v>39</v>
      </c>
      <c r="AA369" s="20" t="str">
        <f>_xlfn.XLOOKUP(Table4[[#This Row],[FromSite-UPS]],sites!D:D,sites!W:W,"",0)</f>
        <v>41 rue du Brill, Luxembourg, L-4422 , Luxembourg</v>
      </c>
      <c r="AB369" s="20" t="str">
        <f>_xlfn.XLOOKUP(Table4[[#This Row],[ToLab]],labs!D:D,labs!P:P,"no adres",0)</f>
        <v>Av. Rovisco Pais 1, Laboratorio de Analises de Agua, Lisbon, 1049-001, Portugal</v>
      </c>
      <c r="AC369" s="20">
        <f>_xlfn.XLOOKUP(Table4[[#This Row],[combi]],AREA!E:E,AREA!F:F,"",0)</f>
        <v>89</v>
      </c>
      <c r="AD369" s="20" t="str">
        <f>_xlfn.XLOOKUP(Table4[[#This Row],[combi]],AREA!E:E,AREA!G:G,"",0)</f>
        <v>Pick-up service of hypothetic package as defined in the Tech. Specs. and delivery to lots
2 and 3 contractors according to Scenario 1</v>
      </c>
      <c r="AE369" s="20" t="s">
        <v>125</v>
      </c>
      <c r="AF369" s="20" t="str">
        <f>_xlfn.XLOOKUP(Table4[[#This Row],[FromSite-UPS]],sites!D:D,sites!AB:AB,"",0)&amp;_xlfn.XLOOKUP(Table4[[#This Row],[ToLab]],labs!D:D,labs!Q:Q,"",0)</f>
        <v>EUEU</v>
      </c>
    </row>
    <row r="370" spans="2:32" ht="15.6" hidden="1" customHeight="1" x14ac:dyDescent="0.25">
      <c r="B370" s="13">
        <v>647</v>
      </c>
      <c r="C370" s="14" t="s">
        <v>53</v>
      </c>
      <c r="D370" s="13">
        <v>1</v>
      </c>
      <c r="E370" s="83">
        <v>45938</v>
      </c>
      <c r="F370" s="22">
        <v>45939</v>
      </c>
      <c r="G370" s="20">
        <f>IFERROR(WEEKNUM(Table4[[#This Row],[Confirmed Pick-up Date]]),"TBD")</f>
        <v>41</v>
      </c>
      <c r="H370" s="20" t="str">
        <f>IFERROR(TEXT(Table4[[#This Row],[Confirmed Pick-up Date]],"yy-mm"),"TBD")</f>
        <v>25-10</v>
      </c>
      <c r="I370" s="13" t="s">
        <v>637</v>
      </c>
      <c r="J370" s="20" t="str">
        <f>IFERROR(VLOOKUP(Table4[[#This Row],[FromSite-UPS]],Table1[[#All],[Company or Name]:[FromSite3]],15,FALSE),"")</f>
        <v>Luxembourg (Beggen) WWTP</v>
      </c>
      <c r="K370" s="20" t="str">
        <f>IFERROR(VLOOKUP(Table4[[#This Row],[FromSite-UPS]],Table1[[#All],[Company or Name]:[FromSite3]],16,FALSE),"")</f>
        <v>Luxembourg Airport</v>
      </c>
      <c r="L370" s="20">
        <f>IFERROR(VLOOKUP(Table4[[#This Row],[FromSite-UPS]],Table1[[#All],[Company or Name]:[FromSite3]],14,FALSE),"")</f>
        <v>0.66666666666666663</v>
      </c>
      <c r="M370" s="13" t="s">
        <v>1011</v>
      </c>
      <c r="N370" s="20" t="s">
        <v>892</v>
      </c>
      <c r="O370" s="20" t="s">
        <v>1817</v>
      </c>
      <c r="P370" s="20" t="s">
        <v>134</v>
      </c>
      <c r="Q370" s="20" t="s">
        <v>1858</v>
      </c>
      <c r="R370" s="20"/>
      <c r="S370" s="20" t="s">
        <v>125</v>
      </c>
      <c r="T370" s="20" t="s">
        <v>856</v>
      </c>
      <c r="U370" s="20"/>
      <c r="V370" s="20"/>
      <c r="W370" s="20" t="str">
        <f>TEXT(Table4[[#This Row],[Confirmed Sampling Date]], "yyyy") &amp; "_" &amp; TEXT(Table4[[#This Row],[Confirmed Sampling Date]], "mm") &amp; "_" &amp; TEXT(Table4[[#This Row],[Confirmed Sampling Date]], "dd")</f>
        <v>2025_10_08</v>
      </c>
      <c r="X370" s="20" t="str">
        <f t="shared" si="5"/>
        <v>Luxembourg</v>
      </c>
      <c r="Y370" s="20" t="str">
        <f>VLOOKUP(Table4[[#This Row],[FromSite-UPS]],Table1[[Company or Name]:[NOTES]],2,FALSE)</f>
        <v>Luxembourg</v>
      </c>
      <c r="Z370" s="20">
        <f>IFERROR(WEEKNUM(Table4[[#This Row],[Confirmed Sampling Date]] - 10, 21), "TBD")</f>
        <v>39</v>
      </c>
      <c r="AA370" s="20" t="str">
        <f>_xlfn.XLOOKUP(Table4[[#This Row],[FromSite-UPS]],sites!D:D,sites!W:W,"",0)</f>
        <v>41 rue du Brill, Luxembourg, L-4422 , Luxembourg</v>
      </c>
      <c r="AB370" s="20" t="str">
        <f>_xlfn.XLOOKUP(Table4[[#This Row],[ToLab]],labs!D:D,labs!P:P,"no adres",0)</f>
        <v>Av. Rovisco Pais 1, Laboratorio de Analises de Agua, Lisbon, 1049-001, Portugal</v>
      </c>
      <c r="AC370" s="20">
        <f>_xlfn.XLOOKUP(Table4[[#This Row],[combi]],AREA!E:E,AREA!F:F,"",0)</f>
        <v>89</v>
      </c>
      <c r="AD370" s="20" t="str">
        <f>_xlfn.XLOOKUP(Table4[[#This Row],[combi]],AREA!E:E,AREA!G:G,"",0)</f>
        <v>Pick-up service of hypothetic package as defined in the Tech. Specs. and delivery to lots
2 and 3 contractors according to Scenario 1</v>
      </c>
      <c r="AE370" s="20" t="s">
        <v>125</v>
      </c>
      <c r="AF370" s="20" t="str">
        <f>_xlfn.XLOOKUP(Table4[[#This Row],[FromSite-UPS]],sites!D:D,sites!AB:AB,"",0)&amp;_xlfn.XLOOKUP(Table4[[#This Row],[ToLab]],labs!D:D,labs!Q:Q,"",0)</f>
        <v>EUEU</v>
      </c>
    </row>
    <row r="371" spans="2:32" ht="15.6" customHeight="1" x14ac:dyDescent="0.25">
      <c r="B371" s="13">
        <v>642</v>
      </c>
      <c r="C371" s="14" t="s">
        <v>53</v>
      </c>
      <c r="D371" s="13">
        <v>1</v>
      </c>
      <c r="E371" s="83">
        <v>45951</v>
      </c>
      <c r="F371" s="22">
        <v>45952</v>
      </c>
      <c r="G371" s="20">
        <f>IFERROR(WEEKNUM(Table4[[#This Row],[Confirmed Pick-up Date]]),"TBD")</f>
        <v>43</v>
      </c>
      <c r="H371" s="20" t="str">
        <f>IFERROR(TEXT(Table4[[#This Row],[Confirmed Pick-up Date]],"yy-mm"),"TBD")</f>
        <v>25-10</v>
      </c>
      <c r="I371" s="13" t="s">
        <v>637</v>
      </c>
      <c r="J371" s="20" t="str">
        <f>IFERROR(VLOOKUP(Table4[[#This Row],[FromSite-UPS]],Table1[[#All],[Company or Name]:[FromSite3]],15,FALSE),"")</f>
        <v>Luxembourg (Beggen) WWTP</v>
      </c>
      <c r="K371" s="20" t="str">
        <f>IFERROR(VLOOKUP(Table4[[#This Row],[FromSite-UPS]],Table1[[#All],[Company or Name]:[FromSite3]],16,FALSE),"")</f>
        <v>Luxembourg Airport</v>
      </c>
      <c r="L371" s="20">
        <f>IFERROR(VLOOKUP(Table4[[#This Row],[FromSite-UPS]],Table1[[#All],[Company or Name]:[FromSite3]],14,FALSE),"")</f>
        <v>0.66666666666666663</v>
      </c>
      <c r="M371" s="13" t="s">
        <v>1011</v>
      </c>
      <c r="N371" s="20" t="s">
        <v>892</v>
      </c>
      <c r="O371" s="20" t="s">
        <v>1844</v>
      </c>
      <c r="P371" s="20"/>
      <c r="Q371" s="20"/>
      <c r="R371" s="20"/>
      <c r="S371" s="20" t="s">
        <v>125</v>
      </c>
      <c r="T371" s="20" t="s">
        <v>856</v>
      </c>
      <c r="U371" s="20"/>
      <c r="V371" s="20"/>
      <c r="W371" s="20" t="str">
        <f>TEXT(Table4[[#This Row],[Confirmed Sampling Date]], "yyyy") &amp; "_" &amp; TEXT(Table4[[#This Row],[Confirmed Sampling Date]], "mm") &amp; "_" &amp; TEXT(Table4[[#This Row],[Confirmed Sampling Date]], "dd")</f>
        <v>2025_10_21</v>
      </c>
      <c r="X371" s="20" t="str">
        <f t="shared" si="5"/>
        <v>Luxembourg</v>
      </c>
      <c r="Y371" s="20" t="str">
        <f>VLOOKUP(Table4[[#This Row],[FromSite-UPS]],Table1[[Company or Name]:[NOTES]],2,FALSE)</f>
        <v>Luxembourg</v>
      </c>
      <c r="Z371" s="20">
        <f>IFERROR(WEEKNUM(Table4[[#This Row],[Confirmed Sampling Date]] - 10, 21), "TBD")</f>
        <v>41</v>
      </c>
      <c r="AA371" s="20" t="str">
        <f>_xlfn.XLOOKUP(Table4[[#This Row],[FromSite-UPS]],sites!D:D,sites!W:W,"",0)</f>
        <v>41 rue du Brill, Luxembourg, L-4422 , Luxembourg</v>
      </c>
      <c r="AB371" s="20" t="str">
        <f>_xlfn.XLOOKUP(Table4[[#This Row],[ToLab]],labs!D:D,labs!P:P,"no adres",0)</f>
        <v>Av. Rovisco Pais 1, Laboratorio de Analises de Agua, Lisbon, 1049-001, Portugal</v>
      </c>
      <c r="AC371" s="20">
        <f>_xlfn.XLOOKUP(Table4[[#This Row],[combi]],AREA!E:E,AREA!F:F,"",0)</f>
        <v>89</v>
      </c>
      <c r="AD371" s="20" t="str">
        <f>_xlfn.XLOOKUP(Table4[[#This Row],[combi]],AREA!E:E,AREA!G:G,"",0)</f>
        <v>Pick-up service of hypothetic package as defined in the Tech. Specs. and delivery to lots
2 and 3 contractors according to Scenario 1</v>
      </c>
      <c r="AE371" s="20" t="s">
        <v>125</v>
      </c>
      <c r="AF371" s="20" t="str">
        <f>_xlfn.XLOOKUP(Table4[[#This Row],[FromSite-UPS]],sites!D:D,sites!AB:AB,"",0)&amp;_xlfn.XLOOKUP(Table4[[#This Row],[ToLab]],labs!D:D,labs!Q:Q,"",0)</f>
        <v>EUEU</v>
      </c>
    </row>
    <row r="372" spans="2:32" ht="15.6" customHeight="1" x14ac:dyDescent="0.25">
      <c r="B372" s="13">
        <v>648</v>
      </c>
      <c r="C372" s="14" t="s">
        <v>53</v>
      </c>
      <c r="D372" s="13">
        <v>1</v>
      </c>
      <c r="E372" s="83">
        <v>45951</v>
      </c>
      <c r="F372" s="22">
        <v>45952</v>
      </c>
      <c r="G372" s="20">
        <f>IFERROR(WEEKNUM(Table4[[#This Row],[Confirmed Pick-up Date]]),"TBD")</f>
        <v>43</v>
      </c>
      <c r="H372" s="20" t="str">
        <f>IFERROR(TEXT(Table4[[#This Row],[Confirmed Pick-up Date]],"yy-mm"),"TBD")</f>
        <v>25-10</v>
      </c>
      <c r="I372" s="13" t="s">
        <v>637</v>
      </c>
      <c r="J372" s="20" t="str">
        <f>IFERROR(VLOOKUP(Table4[[#This Row],[FromSite-UPS]],Table1[[#All],[Company or Name]:[FromSite3]],15,FALSE),"")</f>
        <v>Luxembourg (Beggen) WWTP</v>
      </c>
      <c r="K372" s="20" t="str">
        <f>IFERROR(VLOOKUP(Table4[[#This Row],[FromSite-UPS]],Table1[[#All],[Company or Name]:[FromSite3]],16,FALSE),"")</f>
        <v>Luxembourg Airport</v>
      </c>
      <c r="L372" s="20">
        <f>IFERROR(VLOOKUP(Table4[[#This Row],[FromSite-UPS]],Table1[[#All],[Company or Name]:[FromSite3]],14,FALSE),"")</f>
        <v>0.66666666666666663</v>
      </c>
      <c r="M372" s="13" t="s">
        <v>1011</v>
      </c>
      <c r="N372" s="20" t="s">
        <v>892</v>
      </c>
      <c r="O372" s="20" t="s">
        <v>1845</v>
      </c>
      <c r="P372" s="65"/>
      <c r="Q372" s="65"/>
      <c r="R372" s="20"/>
      <c r="S372" s="20" t="s">
        <v>125</v>
      </c>
      <c r="T372" s="20" t="s">
        <v>856</v>
      </c>
      <c r="U372" s="20"/>
      <c r="V372" s="20"/>
      <c r="W372" s="20" t="str">
        <f>TEXT(Table4[[#This Row],[Confirmed Sampling Date]], "yyyy") &amp; "_" &amp; TEXT(Table4[[#This Row],[Confirmed Sampling Date]], "mm") &amp; "_" &amp; TEXT(Table4[[#This Row],[Confirmed Sampling Date]], "dd")</f>
        <v>2025_10_21</v>
      </c>
      <c r="X372" s="20" t="str">
        <f t="shared" si="5"/>
        <v>Luxembourg</v>
      </c>
      <c r="Y372" s="20" t="str">
        <f>VLOOKUP(Table4[[#This Row],[FromSite-UPS]],Table1[[Company or Name]:[NOTES]],2,FALSE)</f>
        <v>Luxembourg</v>
      </c>
      <c r="Z372" s="20">
        <f>IFERROR(WEEKNUM(Table4[[#This Row],[Confirmed Sampling Date]] - 10, 21), "TBD")</f>
        <v>41</v>
      </c>
      <c r="AA372" s="20" t="str">
        <f>_xlfn.XLOOKUP(Table4[[#This Row],[FromSite-UPS]],sites!D:D,sites!W:W,"",0)</f>
        <v>41 rue du Brill, Luxembourg, L-4422 , Luxembourg</v>
      </c>
      <c r="AB372" s="20" t="str">
        <f>_xlfn.XLOOKUP(Table4[[#This Row],[ToLab]],labs!D:D,labs!P:P,"no adres",0)</f>
        <v>Av. Rovisco Pais 1, Laboratorio de Analises de Agua, Lisbon, 1049-001, Portugal</v>
      </c>
      <c r="AC372" s="20">
        <f>_xlfn.XLOOKUP(Table4[[#This Row],[combi]],AREA!E:E,AREA!F:F,"",0)</f>
        <v>89</v>
      </c>
      <c r="AD372" s="20" t="str">
        <f>_xlfn.XLOOKUP(Table4[[#This Row],[combi]],AREA!E:E,AREA!G:G,"",0)</f>
        <v>Pick-up service of hypothetic package as defined in the Tech. Specs. and delivery to lots
2 and 3 contractors according to Scenario 1</v>
      </c>
      <c r="AE372" s="20" t="s">
        <v>125</v>
      </c>
      <c r="AF372" s="20" t="str">
        <f>_xlfn.XLOOKUP(Table4[[#This Row],[FromSite-UPS]],sites!D:D,sites!AB:AB,"",0)&amp;_xlfn.XLOOKUP(Table4[[#This Row],[ToLab]],labs!D:D,labs!Q:Q,"",0)</f>
        <v>EUEU</v>
      </c>
    </row>
    <row r="373" spans="2:32" ht="15.6" hidden="1" customHeight="1" x14ac:dyDescent="0.25">
      <c r="B373" s="13">
        <v>29</v>
      </c>
      <c r="C373" s="14" t="s">
        <v>53</v>
      </c>
      <c r="D373" s="13">
        <v>1</v>
      </c>
      <c r="E373" s="83">
        <v>45937</v>
      </c>
      <c r="F373" s="83">
        <v>45938</v>
      </c>
      <c r="G373" s="20">
        <f>IFERROR(WEEKNUM(Table4[[#This Row],[Confirmed Pick-up Date]]),"TBD")</f>
        <v>41</v>
      </c>
      <c r="H373" s="20" t="str">
        <f>IFERROR(TEXT(Table4[[#This Row],[Confirmed Pick-up Date]],"yy-mm"),"TBD")</f>
        <v>25-10</v>
      </c>
      <c r="I373" s="13" t="s">
        <v>19</v>
      </c>
      <c r="J373" s="13" t="str">
        <f>IFERROR(VLOOKUP(Table4[[#This Row],[FromSite-UPS]],Table1[[#All],[Company or Name]:[FromSite3]],15,FALSE),"")</f>
        <v>Munich WWTP</v>
      </c>
      <c r="K373" s="20" t="str">
        <f>IFERROR(VLOOKUP(Table4[[#This Row],[FromSite-UPS]],Table1[[#All],[Company or Name]:[FromSite3]],16,FALSE),"")</f>
        <v>Munich Airport</v>
      </c>
      <c r="L373" s="20">
        <f>IFERROR(VLOOKUP(Table4[[#This Row],[FromSite-UPS]],Table1[[#All],[Company or Name]:[FromSite3]],14,FALSE),"")</f>
        <v>0.58333333333333337</v>
      </c>
      <c r="M373" s="13" t="s">
        <v>1011</v>
      </c>
      <c r="N373" s="20" t="s">
        <v>813</v>
      </c>
      <c r="O373" s="13" t="s">
        <v>1683</v>
      </c>
      <c r="P373" s="13" t="s">
        <v>134</v>
      </c>
      <c r="Q373" s="37" t="s">
        <v>1853</v>
      </c>
      <c r="R373" s="20" t="s">
        <v>1722</v>
      </c>
      <c r="S373" s="20" t="s">
        <v>125</v>
      </c>
      <c r="T373" s="20" t="s">
        <v>856</v>
      </c>
      <c r="U373" s="20"/>
      <c r="V373" s="20"/>
      <c r="W373" s="20" t="str">
        <f>TEXT(Table4[[#This Row],[Confirmed Sampling Date]], "yyyy") &amp; "_" &amp; TEXT(Table4[[#This Row],[Confirmed Sampling Date]], "mm") &amp; "_" &amp; TEXT(Table4[[#This Row],[Confirmed Sampling Date]], "dd")</f>
        <v>2025_10_07</v>
      </c>
      <c r="X373" s="20" t="str">
        <f t="shared" si="5"/>
        <v>Munich</v>
      </c>
      <c r="Y373" s="20" t="str">
        <f>VLOOKUP(Table4[[#This Row],[FromSite-UPS]],Table1[[Company or Name]:[NOTES]],2,FALSE)</f>
        <v>Germany</v>
      </c>
      <c r="Z373" s="20">
        <f>IFERROR(WEEKNUM(Table4[[#This Row],[Confirmed Sampling Date]] - 10, 21), "TBD")</f>
        <v>39</v>
      </c>
      <c r="AA373" s="20" t="str">
        <f>_xlfn.XLOOKUP(Table4[[#This Row],[FromSite-UPS]],sites!D:D,sites!W:W,"",0)</f>
        <v>Leopoldstrasse 5, Institut fuer Infektions- und Tropenmedizin, Munich, 80802, Germany</v>
      </c>
      <c r="AB373" s="20" t="str">
        <f>_xlfn.XLOOKUP(Table4[[#This Row],[ToLab]],labs!D:D,labs!P:P,"no adres",0)</f>
        <v>Av. Rovisco Pais 1, Laboratorio de Analises de Agua, Lisbon, 1049-001, Portugal</v>
      </c>
      <c r="AC373" s="20">
        <f>_xlfn.XLOOKUP(Table4[[#This Row],[combi]],AREA!E:E,AREA!F:F,"",0)</f>
        <v>89</v>
      </c>
      <c r="AD373" s="20" t="str">
        <f>_xlfn.XLOOKUP(Table4[[#This Row],[combi]],AREA!E:E,AREA!G:G,"",0)</f>
        <v>Pick-up service of hypothetic package as defined in the Tech. Specs. and delivery to lots
2 and 3 contractors according to Scenario 1</v>
      </c>
      <c r="AE373" s="20" t="s">
        <v>125</v>
      </c>
      <c r="AF373" s="20" t="str">
        <f>_xlfn.XLOOKUP(Table4[[#This Row],[FromSite-UPS]],sites!D:D,sites!AB:AB,"",0)&amp;_xlfn.XLOOKUP(Table4[[#This Row],[ToLab]],labs!D:D,labs!Q:Q,"",0)</f>
        <v>EUEU</v>
      </c>
    </row>
    <row r="374" spans="2:32" ht="15.6" hidden="1" customHeight="1" x14ac:dyDescent="0.25">
      <c r="B374" s="13">
        <v>92</v>
      </c>
      <c r="C374" s="14" t="s">
        <v>53</v>
      </c>
      <c r="D374" s="13">
        <v>1</v>
      </c>
      <c r="E374" s="83">
        <v>45937</v>
      </c>
      <c r="F374" s="83">
        <v>45938</v>
      </c>
      <c r="G374" s="20">
        <f>IFERROR(WEEKNUM(Table4[[#This Row],[Confirmed Pick-up Date]]),"TBD")</f>
        <v>41</v>
      </c>
      <c r="H374" s="20" t="str">
        <f>IFERROR(TEXT(Table4[[#This Row],[Confirmed Pick-up Date]],"yy-mm"),"TBD")</f>
        <v>25-10</v>
      </c>
      <c r="I374" s="13" t="s">
        <v>19</v>
      </c>
      <c r="J374" s="20" t="str">
        <f>IFERROR(VLOOKUP(Table4[[#This Row],[FromSite-UPS]],Table1[[#All],[Company or Name]:[FromSite3]],15,FALSE),"")</f>
        <v>Munich WWTP</v>
      </c>
      <c r="K374" s="20" t="str">
        <f>IFERROR(VLOOKUP(Table4[[#This Row],[FromSite-UPS]],Table1[[#All],[Company or Name]:[FromSite3]],16,FALSE),"")</f>
        <v>Munich Airport</v>
      </c>
      <c r="L374" s="20">
        <f>IFERROR(VLOOKUP(Table4[[#This Row],[FromSite-UPS]],Table1[[#All],[Company or Name]:[FromSite3]],14,FALSE),"")</f>
        <v>0.58333333333333337</v>
      </c>
      <c r="M374" s="13" t="s">
        <v>1011</v>
      </c>
      <c r="N374" s="20" t="s">
        <v>813</v>
      </c>
      <c r="O374" s="13" t="s">
        <v>1684</v>
      </c>
      <c r="P374" s="13" t="s">
        <v>134</v>
      </c>
      <c r="Q374" s="37" t="s">
        <v>1853</v>
      </c>
      <c r="R374" s="20" t="s">
        <v>1713</v>
      </c>
      <c r="S374" s="20" t="s">
        <v>125</v>
      </c>
      <c r="T374" s="20" t="s">
        <v>856</v>
      </c>
      <c r="U374" s="20"/>
      <c r="V374" s="20"/>
      <c r="W374" s="20" t="str">
        <f>TEXT(Table4[[#This Row],[Confirmed Sampling Date]], "yyyy") &amp; "_" &amp; TEXT(Table4[[#This Row],[Confirmed Sampling Date]], "mm") &amp; "_" &amp; TEXT(Table4[[#This Row],[Confirmed Sampling Date]], "dd")</f>
        <v>2025_10_07</v>
      </c>
      <c r="X374" s="20" t="str">
        <f t="shared" si="5"/>
        <v>Munich</v>
      </c>
      <c r="Y374" s="20" t="str">
        <f>VLOOKUP(Table4[[#This Row],[FromSite-UPS]],Table1[[Company or Name]:[NOTES]],2,FALSE)</f>
        <v>Germany</v>
      </c>
      <c r="Z374" s="20">
        <f>IFERROR(WEEKNUM(Table4[[#This Row],[Confirmed Sampling Date]] - 10, 21), "TBD")</f>
        <v>39</v>
      </c>
      <c r="AA374" s="20" t="str">
        <f>_xlfn.XLOOKUP(Table4[[#This Row],[FromSite-UPS]],sites!D:D,sites!W:W,"",0)</f>
        <v>Leopoldstrasse 5, Institut fuer Infektions- und Tropenmedizin, Munich, 80802, Germany</v>
      </c>
      <c r="AB374" s="20" t="str">
        <f>_xlfn.XLOOKUP(Table4[[#This Row],[ToLab]],labs!D:D,labs!P:P,"no adres",0)</f>
        <v>Av. Rovisco Pais 1, Laboratorio de Analises de Agua, Lisbon, 1049-001, Portugal</v>
      </c>
      <c r="AC374" s="20">
        <f>_xlfn.XLOOKUP(Table4[[#This Row],[combi]],AREA!E:E,AREA!F:F,"",0)</f>
        <v>89</v>
      </c>
      <c r="AD374" s="20" t="str">
        <f>_xlfn.XLOOKUP(Table4[[#This Row],[combi]],AREA!E:E,AREA!G:G,"",0)</f>
        <v>Pick-up service of hypothetic package as defined in the Tech. Specs. and delivery to lots
2 and 3 contractors according to Scenario 1</v>
      </c>
      <c r="AE374" s="20" t="s">
        <v>125</v>
      </c>
      <c r="AF374" s="20" t="str">
        <f>_xlfn.XLOOKUP(Table4[[#This Row],[FromSite-UPS]],sites!D:D,sites!AB:AB,"",0)&amp;_xlfn.XLOOKUP(Table4[[#This Row],[ToLab]],labs!D:D,labs!Q:Q,"",0)</f>
        <v>EUEU</v>
      </c>
    </row>
    <row r="375" spans="2:32" ht="15.6" customHeight="1" x14ac:dyDescent="0.25">
      <c r="B375" s="13">
        <v>30</v>
      </c>
      <c r="C375" s="14" t="s">
        <v>53</v>
      </c>
      <c r="D375" s="13">
        <v>1</v>
      </c>
      <c r="E375" s="79">
        <v>45951</v>
      </c>
      <c r="F375" s="80">
        <v>45952</v>
      </c>
      <c r="G375" s="13">
        <f>IFERROR(WEEKNUM(Table4[[#This Row],[Confirmed Pick-up Date]]),"TBD")</f>
        <v>43</v>
      </c>
      <c r="H375" s="13" t="str">
        <f>IFERROR(TEXT(Table4[[#This Row],[Confirmed Pick-up Date]],"yy-mm"),"TBD")</f>
        <v>25-10</v>
      </c>
      <c r="I375" s="13" t="s">
        <v>19</v>
      </c>
      <c r="J375" s="13" t="str">
        <f>IFERROR(VLOOKUP(Table4[[#This Row],[FromSite-UPS]],Table1[[#All],[Company or Name]:[FromSite3]],15,FALSE),"")</f>
        <v>Munich WWTP</v>
      </c>
      <c r="K375" s="20" t="str">
        <f>IFERROR(VLOOKUP(Table4[[#This Row],[FromSite-UPS]],Table1[[#All],[Company or Name]:[FromSite3]],16,FALSE),"")</f>
        <v>Munich Airport</v>
      </c>
      <c r="L375" s="20">
        <f>IFERROR(VLOOKUP(Table4[[#This Row],[FromSite-UPS]],Table1[[#All],[Company or Name]:[FromSite3]],14,FALSE),"")</f>
        <v>0.58333333333333337</v>
      </c>
      <c r="M375" s="13" t="s">
        <v>1011</v>
      </c>
      <c r="N375" s="20" t="s">
        <v>134</v>
      </c>
      <c r="O375" s="13" t="s">
        <v>1755</v>
      </c>
      <c r="P375" s="13"/>
      <c r="Q375" s="20"/>
      <c r="R375" s="20"/>
      <c r="S375" s="20" t="s">
        <v>125</v>
      </c>
      <c r="T375" s="20" t="s">
        <v>856</v>
      </c>
      <c r="U375" s="20"/>
      <c r="V375" s="20"/>
      <c r="W375" s="20" t="str">
        <f>TEXT(Table4[[#This Row],[Confirmed Sampling Date]], "yyyy") &amp; "_" &amp; TEXT(Table4[[#This Row],[Confirmed Sampling Date]], "mm") &amp; "_" &amp; TEXT(Table4[[#This Row],[Confirmed Sampling Date]], "dd")</f>
        <v>2025_10_21</v>
      </c>
      <c r="X375" s="20" t="str">
        <f t="shared" si="5"/>
        <v>Munich</v>
      </c>
      <c r="Y375" s="20" t="str">
        <f>VLOOKUP(Table4[[#This Row],[FromSite-UPS]],Table1[[Company or Name]:[NOTES]],2,FALSE)</f>
        <v>Germany</v>
      </c>
      <c r="Z375" s="20">
        <f>IFERROR(WEEKNUM(Table4[[#This Row],[Confirmed Sampling Date]] - 10, 21), "TBD")</f>
        <v>41</v>
      </c>
      <c r="AA375" s="20" t="str">
        <f>_xlfn.XLOOKUP(Table4[[#This Row],[FromSite-UPS]],sites!D:D,sites!W:W,"",0)</f>
        <v>Leopoldstrasse 5, Institut fuer Infektions- und Tropenmedizin, Munich, 80802, Germany</v>
      </c>
      <c r="AB375" s="20" t="str">
        <f>_xlfn.XLOOKUP(Table4[[#This Row],[ToLab]],labs!D:D,labs!P:P,"no adres",0)</f>
        <v>Av. Rovisco Pais 1, Laboratorio de Analises de Agua, Lisbon, 1049-001, Portugal</v>
      </c>
      <c r="AC375" s="20">
        <f>_xlfn.XLOOKUP(Table4[[#This Row],[combi]],AREA!E:E,AREA!F:F,"",0)</f>
        <v>89</v>
      </c>
      <c r="AD375" s="20" t="str">
        <f>_xlfn.XLOOKUP(Table4[[#This Row],[combi]],AREA!E:E,AREA!G:G,"",0)</f>
        <v>Pick-up service of hypothetic package as defined in the Tech. Specs. and delivery to lots
2 and 3 contractors according to Scenario 1</v>
      </c>
      <c r="AE375" s="20" t="s">
        <v>125</v>
      </c>
      <c r="AF375" s="20" t="str">
        <f>_xlfn.XLOOKUP(Table4[[#This Row],[FromSite-UPS]],sites!D:D,sites!AB:AB,"",0)&amp;_xlfn.XLOOKUP(Table4[[#This Row],[ToLab]],labs!D:D,labs!Q:Q,"",0)</f>
        <v>EUEU</v>
      </c>
    </row>
    <row r="376" spans="2:32" ht="15.6" customHeight="1" x14ac:dyDescent="0.25">
      <c r="B376" s="13">
        <v>93</v>
      </c>
      <c r="C376" s="14" t="s">
        <v>53</v>
      </c>
      <c r="D376" s="13">
        <v>1</v>
      </c>
      <c r="E376" s="79">
        <v>45951</v>
      </c>
      <c r="F376" s="80">
        <v>45952</v>
      </c>
      <c r="G376" s="13">
        <f>IFERROR(WEEKNUM(Table4[[#This Row],[Confirmed Pick-up Date]]),"TBD")</f>
        <v>43</v>
      </c>
      <c r="H376" s="13" t="str">
        <f>IFERROR(TEXT(Table4[[#This Row],[Confirmed Pick-up Date]],"yy-mm"),"TBD")</f>
        <v>25-10</v>
      </c>
      <c r="I376" s="13" t="s">
        <v>19</v>
      </c>
      <c r="J376" s="20" t="str">
        <f>IFERROR(VLOOKUP(Table4[[#This Row],[FromSite-UPS]],Table1[[#All],[Company or Name]:[FromSite3]],15,FALSE),"")</f>
        <v>Munich WWTP</v>
      </c>
      <c r="K376" s="20" t="str">
        <f>IFERROR(VLOOKUP(Table4[[#This Row],[FromSite-UPS]],Table1[[#All],[Company or Name]:[FromSite3]],16,FALSE),"")</f>
        <v>Munich Airport</v>
      </c>
      <c r="L376" s="20">
        <f>IFERROR(VLOOKUP(Table4[[#This Row],[FromSite-UPS]],Table1[[#All],[Company or Name]:[FromSite3]],14,FALSE),"")</f>
        <v>0.58333333333333337</v>
      </c>
      <c r="M376" s="13" t="s">
        <v>1011</v>
      </c>
      <c r="N376" s="20" t="s">
        <v>134</v>
      </c>
      <c r="O376" s="13" t="s">
        <v>1756</v>
      </c>
      <c r="P376" s="13"/>
      <c r="Q376" s="20"/>
      <c r="R376" s="20"/>
      <c r="S376" s="20" t="s">
        <v>125</v>
      </c>
      <c r="T376" s="20" t="s">
        <v>856</v>
      </c>
      <c r="U376" s="20"/>
      <c r="V376" s="20"/>
      <c r="W376" s="20" t="str">
        <f>TEXT(Table4[[#This Row],[Confirmed Sampling Date]], "yyyy") &amp; "_" &amp; TEXT(Table4[[#This Row],[Confirmed Sampling Date]], "mm") &amp; "_" &amp; TEXT(Table4[[#This Row],[Confirmed Sampling Date]], "dd")</f>
        <v>2025_10_21</v>
      </c>
      <c r="X376" s="20" t="str">
        <f t="shared" si="5"/>
        <v>Munich</v>
      </c>
      <c r="Y376" s="20" t="str">
        <f>VLOOKUP(Table4[[#This Row],[FromSite-UPS]],Table1[[Company or Name]:[NOTES]],2,FALSE)</f>
        <v>Germany</v>
      </c>
      <c r="Z376" s="20">
        <f>IFERROR(WEEKNUM(Table4[[#This Row],[Confirmed Sampling Date]] - 10, 21), "TBD")</f>
        <v>41</v>
      </c>
      <c r="AA376" s="20" t="str">
        <f>_xlfn.XLOOKUP(Table4[[#This Row],[FromSite-UPS]],sites!D:D,sites!W:W,"",0)</f>
        <v>Leopoldstrasse 5, Institut fuer Infektions- und Tropenmedizin, Munich, 80802, Germany</v>
      </c>
      <c r="AB376" s="20" t="str">
        <f>_xlfn.XLOOKUP(Table4[[#This Row],[ToLab]],labs!D:D,labs!P:P,"no adres",0)</f>
        <v>Av. Rovisco Pais 1, Laboratorio de Analises de Agua, Lisbon, 1049-001, Portugal</v>
      </c>
      <c r="AC376" s="20">
        <f>_xlfn.XLOOKUP(Table4[[#This Row],[combi]],AREA!E:E,AREA!F:F,"",0)</f>
        <v>89</v>
      </c>
      <c r="AD376" s="20" t="str">
        <f>_xlfn.XLOOKUP(Table4[[#This Row],[combi]],AREA!E:E,AREA!G:G,"",0)</f>
        <v>Pick-up service of hypothetic package as defined in the Tech. Specs. and delivery to lots
2 and 3 contractors according to Scenario 1</v>
      </c>
      <c r="AE376" s="20" t="s">
        <v>125</v>
      </c>
      <c r="AF376" s="20" t="str">
        <f>_xlfn.XLOOKUP(Table4[[#This Row],[FromSite-UPS]],sites!D:D,sites!AB:AB,"",0)&amp;_xlfn.XLOOKUP(Table4[[#This Row],[ToLab]],labs!D:D,labs!Q:Q,"",0)</f>
        <v>EUEU</v>
      </c>
    </row>
    <row r="377" spans="2:32" ht="15.6" hidden="1" customHeight="1" x14ac:dyDescent="0.25">
      <c r="B377" s="13">
        <v>189</v>
      </c>
      <c r="C377" s="14" t="s">
        <v>53</v>
      </c>
      <c r="D377" s="13">
        <v>1</v>
      </c>
      <c r="E377" s="83">
        <v>45937</v>
      </c>
      <c r="F377" s="83">
        <v>45938</v>
      </c>
      <c r="G377" s="20">
        <f>IFERROR(WEEKNUM(Table4[[#This Row],[Confirmed Pick-up Date]]),"TBD")</f>
        <v>41</v>
      </c>
      <c r="H377" s="20" t="str">
        <f>IFERROR(TEXT(Table4[[#This Row],[Confirmed Pick-up Date]],"yy-mm"),"TBD")</f>
        <v>25-10</v>
      </c>
      <c r="I377" s="13" t="s">
        <v>877</v>
      </c>
      <c r="J377" s="20" t="str">
        <f>IFERROR(VLOOKUP(Table4[[#This Row],[FromSite-UPS]],Table1[[#All],[Company or Name]:[FromSite3]],15,FALSE),"")</f>
        <v>Prague National Institute</v>
      </c>
      <c r="K377" s="20" t="str">
        <f>IFERROR(VLOOKUP(Table4[[#This Row],[FromSite-UPS]],Table1[[#All],[Company or Name]:[FromSite3]],16,FALSE),"")</f>
        <v>Prague WWTP FLOW 1</v>
      </c>
      <c r="L377" s="20">
        <f>IFERROR(VLOOKUP(Table4[[#This Row],[FromSite-UPS]],Table1[[#All],[Company or Name]:[FromSite3]],14,FALSE),"")</f>
        <v>0</v>
      </c>
      <c r="M377" s="13" t="s">
        <v>1011</v>
      </c>
      <c r="N377" s="20" t="s">
        <v>813</v>
      </c>
      <c r="O377" s="13" t="s">
        <v>1686</v>
      </c>
      <c r="P377" s="13" t="s">
        <v>134</v>
      </c>
      <c r="Q377" s="65" t="s">
        <v>1852</v>
      </c>
      <c r="R377" s="20"/>
      <c r="S377" s="20" t="s">
        <v>125</v>
      </c>
      <c r="T377" s="20" t="s">
        <v>856</v>
      </c>
      <c r="U377" s="20"/>
      <c r="V377" s="20"/>
      <c r="W377" s="20" t="str">
        <f>TEXT(Table4[[#This Row],[Confirmed Sampling Date]], "yyyy") &amp; "_" &amp; TEXT(Table4[[#This Row],[Confirmed Sampling Date]], "mm") &amp; "_" &amp; TEXT(Table4[[#This Row],[Confirmed Sampling Date]], "dd")</f>
        <v>2025_10_07</v>
      </c>
      <c r="X377" s="20" t="str">
        <f t="shared" si="5"/>
        <v>Prague</v>
      </c>
      <c r="Y377" s="20" t="str">
        <f>VLOOKUP(Table4[[#This Row],[FromSite-UPS]],Table1[[Company or Name]:[NOTES]],2,FALSE)</f>
        <v>Czech Republic</v>
      </c>
      <c r="Z377" s="20">
        <f>IFERROR(WEEKNUM(Table4[[#This Row],[Confirmed Sampling Date]] - 10, 21), "TBD")</f>
        <v>39</v>
      </c>
      <c r="AA377" s="20" t="str">
        <f>_xlfn.XLOOKUP(Table4[[#This Row],[FromSite-UPS]],sites!D:D,sites!W:W,"",0)</f>
        <v>Šrobárova 49/48, Státní zdravotní ústav, Praha, 100 00, Czech Republic</v>
      </c>
      <c r="AB377" s="20" t="str">
        <f>_xlfn.XLOOKUP(Table4[[#This Row],[ToLab]],labs!D:D,labs!P:P,"no adres",0)</f>
        <v>Av. Rovisco Pais 1, Laboratorio de Analises de Agua, Lisbon, 1049-001, Portugal</v>
      </c>
      <c r="AC377" s="20">
        <f>_xlfn.XLOOKUP(Table4[[#This Row],[combi]],AREA!E:E,AREA!F:F,"",0)</f>
        <v>89</v>
      </c>
      <c r="AD377" s="20" t="str">
        <f>_xlfn.XLOOKUP(Table4[[#This Row],[combi]],AREA!E:E,AREA!G:G,"",0)</f>
        <v>Pick-up service of hypothetic package as defined in the Tech. Specs. and delivery to lots
2 and 3 contractors according to Scenario 1</v>
      </c>
      <c r="AE377" s="20" t="s">
        <v>125</v>
      </c>
      <c r="AF377" s="20" t="str">
        <f>_xlfn.XLOOKUP(Table4[[#This Row],[FromSite-UPS]],sites!D:D,sites!AB:AB,"",0)&amp;_xlfn.XLOOKUP(Table4[[#This Row],[ToLab]],labs!D:D,labs!Q:Q,"",0)</f>
        <v>EUEU</v>
      </c>
    </row>
    <row r="378" spans="2:32" ht="15.6" hidden="1" customHeight="1" x14ac:dyDescent="0.25">
      <c r="B378" s="13">
        <v>190</v>
      </c>
      <c r="C378" s="14" t="s">
        <v>53</v>
      </c>
      <c r="D378" s="13">
        <v>1</v>
      </c>
      <c r="E378" s="83">
        <v>45937</v>
      </c>
      <c r="F378" s="83">
        <v>45938</v>
      </c>
      <c r="G378" s="20">
        <f>IFERROR(WEEKNUM(Table4[[#This Row],[Confirmed Pick-up Date]]),"TBD")</f>
        <v>41</v>
      </c>
      <c r="H378" s="20" t="str">
        <f>IFERROR(TEXT(Table4[[#This Row],[Confirmed Pick-up Date]],"yy-mm"),"TBD")</f>
        <v>25-10</v>
      </c>
      <c r="I378" s="13" t="s">
        <v>877</v>
      </c>
      <c r="J378" s="20" t="str">
        <f>IFERROR(VLOOKUP(Table4[[#This Row],[FromSite-UPS]],Table1[[#All],[Company or Name]:[FromSite3]],15,FALSE),"")</f>
        <v>Prague National Institute</v>
      </c>
      <c r="K378" s="20" t="str">
        <f>IFERROR(VLOOKUP(Table4[[#This Row],[FromSite-UPS]],Table1[[#All],[Company or Name]:[FromSite3]],16,FALSE),"")</f>
        <v>Prague WWTP FLOW 1</v>
      </c>
      <c r="L378" s="20">
        <f>IFERROR(VLOOKUP(Table4[[#This Row],[FromSite-UPS]],Table1[[#All],[Company or Name]:[FromSite3]],14,FALSE),"")</f>
        <v>0</v>
      </c>
      <c r="M378" s="13" t="s">
        <v>1011</v>
      </c>
      <c r="N378" s="20" t="s">
        <v>813</v>
      </c>
      <c r="O378" s="13" t="s">
        <v>1687</v>
      </c>
      <c r="P378" s="13" t="s">
        <v>134</v>
      </c>
      <c r="Q378" s="65" t="s">
        <v>1852</v>
      </c>
      <c r="R378" s="20"/>
      <c r="S378" s="20" t="s">
        <v>125</v>
      </c>
      <c r="T378" s="20" t="s">
        <v>856</v>
      </c>
      <c r="U378" s="20"/>
      <c r="V378" s="20"/>
      <c r="W378" s="20" t="str">
        <f>TEXT(Table4[[#This Row],[Confirmed Sampling Date]], "yyyy") &amp; "_" &amp; TEXT(Table4[[#This Row],[Confirmed Sampling Date]], "mm") &amp; "_" &amp; TEXT(Table4[[#This Row],[Confirmed Sampling Date]], "dd")</f>
        <v>2025_10_07</v>
      </c>
      <c r="X378" s="20" t="str">
        <f t="shared" si="5"/>
        <v>Prague</v>
      </c>
      <c r="Y378" s="20" t="str">
        <f>VLOOKUP(Table4[[#This Row],[FromSite-UPS]],Table1[[Company or Name]:[NOTES]],2,FALSE)</f>
        <v>Czech Republic</v>
      </c>
      <c r="Z378" s="20">
        <f>IFERROR(WEEKNUM(Table4[[#This Row],[Confirmed Sampling Date]] - 10, 21), "TBD")</f>
        <v>39</v>
      </c>
      <c r="AA378" s="20" t="str">
        <f>_xlfn.XLOOKUP(Table4[[#This Row],[FromSite-UPS]],sites!D:D,sites!W:W,"",0)</f>
        <v>Šrobárova 49/48, Státní zdravotní ústav, Praha, 100 00, Czech Republic</v>
      </c>
      <c r="AB378" s="20" t="str">
        <f>_xlfn.XLOOKUP(Table4[[#This Row],[ToLab]],labs!D:D,labs!P:P,"no adres",0)</f>
        <v>Av. Rovisco Pais 1, Laboratorio de Analises de Agua, Lisbon, 1049-001, Portugal</v>
      </c>
      <c r="AC378" s="20">
        <f>_xlfn.XLOOKUP(Table4[[#This Row],[combi]],AREA!E:E,AREA!F:F,"",0)</f>
        <v>89</v>
      </c>
      <c r="AD378" s="20" t="str">
        <f>_xlfn.XLOOKUP(Table4[[#This Row],[combi]],AREA!E:E,AREA!G:G,"",0)</f>
        <v>Pick-up service of hypothetic package as defined in the Tech. Specs. and delivery to lots
2 and 3 contractors according to Scenario 1</v>
      </c>
      <c r="AE378" s="20" t="s">
        <v>125</v>
      </c>
      <c r="AF378" s="20" t="str">
        <f>_xlfn.XLOOKUP(Table4[[#This Row],[FromSite-UPS]],sites!D:D,sites!AB:AB,"",0)&amp;_xlfn.XLOOKUP(Table4[[#This Row],[ToLab]],labs!D:D,labs!Q:Q,"",0)</f>
        <v>EUEU</v>
      </c>
    </row>
    <row r="379" spans="2:32" ht="15.6" hidden="1" customHeight="1" x14ac:dyDescent="0.25">
      <c r="B379" s="13">
        <v>191</v>
      </c>
      <c r="C379" s="14" t="s">
        <v>53</v>
      </c>
      <c r="D379" s="13">
        <v>1</v>
      </c>
      <c r="E379" s="83">
        <v>45937</v>
      </c>
      <c r="F379" s="83">
        <v>45938</v>
      </c>
      <c r="G379" s="20">
        <f>IFERROR(WEEKNUM(Table4[[#This Row],[Confirmed Pick-up Date]]),"TBD")</f>
        <v>41</v>
      </c>
      <c r="H379" s="20" t="str">
        <f>IFERROR(TEXT(Table4[[#This Row],[Confirmed Pick-up Date]],"yy-mm"),"TBD")</f>
        <v>25-10</v>
      </c>
      <c r="I379" s="13" t="s">
        <v>877</v>
      </c>
      <c r="J379" s="20" t="str">
        <f>IFERROR(VLOOKUP(Table4[[#This Row],[FromSite-UPS]],Table1[[#All],[Company or Name]:[FromSite3]],15,FALSE),"")</f>
        <v>Prague National Institute</v>
      </c>
      <c r="K379" s="20" t="str">
        <f>IFERROR(VLOOKUP(Table4[[#This Row],[FromSite-UPS]],Table1[[#All],[Company or Name]:[FromSite3]],16,FALSE),"")</f>
        <v>Prague WWTP FLOW 1</v>
      </c>
      <c r="L379" s="20">
        <f>IFERROR(VLOOKUP(Table4[[#This Row],[FromSite-UPS]],Table1[[#All],[Company or Name]:[FromSite3]],14,FALSE),"")</f>
        <v>0</v>
      </c>
      <c r="M379" s="13" t="s">
        <v>1011</v>
      </c>
      <c r="N379" s="20" t="s">
        <v>813</v>
      </c>
      <c r="O379" s="13" t="s">
        <v>1688</v>
      </c>
      <c r="P379" s="13" t="s">
        <v>134</v>
      </c>
      <c r="Q379" s="20" t="s">
        <v>1852</v>
      </c>
      <c r="R379" s="20" t="s">
        <v>1723</v>
      </c>
      <c r="S379" s="20" t="s">
        <v>125</v>
      </c>
      <c r="T379" s="20" t="s">
        <v>856</v>
      </c>
      <c r="U379" s="20"/>
      <c r="V379" s="20"/>
      <c r="W379" s="20" t="str">
        <f>TEXT(Table4[[#This Row],[Confirmed Sampling Date]], "yyyy") &amp; "_" &amp; TEXT(Table4[[#This Row],[Confirmed Sampling Date]], "mm") &amp; "_" &amp; TEXT(Table4[[#This Row],[Confirmed Sampling Date]], "dd")</f>
        <v>2025_10_07</v>
      </c>
      <c r="X379" s="20" t="str">
        <f t="shared" si="5"/>
        <v>Prague</v>
      </c>
      <c r="Y379" s="20" t="str">
        <f>VLOOKUP(Table4[[#This Row],[FromSite-UPS]],Table1[[Company or Name]:[NOTES]],2,FALSE)</f>
        <v>Czech Republic</v>
      </c>
      <c r="Z379" s="20">
        <f>IFERROR(WEEKNUM(Table4[[#This Row],[Confirmed Sampling Date]] - 10, 21), "TBD")</f>
        <v>39</v>
      </c>
      <c r="AA379" s="20" t="str">
        <f>_xlfn.XLOOKUP(Table4[[#This Row],[FromSite-UPS]],sites!D:D,sites!W:W,"",0)</f>
        <v>Šrobárova 49/48, Státní zdravotní ústav, Praha, 100 00, Czech Republic</v>
      </c>
      <c r="AB379" s="20" t="str">
        <f>_xlfn.XLOOKUP(Table4[[#This Row],[ToLab]],labs!D:D,labs!P:P,"no adres",0)</f>
        <v>Av. Rovisco Pais 1, Laboratorio de Analises de Agua, Lisbon, 1049-001, Portugal</v>
      </c>
      <c r="AC379" s="20">
        <f>_xlfn.XLOOKUP(Table4[[#This Row],[combi]],AREA!E:E,AREA!F:F,"",0)</f>
        <v>89</v>
      </c>
      <c r="AD379" s="20" t="str">
        <f>_xlfn.XLOOKUP(Table4[[#This Row],[combi]],AREA!E:E,AREA!G:G,"",0)</f>
        <v>Pick-up service of hypothetic package as defined in the Tech. Specs. and delivery to lots
2 and 3 contractors according to Scenario 1</v>
      </c>
      <c r="AE379" s="20" t="s">
        <v>125</v>
      </c>
      <c r="AF379" s="20" t="str">
        <f>_xlfn.XLOOKUP(Table4[[#This Row],[FromSite-UPS]],sites!D:D,sites!AB:AB,"",0)&amp;_xlfn.XLOOKUP(Table4[[#This Row],[ToLab]],labs!D:D,labs!Q:Q,"",0)</f>
        <v>EUEU</v>
      </c>
    </row>
    <row r="380" spans="2:32" ht="15.6" hidden="1" customHeight="1" x14ac:dyDescent="0.25">
      <c r="B380" s="13">
        <v>192</v>
      </c>
      <c r="C380" s="14" t="s">
        <v>53</v>
      </c>
      <c r="D380" s="13">
        <v>1</v>
      </c>
      <c r="E380" s="83">
        <v>45937</v>
      </c>
      <c r="F380" s="83">
        <v>45938</v>
      </c>
      <c r="G380" s="20">
        <f>IFERROR(WEEKNUM(Table4[[#This Row],[Confirmed Pick-up Date]]),"TBD")</f>
        <v>41</v>
      </c>
      <c r="H380" s="20" t="str">
        <f>IFERROR(TEXT(Table4[[#This Row],[Confirmed Pick-up Date]],"yy-mm"),"TBD")</f>
        <v>25-10</v>
      </c>
      <c r="I380" s="13" t="s">
        <v>877</v>
      </c>
      <c r="J380" s="20" t="str">
        <f>IFERROR(VLOOKUP(Table4[[#This Row],[FromSite-UPS]],Table1[[#All],[Company or Name]:[FromSite3]],15,FALSE),"")</f>
        <v>Prague National Institute</v>
      </c>
      <c r="K380" s="20" t="str">
        <f>IFERROR(VLOOKUP(Table4[[#This Row],[FromSite-UPS]],Table1[[#All],[Company or Name]:[FromSite3]],16,FALSE),"")</f>
        <v>Prague WWTP FLOW 1</v>
      </c>
      <c r="L380" s="20">
        <f>IFERROR(VLOOKUP(Table4[[#This Row],[FromSite-UPS]],Table1[[#All],[Company or Name]:[FromSite3]],14,FALSE),"")</f>
        <v>0</v>
      </c>
      <c r="M380" s="13" t="s">
        <v>1011</v>
      </c>
      <c r="N380" s="20" t="s">
        <v>813</v>
      </c>
      <c r="O380" s="13" t="s">
        <v>1689</v>
      </c>
      <c r="P380" s="13" t="s">
        <v>134</v>
      </c>
      <c r="Q380" s="20" t="s">
        <v>1852</v>
      </c>
      <c r="R380" s="20"/>
      <c r="S380" s="20" t="s">
        <v>125</v>
      </c>
      <c r="T380" s="20" t="s">
        <v>856</v>
      </c>
      <c r="U380" s="20"/>
      <c r="V380" s="20"/>
      <c r="W380" s="20" t="str">
        <f>TEXT(Table4[[#This Row],[Confirmed Sampling Date]], "yyyy") &amp; "_" &amp; TEXT(Table4[[#This Row],[Confirmed Sampling Date]], "mm") &amp; "_" &amp; TEXT(Table4[[#This Row],[Confirmed Sampling Date]], "dd")</f>
        <v>2025_10_07</v>
      </c>
      <c r="X380" s="20" t="str">
        <f t="shared" si="5"/>
        <v>Prague</v>
      </c>
      <c r="Y380" s="20" t="str">
        <f>VLOOKUP(Table4[[#This Row],[FromSite-UPS]],Table1[[Company or Name]:[NOTES]],2,FALSE)</f>
        <v>Czech Republic</v>
      </c>
      <c r="Z380" s="20">
        <f>IFERROR(WEEKNUM(Table4[[#This Row],[Confirmed Sampling Date]] - 10, 21), "TBD")</f>
        <v>39</v>
      </c>
      <c r="AA380" s="20" t="str">
        <f>_xlfn.XLOOKUP(Table4[[#This Row],[FromSite-UPS]],sites!D:D,sites!W:W,"",0)</f>
        <v>Šrobárova 49/48, Státní zdravotní ústav, Praha, 100 00, Czech Republic</v>
      </c>
      <c r="AB380" s="20" t="str">
        <f>_xlfn.XLOOKUP(Table4[[#This Row],[ToLab]],labs!D:D,labs!P:P,"no adres",0)</f>
        <v>Av. Rovisco Pais 1, Laboratorio de Analises de Agua, Lisbon, 1049-001, Portugal</v>
      </c>
      <c r="AC380" s="20">
        <f>_xlfn.XLOOKUP(Table4[[#This Row],[combi]],AREA!E:E,AREA!F:F,"",0)</f>
        <v>89</v>
      </c>
      <c r="AD380" s="20" t="str">
        <f>_xlfn.XLOOKUP(Table4[[#This Row],[combi]],AREA!E:E,AREA!G:G,"",0)</f>
        <v>Pick-up service of hypothetic package as defined in the Tech. Specs. and delivery to lots
2 and 3 contractors according to Scenario 1</v>
      </c>
      <c r="AE380" s="20" t="s">
        <v>125</v>
      </c>
      <c r="AF380" s="20" t="str">
        <f>_xlfn.XLOOKUP(Table4[[#This Row],[FromSite-UPS]],sites!D:D,sites!AB:AB,"",0)&amp;_xlfn.XLOOKUP(Table4[[#This Row],[ToLab]],labs!D:D,labs!Q:Q,"",0)</f>
        <v>EUEU</v>
      </c>
    </row>
    <row r="381" spans="2:32" ht="15.6" customHeight="1" x14ac:dyDescent="0.25">
      <c r="B381" s="13">
        <v>193</v>
      </c>
      <c r="C381" s="14" t="s">
        <v>53</v>
      </c>
      <c r="D381" s="13">
        <v>1</v>
      </c>
      <c r="E381" s="79">
        <v>45951</v>
      </c>
      <c r="F381" s="80">
        <v>45952</v>
      </c>
      <c r="G381" s="13">
        <f>IFERROR(WEEKNUM(Table4[[#This Row],[Confirmed Pick-up Date]]),"TBD")</f>
        <v>43</v>
      </c>
      <c r="H381" s="13" t="str">
        <f>IFERROR(TEXT(Table4[[#This Row],[Confirmed Pick-up Date]],"yy-mm"),"TBD")</f>
        <v>25-10</v>
      </c>
      <c r="I381" s="13" t="s">
        <v>877</v>
      </c>
      <c r="J381" s="20" t="str">
        <f>IFERROR(VLOOKUP(Table4[[#This Row],[FromSite-UPS]],Table1[[#All],[Company or Name]:[FromSite3]],15,FALSE),"")</f>
        <v>Prague National Institute</v>
      </c>
      <c r="K381" s="20" t="str">
        <f>IFERROR(VLOOKUP(Table4[[#This Row],[FromSite-UPS]],Table1[[#All],[Company or Name]:[FromSite3]],16,FALSE),"")</f>
        <v>Prague WWTP FLOW 1</v>
      </c>
      <c r="L381" s="20">
        <f>IFERROR(VLOOKUP(Table4[[#This Row],[FromSite-UPS]],Table1[[#All],[Company or Name]:[FromSite3]],14,FALSE),"")</f>
        <v>0</v>
      </c>
      <c r="M381" s="13" t="s">
        <v>1011</v>
      </c>
      <c r="N381" s="20" t="s">
        <v>134</v>
      </c>
      <c r="O381" s="13" t="s">
        <v>1757</v>
      </c>
      <c r="P381" s="13"/>
      <c r="Q381" s="20"/>
      <c r="R381" s="20"/>
      <c r="S381" s="20" t="s">
        <v>125</v>
      </c>
      <c r="T381" s="20" t="s">
        <v>856</v>
      </c>
      <c r="U381" s="20"/>
      <c r="V381" s="20"/>
      <c r="W381" s="20" t="str">
        <f>TEXT(Table4[[#This Row],[Confirmed Sampling Date]], "yyyy") &amp; "_" &amp; TEXT(Table4[[#This Row],[Confirmed Sampling Date]], "mm") &amp; "_" &amp; TEXT(Table4[[#This Row],[Confirmed Sampling Date]], "dd")</f>
        <v>2025_10_21</v>
      </c>
      <c r="X381" s="20" t="str">
        <f t="shared" si="5"/>
        <v>Prague</v>
      </c>
      <c r="Y381" s="20" t="str">
        <f>VLOOKUP(Table4[[#This Row],[FromSite-UPS]],Table1[[Company or Name]:[NOTES]],2,FALSE)</f>
        <v>Czech Republic</v>
      </c>
      <c r="Z381" s="20">
        <f>IFERROR(WEEKNUM(Table4[[#This Row],[Confirmed Sampling Date]] - 10, 21), "TBD")</f>
        <v>41</v>
      </c>
      <c r="AA381" s="20" t="str">
        <f>_xlfn.XLOOKUP(Table4[[#This Row],[FromSite-UPS]],sites!D:D,sites!W:W,"",0)</f>
        <v>Šrobárova 49/48, Státní zdravotní ústav, Praha, 100 00, Czech Republic</v>
      </c>
      <c r="AB381" s="20" t="str">
        <f>_xlfn.XLOOKUP(Table4[[#This Row],[ToLab]],labs!D:D,labs!P:P,"no adres",0)</f>
        <v>Av. Rovisco Pais 1, Laboratorio de Analises de Agua, Lisbon, 1049-001, Portugal</v>
      </c>
      <c r="AC381" s="20">
        <f>_xlfn.XLOOKUP(Table4[[#This Row],[combi]],AREA!E:E,AREA!F:F,"",0)</f>
        <v>89</v>
      </c>
      <c r="AD381" s="20" t="str">
        <f>_xlfn.XLOOKUP(Table4[[#This Row],[combi]],AREA!E:E,AREA!G:G,"",0)</f>
        <v>Pick-up service of hypothetic package as defined in the Tech. Specs. and delivery to lots
2 and 3 contractors according to Scenario 1</v>
      </c>
      <c r="AE381" s="20" t="s">
        <v>125</v>
      </c>
      <c r="AF381" s="20" t="str">
        <f>_xlfn.XLOOKUP(Table4[[#This Row],[FromSite-UPS]],sites!D:D,sites!AB:AB,"",0)&amp;_xlfn.XLOOKUP(Table4[[#This Row],[ToLab]],labs!D:D,labs!Q:Q,"",0)</f>
        <v>EUEU</v>
      </c>
    </row>
    <row r="382" spans="2:32" ht="15.6" customHeight="1" x14ac:dyDescent="0.25">
      <c r="B382" s="13">
        <v>194</v>
      </c>
      <c r="C382" s="14" t="s">
        <v>53</v>
      </c>
      <c r="D382" s="13">
        <v>1</v>
      </c>
      <c r="E382" s="79">
        <v>45951</v>
      </c>
      <c r="F382" s="80">
        <v>45952</v>
      </c>
      <c r="G382" s="13">
        <f>IFERROR(WEEKNUM(Table4[[#This Row],[Confirmed Pick-up Date]]),"TBD")</f>
        <v>43</v>
      </c>
      <c r="H382" s="13" t="str">
        <f>IFERROR(TEXT(Table4[[#This Row],[Confirmed Pick-up Date]],"yy-mm"),"TBD")</f>
        <v>25-10</v>
      </c>
      <c r="I382" s="13" t="s">
        <v>877</v>
      </c>
      <c r="J382" s="20" t="str">
        <f>IFERROR(VLOOKUP(Table4[[#This Row],[FromSite-UPS]],Table1[[#All],[Company or Name]:[FromSite3]],15,FALSE),"")</f>
        <v>Prague National Institute</v>
      </c>
      <c r="K382" s="20" t="str">
        <f>IFERROR(VLOOKUP(Table4[[#This Row],[FromSite-UPS]],Table1[[#All],[Company or Name]:[FromSite3]],16,FALSE),"")</f>
        <v>Prague WWTP FLOW 1</v>
      </c>
      <c r="L382" s="20">
        <f>IFERROR(VLOOKUP(Table4[[#This Row],[FromSite-UPS]],Table1[[#All],[Company or Name]:[FromSite3]],14,FALSE),"")</f>
        <v>0</v>
      </c>
      <c r="M382" s="13" t="s">
        <v>1011</v>
      </c>
      <c r="N382" s="20" t="s">
        <v>134</v>
      </c>
      <c r="O382" s="13" t="s">
        <v>1758</v>
      </c>
      <c r="P382" s="13"/>
      <c r="Q382" s="20"/>
      <c r="R382" s="20"/>
      <c r="S382" s="20" t="s">
        <v>125</v>
      </c>
      <c r="T382" s="20" t="s">
        <v>856</v>
      </c>
      <c r="U382" s="20"/>
      <c r="V382" s="20"/>
      <c r="W382" s="20" t="str">
        <f>TEXT(Table4[[#This Row],[Confirmed Sampling Date]], "yyyy") &amp; "_" &amp; TEXT(Table4[[#This Row],[Confirmed Sampling Date]], "mm") &amp; "_" &amp; TEXT(Table4[[#This Row],[Confirmed Sampling Date]], "dd")</f>
        <v>2025_10_21</v>
      </c>
      <c r="X382" s="20" t="str">
        <f t="shared" si="5"/>
        <v>Prague</v>
      </c>
      <c r="Y382" s="20" t="str">
        <f>VLOOKUP(Table4[[#This Row],[FromSite-UPS]],Table1[[Company or Name]:[NOTES]],2,FALSE)</f>
        <v>Czech Republic</v>
      </c>
      <c r="Z382" s="20">
        <f>IFERROR(WEEKNUM(Table4[[#This Row],[Confirmed Sampling Date]] - 10, 21), "TBD")</f>
        <v>41</v>
      </c>
      <c r="AA382" s="20" t="str">
        <f>_xlfn.XLOOKUP(Table4[[#This Row],[FromSite-UPS]],sites!D:D,sites!W:W,"",0)</f>
        <v>Šrobárova 49/48, Státní zdravotní ústav, Praha, 100 00, Czech Republic</v>
      </c>
      <c r="AB382" s="20" t="str">
        <f>_xlfn.XLOOKUP(Table4[[#This Row],[ToLab]],labs!D:D,labs!P:P,"no adres",0)</f>
        <v>Av. Rovisco Pais 1, Laboratorio de Analises de Agua, Lisbon, 1049-001, Portugal</v>
      </c>
      <c r="AC382" s="20">
        <f>_xlfn.XLOOKUP(Table4[[#This Row],[combi]],AREA!E:E,AREA!F:F,"",0)</f>
        <v>89</v>
      </c>
      <c r="AD382" s="20" t="str">
        <f>_xlfn.XLOOKUP(Table4[[#This Row],[combi]],AREA!E:E,AREA!G:G,"",0)</f>
        <v>Pick-up service of hypothetic package as defined in the Tech. Specs. and delivery to lots
2 and 3 contractors according to Scenario 1</v>
      </c>
      <c r="AE382" s="20" t="s">
        <v>125</v>
      </c>
      <c r="AF382" s="20" t="str">
        <f>_xlfn.XLOOKUP(Table4[[#This Row],[FromSite-UPS]],sites!D:D,sites!AB:AB,"",0)&amp;_xlfn.XLOOKUP(Table4[[#This Row],[ToLab]],labs!D:D,labs!Q:Q,"",0)</f>
        <v>EUEU</v>
      </c>
    </row>
    <row r="383" spans="2:32" ht="15.6" customHeight="1" x14ac:dyDescent="0.25">
      <c r="B383" s="13">
        <v>195</v>
      </c>
      <c r="C383" s="14" t="s">
        <v>53</v>
      </c>
      <c r="D383" s="13">
        <v>1</v>
      </c>
      <c r="E383" s="79">
        <v>45951</v>
      </c>
      <c r="F383" s="80">
        <v>45952</v>
      </c>
      <c r="G383" s="13">
        <f>IFERROR(WEEKNUM(Table4[[#This Row],[Confirmed Pick-up Date]]),"TBD")</f>
        <v>43</v>
      </c>
      <c r="H383" s="13" t="str">
        <f>IFERROR(TEXT(Table4[[#This Row],[Confirmed Pick-up Date]],"yy-mm"),"TBD")</f>
        <v>25-10</v>
      </c>
      <c r="I383" s="13" t="s">
        <v>877</v>
      </c>
      <c r="J383" s="20" t="str">
        <f>IFERROR(VLOOKUP(Table4[[#This Row],[FromSite-UPS]],Table1[[#All],[Company or Name]:[FromSite3]],15,FALSE),"")</f>
        <v>Prague National Institute</v>
      </c>
      <c r="K383" s="20" t="str">
        <f>IFERROR(VLOOKUP(Table4[[#This Row],[FromSite-UPS]],Table1[[#All],[Company or Name]:[FromSite3]],16,FALSE),"")</f>
        <v>Prague WWTP FLOW 1</v>
      </c>
      <c r="L383" s="20">
        <f>IFERROR(VLOOKUP(Table4[[#This Row],[FromSite-UPS]],Table1[[#All],[Company or Name]:[FromSite3]],14,FALSE),"")</f>
        <v>0</v>
      </c>
      <c r="M383" s="13" t="s">
        <v>1011</v>
      </c>
      <c r="N383" s="20" t="s">
        <v>134</v>
      </c>
      <c r="O383" s="13" t="s">
        <v>1759</v>
      </c>
      <c r="P383" s="13"/>
      <c r="Q383" s="20"/>
      <c r="R383" s="20"/>
      <c r="S383" s="20" t="s">
        <v>125</v>
      </c>
      <c r="T383" s="20" t="s">
        <v>856</v>
      </c>
      <c r="U383" s="20"/>
      <c r="V383" s="20"/>
      <c r="W383" s="20" t="str">
        <f>TEXT(Table4[[#This Row],[Confirmed Sampling Date]], "yyyy") &amp; "_" &amp; TEXT(Table4[[#This Row],[Confirmed Sampling Date]], "mm") &amp; "_" &amp; TEXT(Table4[[#This Row],[Confirmed Sampling Date]], "dd")</f>
        <v>2025_10_21</v>
      </c>
      <c r="X383" s="20" t="str">
        <f t="shared" si="5"/>
        <v>Prague</v>
      </c>
      <c r="Y383" s="20" t="str">
        <f>VLOOKUP(Table4[[#This Row],[FromSite-UPS]],Table1[[Company or Name]:[NOTES]],2,FALSE)</f>
        <v>Czech Republic</v>
      </c>
      <c r="Z383" s="20">
        <f>IFERROR(WEEKNUM(Table4[[#This Row],[Confirmed Sampling Date]] - 10, 21), "TBD")</f>
        <v>41</v>
      </c>
      <c r="AA383" s="20" t="str">
        <f>_xlfn.XLOOKUP(Table4[[#This Row],[FromSite-UPS]],sites!D:D,sites!W:W,"",0)</f>
        <v>Šrobárova 49/48, Státní zdravotní ústav, Praha, 100 00, Czech Republic</v>
      </c>
      <c r="AB383" s="20" t="str">
        <f>_xlfn.XLOOKUP(Table4[[#This Row],[ToLab]],labs!D:D,labs!P:P,"no adres",0)</f>
        <v>Av. Rovisco Pais 1, Laboratorio de Analises de Agua, Lisbon, 1049-001, Portugal</v>
      </c>
      <c r="AC383" s="20">
        <f>_xlfn.XLOOKUP(Table4[[#This Row],[combi]],AREA!E:E,AREA!F:F,"",0)</f>
        <v>89</v>
      </c>
      <c r="AD383" s="20" t="str">
        <f>_xlfn.XLOOKUP(Table4[[#This Row],[combi]],AREA!E:E,AREA!G:G,"",0)</f>
        <v>Pick-up service of hypothetic package as defined in the Tech. Specs. and delivery to lots
2 and 3 contractors according to Scenario 1</v>
      </c>
      <c r="AE383" s="20" t="s">
        <v>125</v>
      </c>
      <c r="AF383" s="20" t="str">
        <f>_xlfn.XLOOKUP(Table4[[#This Row],[FromSite-UPS]],sites!D:D,sites!AB:AB,"",0)&amp;_xlfn.XLOOKUP(Table4[[#This Row],[ToLab]],labs!D:D,labs!Q:Q,"",0)</f>
        <v>EUEU</v>
      </c>
    </row>
    <row r="384" spans="2:32" ht="15.6" customHeight="1" x14ac:dyDescent="0.25">
      <c r="B384" s="13">
        <v>196</v>
      </c>
      <c r="C384" s="14" t="s">
        <v>53</v>
      </c>
      <c r="D384" s="13">
        <v>1</v>
      </c>
      <c r="E384" s="79">
        <v>45951</v>
      </c>
      <c r="F384" s="80">
        <v>45952</v>
      </c>
      <c r="G384" s="13">
        <f>IFERROR(WEEKNUM(Table4[[#This Row],[Confirmed Pick-up Date]]),"TBD")</f>
        <v>43</v>
      </c>
      <c r="H384" s="13" t="str">
        <f>IFERROR(TEXT(Table4[[#This Row],[Confirmed Pick-up Date]],"yy-mm"),"TBD")</f>
        <v>25-10</v>
      </c>
      <c r="I384" s="13" t="s">
        <v>877</v>
      </c>
      <c r="J384" s="20" t="str">
        <f>IFERROR(VLOOKUP(Table4[[#This Row],[FromSite-UPS]],Table1[[#All],[Company or Name]:[FromSite3]],15,FALSE),"")</f>
        <v>Prague National Institute</v>
      </c>
      <c r="K384" s="20" t="str">
        <f>IFERROR(VLOOKUP(Table4[[#This Row],[FromSite-UPS]],Table1[[#All],[Company or Name]:[FromSite3]],16,FALSE),"")</f>
        <v>Prague WWTP FLOW 1</v>
      </c>
      <c r="L384" s="20">
        <f>IFERROR(VLOOKUP(Table4[[#This Row],[FromSite-UPS]],Table1[[#All],[Company or Name]:[FromSite3]],14,FALSE),"")</f>
        <v>0</v>
      </c>
      <c r="M384" s="13" t="s">
        <v>1011</v>
      </c>
      <c r="N384" s="20" t="s">
        <v>134</v>
      </c>
      <c r="O384" s="13" t="s">
        <v>1760</v>
      </c>
      <c r="P384" s="13"/>
      <c r="Q384" s="20"/>
      <c r="R384" s="20"/>
      <c r="S384" s="20" t="s">
        <v>125</v>
      </c>
      <c r="T384" s="20" t="s">
        <v>856</v>
      </c>
      <c r="U384" s="20"/>
      <c r="V384" s="20"/>
      <c r="W384" s="20" t="str">
        <f>TEXT(Table4[[#This Row],[Confirmed Sampling Date]], "yyyy") &amp; "_" &amp; TEXT(Table4[[#This Row],[Confirmed Sampling Date]], "mm") &amp; "_" &amp; TEXT(Table4[[#This Row],[Confirmed Sampling Date]], "dd")</f>
        <v>2025_10_21</v>
      </c>
      <c r="X384" s="20" t="str">
        <f t="shared" si="5"/>
        <v>Prague</v>
      </c>
      <c r="Y384" s="20" t="str">
        <f>VLOOKUP(Table4[[#This Row],[FromSite-UPS]],Table1[[Company or Name]:[NOTES]],2,FALSE)</f>
        <v>Czech Republic</v>
      </c>
      <c r="Z384" s="20">
        <f>IFERROR(WEEKNUM(Table4[[#This Row],[Confirmed Sampling Date]] - 10, 21), "TBD")</f>
        <v>41</v>
      </c>
      <c r="AA384" s="20" t="str">
        <f>_xlfn.XLOOKUP(Table4[[#This Row],[FromSite-UPS]],sites!D:D,sites!W:W,"",0)</f>
        <v>Šrobárova 49/48, Státní zdravotní ústav, Praha, 100 00, Czech Republic</v>
      </c>
      <c r="AB384" s="20" t="str">
        <f>_xlfn.XLOOKUP(Table4[[#This Row],[ToLab]],labs!D:D,labs!P:P,"no adres",0)</f>
        <v>Av. Rovisco Pais 1, Laboratorio de Analises de Agua, Lisbon, 1049-001, Portugal</v>
      </c>
      <c r="AC384" s="20">
        <f>_xlfn.XLOOKUP(Table4[[#This Row],[combi]],AREA!E:E,AREA!F:F,"",0)</f>
        <v>89</v>
      </c>
      <c r="AD384" s="20" t="str">
        <f>_xlfn.XLOOKUP(Table4[[#This Row],[combi]],AREA!E:E,AREA!G:G,"",0)</f>
        <v>Pick-up service of hypothetic package as defined in the Tech. Specs. and delivery to lots
2 and 3 contractors according to Scenario 1</v>
      </c>
      <c r="AE384" s="20" t="s">
        <v>125</v>
      </c>
      <c r="AF384" s="20" t="str">
        <f>_xlfn.XLOOKUP(Table4[[#This Row],[FromSite-UPS]],sites!D:D,sites!AB:AB,"",0)&amp;_xlfn.XLOOKUP(Table4[[#This Row],[ToLab]],labs!D:D,labs!Q:Q,"",0)</f>
        <v>EUEU</v>
      </c>
    </row>
    <row r="385" spans="2:32" ht="15.6" hidden="1" customHeight="1" x14ac:dyDescent="0.25">
      <c r="B385" s="13">
        <v>654</v>
      </c>
      <c r="C385" s="14" t="s">
        <v>53</v>
      </c>
      <c r="D385" s="13">
        <v>1</v>
      </c>
      <c r="E385" s="83">
        <v>45936</v>
      </c>
      <c r="F385" s="83">
        <v>45937</v>
      </c>
      <c r="G385" s="20">
        <f>IFERROR(WEEKNUM(Table4[[#This Row],[Confirmed Pick-up Date]]),"TBD")</f>
        <v>41</v>
      </c>
      <c r="H385" s="20" t="str">
        <f>IFERROR(TEXT(Table4[[#This Row],[Confirmed Pick-up Date]],"yy-mm"),"TBD")</f>
        <v>25-10</v>
      </c>
      <c r="I385" s="13" t="s">
        <v>1813</v>
      </c>
      <c r="J385" s="20" t="str">
        <f>IFERROR(VLOOKUP(Table4[[#This Row],[FromSite-UPS]],Table1[[#All],[Company or Name]:[FromSite3]],15,FALSE),"")</f>
        <v>Riga WWTP</v>
      </c>
      <c r="K385" s="20" t="str">
        <f>IFERROR(VLOOKUP(Table4[[#This Row],[FromSite-UPS]],Table1[[#All],[Company or Name]:[FromSite3]],16,FALSE),"")</f>
        <v>-</v>
      </c>
      <c r="L385" s="20">
        <f>IFERROR(VLOOKUP(Table4[[#This Row],[FromSite-UPS]],Table1[[#All],[Company or Name]:[FromSite3]],14,FALSE),"")</f>
        <v>0.70833333333333337</v>
      </c>
      <c r="M385" s="13" t="s">
        <v>1011</v>
      </c>
      <c r="N385" s="20" t="s">
        <v>813</v>
      </c>
      <c r="O385" s="74" t="s">
        <v>1832</v>
      </c>
      <c r="P385" s="20" t="s">
        <v>134</v>
      </c>
      <c r="Q385" s="100" t="s">
        <v>1842</v>
      </c>
      <c r="R385" s="20"/>
      <c r="S385" s="20" t="s">
        <v>125</v>
      </c>
      <c r="T385" s="20" t="s">
        <v>856</v>
      </c>
      <c r="U385" s="20"/>
      <c r="V385" s="20"/>
      <c r="W385" s="20" t="str">
        <f>TEXT(Table4[[#This Row],[Confirmed Sampling Date]], "yyyy") &amp; "_" &amp; TEXT(Table4[[#This Row],[Confirmed Sampling Date]], "mm") &amp; "_" &amp; TEXT(Table4[[#This Row],[Confirmed Sampling Date]], "dd")</f>
        <v>2025_10_06</v>
      </c>
      <c r="X385" s="20" t="str">
        <f t="shared" si="5"/>
        <v>Riga</v>
      </c>
      <c r="Y385" s="20" t="str">
        <f>VLOOKUP(Table4[[#This Row],[FromSite-UPS]],Table1[[Company or Name]:[NOTES]],2,FALSE)</f>
        <v>Latvia</v>
      </c>
      <c r="Z385" s="20">
        <f>IFERROR(WEEKNUM(Table4[[#This Row],[Confirmed Sampling Date]] - 10, 21), "TBD")</f>
        <v>39</v>
      </c>
      <c r="AA385" s="20" t="str">
        <f>_xlfn.XLOOKUP(Table4[[#This Row],[FromSite-UPS]],sites!D:D,sites!W:W,"",0)</f>
        <v>Pilsonu iela 13, Zemgales priekšpilsēta, Rīga, LV-1002, Latvia</v>
      </c>
      <c r="AB385" s="20" t="str">
        <f>_xlfn.XLOOKUP(Table4[[#This Row],[ToLab]],labs!D:D,labs!P:P,"no adres",0)</f>
        <v>Av. Rovisco Pais 1, Laboratorio de Analises de Agua, Lisbon, 1049-001, Portugal</v>
      </c>
      <c r="AC385" s="20">
        <f>_xlfn.XLOOKUP(Table4[[#This Row],[combi]],AREA!E:E,AREA!F:F,"",0)</f>
        <v>89</v>
      </c>
      <c r="AD385" s="20" t="str">
        <f>_xlfn.XLOOKUP(Table4[[#This Row],[combi]],AREA!E:E,AREA!G:G,"",0)</f>
        <v>Pick-up service of hypothetic package as defined in the Tech. Specs. and delivery to lots
2 and 3 contractors according to Scenario 1</v>
      </c>
      <c r="AE385" s="20" t="s">
        <v>126</v>
      </c>
      <c r="AF385" s="20" t="str">
        <f>_xlfn.XLOOKUP(Table4[[#This Row],[FromSite-UPS]],sites!D:D,sites!AB:AB,"",0)&amp;_xlfn.XLOOKUP(Table4[[#This Row],[ToLab]],labs!D:D,labs!Q:Q,"",0)</f>
        <v>EUEU</v>
      </c>
    </row>
    <row r="386" spans="2:32" ht="15.6" hidden="1" customHeight="1" x14ac:dyDescent="0.25">
      <c r="B386" s="13">
        <v>141</v>
      </c>
      <c r="C386" s="14" t="s">
        <v>53</v>
      </c>
      <c r="D386" s="13">
        <v>1</v>
      </c>
      <c r="E386" s="22">
        <v>45938</v>
      </c>
      <c r="F386" s="22">
        <v>45938</v>
      </c>
      <c r="G386" s="20">
        <f>IFERROR(WEEKNUM(Table4[[#This Row],[Confirmed Pick-up Date]]),"TBD")</f>
        <v>41</v>
      </c>
      <c r="H386" s="20" t="str">
        <f>IFERROR(TEXT(Table4[[#This Row],[Confirmed Pick-up Date]],"yy-mm"),"TBD")</f>
        <v>25-10</v>
      </c>
      <c r="I386" s="13" t="s">
        <v>680</v>
      </c>
      <c r="J386" s="20" t="str">
        <f>IFERROR(VLOOKUP(Table4[[#This Row],[FromSite-UPS]],Table1[[#All],[Company or Name]:[FromSite3]],15,FALSE),"")</f>
        <v>Rome WWTP</v>
      </c>
      <c r="K386" s="20" t="str">
        <f>IFERROR(VLOOKUP(Table4[[#This Row],[FromSite-UPS]],Table1[[#All],[Company or Name]:[FromSite3]],16,FALSE),"")</f>
        <v>-</v>
      </c>
      <c r="L386" s="20">
        <f>IFERROR(VLOOKUP(Table4[[#This Row],[FromSite-UPS]],Table1[[#All],[Company or Name]:[FromSite3]],14,FALSE),"")</f>
        <v>0.70833333333333337</v>
      </c>
      <c r="M386" s="13" t="s">
        <v>1011</v>
      </c>
      <c r="N386" s="20" t="s">
        <v>813</v>
      </c>
      <c r="O386" s="13" t="s">
        <v>1695</v>
      </c>
      <c r="P386" s="13" t="s">
        <v>134</v>
      </c>
      <c r="Q386" s="20" t="s">
        <v>1855</v>
      </c>
      <c r="R386" s="20" t="s">
        <v>1726</v>
      </c>
      <c r="S386" s="20" t="s">
        <v>125</v>
      </c>
      <c r="T386" s="20" t="s">
        <v>856</v>
      </c>
      <c r="U386" s="20"/>
      <c r="V386" s="20"/>
      <c r="W386" s="20" t="str">
        <f>TEXT(Table4[[#This Row],[Confirmed Sampling Date]], "yyyy") &amp; "_" &amp; TEXT(Table4[[#This Row],[Confirmed Sampling Date]], "mm") &amp; "_" &amp; TEXT(Table4[[#This Row],[Confirmed Sampling Date]], "dd")</f>
        <v>2025_10_08</v>
      </c>
      <c r="X386" s="20" t="str">
        <f t="shared" si="5"/>
        <v>Rome</v>
      </c>
      <c r="Y386" s="20" t="str">
        <f>VLOOKUP(Table4[[#This Row],[FromSite-UPS]],Table1[[Company or Name]:[NOTES]],2,FALSE)</f>
        <v>Italy</v>
      </c>
      <c r="Z386" s="20">
        <f>IFERROR(WEEKNUM(Table4[[#This Row],[Confirmed Sampling Date]] - 10, 21), "TBD")</f>
        <v>39</v>
      </c>
      <c r="AA386" s="20" t="str">
        <f>_xlfn.XLOOKUP(Table4[[#This Row],[FromSite-UPS]],sites!D:D,sites!W:W,"",0)</f>
        <v>Via dell'Equitazione 10, Rome, 00144, Italy</v>
      </c>
      <c r="AB386" s="20" t="str">
        <f>_xlfn.XLOOKUP(Table4[[#This Row],[ToLab]],labs!D:D,labs!P:P,"no adres",0)</f>
        <v>Av. Rovisco Pais 1, Laboratorio de Analises de Agua, Lisbon, 1049-001, Portugal</v>
      </c>
      <c r="AC386" s="20">
        <f>_xlfn.XLOOKUP(Table4[[#This Row],[combi]],AREA!E:E,AREA!F:F,"",0)</f>
        <v>89</v>
      </c>
      <c r="AD386" s="20" t="str">
        <f>_xlfn.XLOOKUP(Table4[[#This Row],[combi]],AREA!E:E,AREA!G:G,"",0)</f>
        <v>Pick-up service of hypothetic package as defined in the Tech. Specs. and delivery to lots
2 and 3 contractors according to Scenario 1</v>
      </c>
      <c r="AE386" s="20" t="s">
        <v>125</v>
      </c>
      <c r="AF386" s="20" t="str">
        <f>_xlfn.XLOOKUP(Table4[[#This Row],[FromSite-UPS]],sites!D:D,sites!AB:AB,"",0)&amp;_xlfn.XLOOKUP(Table4[[#This Row],[ToLab]],labs!D:D,labs!Q:Q,"",0)</f>
        <v>EUEU</v>
      </c>
    </row>
    <row r="387" spans="2:32" ht="15.6" customHeight="1" x14ac:dyDescent="0.25">
      <c r="B387" s="13">
        <v>142</v>
      </c>
      <c r="C387" s="14" t="s">
        <v>53</v>
      </c>
      <c r="D387" s="13">
        <v>1</v>
      </c>
      <c r="E387" s="79">
        <v>45952</v>
      </c>
      <c r="F387" s="80">
        <v>45952</v>
      </c>
      <c r="G387" s="13">
        <f>IFERROR(WEEKNUM(Table4[[#This Row],[Confirmed Pick-up Date]]),"TBD")</f>
        <v>43</v>
      </c>
      <c r="H387" s="13" t="str">
        <f>IFERROR(TEXT(Table4[[#This Row],[Confirmed Pick-up Date]],"yy-mm"),"TBD")</f>
        <v>25-10</v>
      </c>
      <c r="I387" s="13" t="s">
        <v>680</v>
      </c>
      <c r="J387" s="20" t="str">
        <f>IFERROR(VLOOKUP(Table4[[#This Row],[FromSite-UPS]],Table1[[#All],[Company or Name]:[FromSite3]],15,FALSE),"")</f>
        <v>Rome WWTP</v>
      </c>
      <c r="K387" s="20" t="str">
        <f>IFERROR(VLOOKUP(Table4[[#This Row],[FromSite-UPS]],Table1[[#All],[Company or Name]:[FromSite3]],16,FALSE),"")</f>
        <v>-</v>
      </c>
      <c r="L387" s="20">
        <f>IFERROR(VLOOKUP(Table4[[#This Row],[FromSite-UPS]],Table1[[#All],[Company or Name]:[FromSite3]],14,FALSE),"")</f>
        <v>0.70833333333333337</v>
      </c>
      <c r="M387" s="13" t="s">
        <v>1011</v>
      </c>
      <c r="N387" s="20" t="s">
        <v>134</v>
      </c>
      <c r="O387" s="13" t="s">
        <v>1764</v>
      </c>
      <c r="P387" s="13"/>
      <c r="Q387" s="20"/>
      <c r="R387" s="20"/>
      <c r="S387" s="20" t="s">
        <v>125</v>
      </c>
      <c r="T387" s="20" t="s">
        <v>856</v>
      </c>
      <c r="U387" s="20"/>
      <c r="V387" s="20"/>
      <c r="W387" s="20" t="str">
        <f>TEXT(Table4[[#This Row],[Confirmed Sampling Date]], "yyyy") &amp; "_" &amp; TEXT(Table4[[#This Row],[Confirmed Sampling Date]], "mm") &amp; "_" &amp; TEXT(Table4[[#This Row],[Confirmed Sampling Date]], "dd")</f>
        <v>2025_10_22</v>
      </c>
      <c r="X387" s="20" t="str">
        <f t="shared" si="5"/>
        <v>Rome</v>
      </c>
      <c r="Y387" s="20" t="str">
        <f>VLOOKUP(Table4[[#This Row],[FromSite-UPS]],Table1[[Company or Name]:[NOTES]],2,FALSE)</f>
        <v>Italy</v>
      </c>
      <c r="Z387" s="20">
        <f>IFERROR(WEEKNUM(Table4[[#This Row],[Confirmed Sampling Date]] - 10, 21), "TBD")</f>
        <v>41</v>
      </c>
      <c r="AA387" s="20" t="str">
        <f>_xlfn.XLOOKUP(Table4[[#This Row],[FromSite-UPS]],sites!D:D,sites!W:W,"",0)</f>
        <v>Via dell'Equitazione 10, Rome, 00144, Italy</v>
      </c>
      <c r="AB387" s="20" t="str">
        <f>_xlfn.XLOOKUP(Table4[[#This Row],[ToLab]],labs!D:D,labs!P:P,"no adres",0)</f>
        <v>Av. Rovisco Pais 1, Laboratorio de Analises de Agua, Lisbon, 1049-001, Portugal</v>
      </c>
      <c r="AC387" s="20">
        <f>_xlfn.XLOOKUP(Table4[[#This Row],[combi]],AREA!E:E,AREA!F:F,"",0)</f>
        <v>89</v>
      </c>
      <c r="AD387" s="20" t="str">
        <f>_xlfn.XLOOKUP(Table4[[#This Row],[combi]],AREA!E:E,AREA!G:G,"",0)</f>
        <v>Pick-up service of hypothetic package as defined in the Tech. Specs. and delivery to lots
2 and 3 contractors according to Scenario 1</v>
      </c>
      <c r="AE387" s="20" t="s">
        <v>125</v>
      </c>
      <c r="AF387" s="20" t="str">
        <f>_xlfn.XLOOKUP(Table4[[#This Row],[FromSite-UPS]],sites!D:D,sites!AB:AB,"",0)&amp;_xlfn.XLOOKUP(Table4[[#This Row],[ToLab]],labs!D:D,labs!Q:Q,"",0)</f>
        <v>EUEU</v>
      </c>
    </row>
    <row r="388" spans="2:32" ht="15.6" hidden="1" customHeight="1" x14ac:dyDescent="0.25">
      <c r="B388" s="13">
        <v>155</v>
      </c>
      <c r="C388" s="14" t="s">
        <v>53</v>
      </c>
      <c r="D388" s="13">
        <v>1</v>
      </c>
      <c r="E388" s="22">
        <v>45938</v>
      </c>
      <c r="F388" s="22">
        <v>45938</v>
      </c>
      <c r="G388" s="20">
        <f>IFERROR(WEEKNUM(Table4[[#This Row],[Confirmed Pick-up Date]]),"TBD")</f>
        <v>41</v>
      </c>
      <c r="H388" s="20" t="str">
        <f>IFERROR(TEXT(Table4[[#This Row],[Confirmed Pick-up Date]],"yy-mm"),"TBD")</f>
        <v>25-10</v>
      </c>
      <c r="I388" s="64" t="s">
        <v>771</v>
      </c>
      <c r="J388" s="20" t="str">
        <f>IFERROR(VLOOKUP(Table4[[#This Row],[FromSite-UPS]],Table1[[#All],[Company or Name]:[FromSite3]],15,FALSE),"")</f>
        <v>RomeAirport</v>
      </c>
      <c r="K388" s="20" t="str">
        <f>IFERROR(VLOOKUP(Table4[[#This Row],[FromSite-UPS]],Table1[[#All],[Company or Name]:[FromSite3]],16,FALSE),"")</f>
        <v>-</v>
      </c>
      <c r="L388" s="20">
        <f>IFERROR(VLOOKUP(Table4[[#This Row],[FromSite-UPS]],Table1[[#All],[Company or Name]:[FromSite3]],14,FALSE),"")</f>
        <v>0.70833333333333337</v>
      </c>
      <c r="M388" s="13" t="s">
        <v>1011</v>
      </c>
      <c r="N388" s="20" t="s">
        <v>813</v>
      </c>
      <c r="O388" s="13" t="s">
        <v>1696</v>
      </c>
      <c r="P388" s="64" t="s">
        <v>134</v>
      </c>
      <c r="Q388" s="20" t="s">
        <v>1856</v>
      </c>
      <c r="R388" s="20" t="s">
        <v>1727</v>
      </c>
      <c r="S388" s="20" t="s">
        <v>125</v>
      </c>
      <c r="T388" s="20" t="s">
        <v>856</v>
      </c>
      <c r="U388" s="20"/>
      <c r="V388" s="20"/>
      <c r="W388" s="20" t="str">
        <f>TEXT(Table4[[#This Row],[Confirmed Sampling Date]], "yyyy") &amp; "_" &amp; TEXT(Table4[[#This Row],[Confirmed Sampling Date]], "mm") &amp; "_" &amp; TEXT(Table4[[#This Row],[Confirmed Sampling Date]], "dd")</f>
        <v>2025_10_08</v>
      </c>
      <c r="X388" s="20" t="str">
        <f t="shared" si="5"/>
        <v>RomeAirport</v>
      </c>
      <c r="Y388" s="20" t="str">
        <f>VLOOKUP(Table4[[#This Row],[FromSite-UPS]],Table1[[Company or Name]:[NOTES]],2,FALSE)</f>
        <v>Italy</v>
      </c>
      <c r="Z388" s="20">
        <f>IFERROR(WEEKNUM(Table4[[#This Row],[Confirmed Sampling Date]] - 10, 21), "TBD")</f>
        <v>39</v>
      </c>
      <c r="AA388" s="20" t="str">
        <f>_xlfn.XLOOKUP(Table4[[#This Row],[FromSite-UPS]],sites!D:D,sites!W:W,"",0)</f>
        <v>VIA FRATELLI WRIGHT (DEPURATORE BIOLOGICO), FIUMICINO, 00054, Italy</v>
      </c>
      <c r="AB388" s="20" t="str">
        <f>_xlfn.XLOOKUP(Table4[[#This Row],[ToLab]],labs!D:D,labs!P:P,"no adres",0)</f>
        <v>Av. Rovisco Pais 1, Laboratorio de Analises de Agua, Lisbon, 1049-001, Portugal</v>
      </c>
      <c r="AC388" s="20">
        <f>_xlfn.XLOOKUP(Table4[[#This Row],[combi]],AREA!E:E,AREA!F:F,"",0)</f>
        <v>89</v>
      </c>
      <c r="AD388" s="20" t="str">
        <f>_xlfn.XLOOKUP(Table4[[#This Row],[combi]],AREA!E:E,AREA!G:G,"",0)</f>
        <v>Pick-up service of hypothetic package as defined in the Tech. Specs. and delivery to lots
2 and 3 contractors according to Scenario 1</v>
      </c>
      <c r="AE388" s="20" t="s">
        <v>125</v>
      </c>
      <c r="AF388" s="20" t="str">
        <f>_xlfn.XLOOKUP(Table4[[#This Row],[FromSite-UPS]],sites!D:D,sites!AB:AB,"",0)&amp;_xlfn.XLOOKUP(Table4[[#This Row],[ToLab]],labs!D:D,labs!Q:Q,"",0)</f>
        <v>EUEU</v>
      </c>
    </row>
    <row r="389" spans="2:32" ht="15.6" customHeight="1" x14ac:dyDescent="0.25">
      <c r="B389" s="13">
        <v>156</v>
      </c>
      <c r="C389" s="14" t="s">
        <v>53</v>
      </c>
      <c r="D389" s="13">
        <v>1</v>
      </c>
      <c r="E389" s="79">
        <v>45952</v>
      </c>
      <c r="F389" s="81">
        <v>45952</v>
      </c>
      <c r="G389" s="13">
        <f>IFERROR(WEEKNUM(Table4[[#This Row],[Confirmed Pick-up Date]]),"TBD")</f>
        <v>43</v>
      </c>
      <c r="H389" s="13" t="str">
        <f>IFERROR(TEXT(Table4[[#This Row],[Confirmed Pick-up Date]],"yy-mm"),"TBD")</f>
        <v>25-10</v>
      </c>
      <c r="I389" s="64" t="s">
        <v>771</v>
      </c>
      <c r="J389" s="20" t="str">
        <f>IFERROR(VLOOKUP(Table4[[#This Row],[FromSite-UPS]],Table1[[#All],[Company or Name]:[FromSite3]],15,FALSE),"")</f>
        <v>RomeAirport</v>
      </c>
      <c r="K389" s="20" t="str">
        <f>IFERROR(VLOOKUP(Table4[[#This Row],[FromSite-UPS]],Table1[[#All],[Company or Name]:[FromSite3]],16,FALSE),"")</f>
        <v>-</v>
      </c>
      <c r="L389" s="20">
        <f>IFERROR(VLOOKUP(Table4[[#This Row],[FromSite-UPS]],Table1[[#All],[Company or Name]:[FromSite3]],14,FALSE),"")</f>
        <v>0.70833333333333337</v>
      </c>
      <c r="M389" s="13" t="s">
        <v>1011</v>
      </c>
      <c r="N389" s="20" t="s">
        <v>134</v>
      </c>
      <c r="O389" s="13" t="s">
        <v>1752</v>
      </c>
      <c r="P389" s="13"/>
      <c r="Q389" s="20"/>
      <c r="R389" s="20"/>
      <c r="S389" s="20" t="s">
        <v>125</v>
      </c>
      <c r="T389" s="20" t="s">
        <v>856</v>
      </c>
      <c r="U389" s="20"/>
      <c r="V389" s="20"/>
      <c r="W389" s="20" t="str">
        <f>TEXT(Table4[[#This Row],[Confirmed Sampling Date]], "yyyy") &amp; "_" &amp; TEXT(Table4[[#This Row],[Confirmed Sampling Date]], "mm") &amp; "_" &amp; TEXT(Table4[[#This Row],[Confirmed Sampling Date]], "dd")</f>
        <v>2025_10_22</v>
      </c>
      <c r="X389" s="20" t="str">
        <f t="shared" ref="X389:X452" si="6">IFERROR(LEFT(J389, FIND(" ", J389) - 1), J389)</f>
        <v>RomeAirport</v>
      </c>
      <c r="Y389" s="20" t="str">
        <f>VLOOKUP(Table4[[#This Row],[FromSite-UPS]],Table1[[Company or Name]:[NOTES]],2,FALSE)</f>
        <v>Italy</v>
      </c>
      <c r="Z389" s="20">
        <f>IFERROR(WEEKNUM(Table4[[#This Row],[Confirmed Sampling Date]] - 10, 21), "TBD")</f>
        <v>41</v>
      </c>
      <c r="AA389" s="20" t="str">
        <f>_xlfn.XLOOKUP(Table4[[#This Row],[FromSite-UPS]],sites!D:D,sites!W:W,"",0)</f>
        <v>VIA FRATELLI WRIGHT (DEPURATORE BIOLOGICO), FIUMICINO, 00054, Italy</v>
      </c>
      <c r="AB389" s="20" t="str">
        <f>_xlfn.XLOOKUP(Table4[[#This Row],[ToLab]],labs!D:D,labs!P:P,"no adres",0)</f>
        <v>Av. Rovisco Pais 1, Laboratorio de Analises de Agua, Lisbon, 1049-001, Portugal</v>
      </c>
      <c r="AC389" s="20">
        <f>_xlfn.XLOOKUP(Table4[[#This Row],[combi]],AREA!E:E,AREA!F:F,"",0)</f>
        <v>89</v>
      </c>
      <c r="AD389" s="20" t="str">
        <f>_xlfn.XLOOKUP(Table4[[#This Row],[combi]],AREA!E:E,AREA!G:G,"",0)</f>
        <v>Pick-up service of hypothetic package as defined in the Tech. Specs. and delivery to lots
2 and 3 contractors according to Scenario 1</v>
      </c>
      <c r="AE389" s="20" t="s">
        <v>125</v>
      </c>
      <c r="AF389" s="20" t="str">
        <f>_xlfn.XLOOKUP(Table4[[#This Row],[FromSite-UPS]],sites!D:D,sites!AB:AB,"",0)&amp;_xlfn.XLOOKUP(Table4[[#This Row],[ToLab]],labs!D:D,labs!Q:Q,"",0)</f>
        <v>EUEU</v>
      </c>
    </row>
    <row r="390" spans="2:32" ht="15.6" hidden="1" customHeight="1" x14ac:dyDescent="0.25">
      <c r="B390" s="13">
        <v>505</v>
      </c>
      <c r="C390" s="14" t="s">
        <v>53</v>
      </c>
      <c r="D390" s="13">
        <v>1</v>
      </c>
      <c r="E390" s="83">
        <v>45936</v>
      </c>
      <c r="F390" s="83">
        <v>45939</v>
      </c>
      <c r="G390" s="20">
        <f>IFERROR(WEEKNUM(Table4[[#This Row],[Confirmed Pick-up Date]]),"TBD")</f>
        <v>41</v>
      </c>
      <c r="H390" s="20" t="str">
        <f>IFERROR(TEXT(Table4[[#This Row],[Confirmed Pick-up Date]],"yy-mm"),"TBD")</f>
        <v>25-10</v>
      </c>
      <c r="I390" s="78" t="s">
        <v>1114</v>
      </c>
      <c r="J390" s="20" t="str">
        <f>IFERROR(VLOOKUP(Table4[[#This Row],[FromSite-UPS]],Table1[[#All],[Company or Name]:[FromSite3]],15,FALSE),"")</f>
        <v>Uppsala WWTP</v>
      </c>
      <c r="K390" s="20" t="str">
        <f>IFERROR(VLOOKUP(Table4[[#This Row],[FromSite-UPS]],Table1[[#All],[Company or Name]:[FromSite3]],16,FALSE),"")</f>
        <v>-</v>
      </c>
      <c r="L390" s="20">
        <f>IFERROR(VLOOKUP(Table4[[#This Row],[FromSite-UPS]],Table1[[#All],[Company or Name]:[FromSite3]],14,FALSE),"")</f>
        <v>0.58333333333333337</v>
      </c>
      <c r="M390" s="13" t="s">
        <v>1011</v>
      </c>
      <c r="N390" s="20" t="s">
        <v>813</v>
      </c>
      <c r="O390" s="20" t="s">
        <v>1701</v>
      </c>
      <c r="P390" s="20" t="s">
        <v>134</v>
      </c>
      <c r="Q390" s="37" t="s">
        <v>1859</v>
      </c>
      <c r="R390" s="20" t="s">
        <v>1728</v>
      </c>
      <c r="S390" s="20" t="s">
        <v>125</v>
      </c>
      <c r="T390" s="20" t="s">
        <v>856</v>
      </c>
      <c r="U390" s="20"/>
      <c r="V390" s="20"/>
      <c r="W390" s="20" t="str">
        <f>TEXT(Table4[[#This Row],[Confirmed Sampling Date]], "yyyy") &amp; "_" &amp; TEXT(Table4[[#This Row],[Confirmed Sampling Date]], "mm") &amp; "_" &amp; TEXT(Table4[[#This Row],[Confirmed Sampling Date]], "dd")</f>
        <v>2025_10_06</v>
      </c>
      <c r="X390" s="20" t="str">
        <f t="shared" si="6"/>
        <v>Uppsala</v>
      </c>
      <c r="Y390" s="20" t="str">
        <f>VLOOKUP(Table4[[#This Row],[FromSite-UPS]],Table1[[Company or Name]:[NOTES]],2,FALSE)</f>
        <v>Sweden</v>
      </c>
      <c r="Z390" s="20">
        <f>IFERROR(WEEKNUM(Table4[[#This Row],[Confirmed Sampling Date]] - 10, 21), "TBD")</f>
        <v>39</v>
      </c>
      <c r="AA390" s="20" t="str">
        <f>_xlfn.XLOOKUP(Table4[[#This Row],[FromSite-UPS]],sites!D:D,sites!W:W,"",0)</f>
        <v>Gerda Nilssons väg 5, Uppsala, 756 51, Sweden</v>
      </c>
      <c r="AB390" s="20" t="str">
        <f>_xlfn.XLOOKUP(Table4[[#This Row],[ToLab]],labs!D:D,labs!P:P,"no adres",0)</f>
        <v>Av. Rovisco Pais 1, Laboratorio de Analises de Agua, Lisbon, 1049-001, Portugal</v>
      </c>
      <c r="AC390" s="20">
        <f>_xlfn.XLOOKUP(Table4[[#This Row],[combi]],AREA!E:E,AREA!F:F,"",0)</f>
        <v>89</v>
      </c>
      <c r="AD390" s="20" t="str">
        <f>_xlfn.XLOOKUP(Table4[[#This Row],[combi]],AREA!E:E,AREA!G:G,"",0)</f>
        <v>Pick-up service of hypothetic package as defined in the Tech. Specs. and delivery to lots
2 and 3 contractors according to Scenario 1</v>
      </c>
      <c r="AE390" s="20" t="s">
        <v>125</v>
      </c>
      <c r="AF390" s="20" t="str">
        <f>_xlfn.XLOOKUP(Table4[[#This Row],[FromSite-UPS]],sites!D:D,sites!AB:AB,"",0)&amp;_xlfn.XLOOKUP(Table4[[#This Row],[ToLab]],labs!D:D,labs!Q:Q,"",0)</f>
        <v>EUEU</v>
      </c>
    </row>
    <row r="391" spans="2:32" ht="15.6" customHeight="1" x14ac:dyDescent="0.25">
      <c r="B391" s="13">
        <v>506</v>
      </c>
      <c r="C391" s="14" t="s">
        <v>53</v>
      </c>
      <c r="D391" s="13">
        <v>1</v>
      </c>
      <c r="E391" s="79">
        <v>45950</v>
      </c>
      <c r="F391" s="80">
        <v>45953</v>
      </c>
      <c r="G391" s="13">
        <f>IFERROR(WEEKNUM(Table4[[#This Row],[Confirmed Pick-up Date]]),"TBD")</f>
        <v>43</v>
      </c>
      <c r="H391" s="13" t="str">
        <f>IFERROR(TEXT(Table4[[#This Row],[Confirmed Pick-up Date]],"yy-mm"),"TBD")</f>
        <v>25-10</v>
      </c>
      <c r="I391" s="78" t="s">
        <v>1114</v>
      </c>
      <c r="J391" s="20" t="str">
        <f>IFERROR(VLOOKUP(Table4[[#This Row],[FromSite-UPS]],Table1[[#All],[Company or Name]:[FromSite3]],15,FALSE),"")</f>
        <v>Uppsala WWTP</v>
      </c>
      <c r="K391" s="20" t="str">
        <f>IFERROR(VLOOKUP(Table4[[#This Row],[FromSite-UPS]],Table1[[#All],[Company or Name]:[FromSite3]],16,FALSE),"")</f>
        <v>-</v>
      </c>
      <c r="L391" s="20">
        <f>IFERROR(VLOOKUP(Table4[[#This Row],[FromSite-UPS]],Table1[[#All],[Company or Name]:[FromSite3]],14,FALSE),"")</f>
        <v>0.58333333333333337</v>
      </c>
      <c r="M391" s="13" t="s">
        <v>1011</v>
      </c>
      <c r="N391" s="20" t="s">
        <v>134</v>
      </c>
      <c r="O391" s="20" t="s">
        <v>1767</v>
      </c>
      <c r="P391" s="20"/>
      <c r="Q391" s="20"/>
      <c r="R391" s="20"/>
      <c r="S391" s="20" t="s">
        <v>125</v>
      </c>
      <c r="T391" s="20" t="s">
        <v>856</v>
      </c>
      <c r="U391" s="20"/>
      <c r="V391" s="20"/>
      <c r="W391" s="20" t="str">
        <f>TEXT(Table4[[#This Row],[Confirmed Sampling Date]], "yyyy") &amp; "_" &amp; TEXT(Table4[[#This Row],[Confirmed Sampling Date]], "mm") &amp; "_" &amp; TEXT(Table4[[#This Row],[Confirmed Sampling Date]], "dd")</f>
        <v>2025_10_20</v>
      </c>
      <c r="X391" s="20" t="str">
        <f t="shared" si="6"/>
        <v>Uppsala</v>
      </c>
      <c r="Y391" s="20" t="str">
        <f>VLOOKUP(Table4[[#This Row],[FromSite-UPS]],Table1[[Company or Name]:[NOTES]],2,FALSE)</f>
        <v>Sweden</v>
      </c>
      <c r="Z391" s="20">
        <f>IFERROR(WEEKNUM(Table4[[#This Row],[Confirmed Sampling Date]] - 10, 21), "TBD")</f>
        <v>41</v>
      </c>
      <c r="AA391" s="20" t="str">
        <f>_xlfn.XLOOKUP(Table4[[#This Row],[FromSite-UPS]],sites!D:D,sites!W:W,"",0)</f>
        <v>Gerda Nilssons väg 5, Uppsala, 756 51, Sweden</v>
      </c>
      <c r="AB391" s="20" t="str">
        <f>_xlfn.XLOOKUP(Table4[[#This Row],[ToLab]],labs!D:D,labs!P:P,"no adres",0)</f>
        <v>Av. Rovisco Pais 1, Laboratorio de Analises de Agua, Lisbon, 1049-001, Portugal</v>
      </c>
      <c r="AC391" s="20">
        <f>_xlfn.XLOOKUP(Table4[[#This Row],[combi]],AREA!E:E,AREA!F:F,"",0)</f>
        <v>89</v>
      </c>
      <c r="AD391" s="20" t="str">
        <f>_xlfn.XLOOKUP(Table4[[#This Row],[combi]],AREA!E:E,AREA!G:G,"",0)</f>
        <v>Pick-up service of hypothetic package as defined in the Tech. Specs. and delivery to lots
2 and 3 contractors according to Scenario 1</v>
      </c>
      <c r="AE391" s="20" t="s">
        <v>125</v>
      </c>
      <c r="AF391" s="20" t="str">
        <f>_xlfn.XLOOKUP(Table4[[#This Row],[FromSite-UPS]],sites!D:D,sites!AB:AB,"",0)&amp;_xlfn.XLOOKUP(Table4[[#This Row],[ToLab]],labs!D:D,labs!Q:Q,"",0)</f>
        <v>EUEU</v>
      </c>
    </row>
    <row r="392" spans="2:32" ht="15.6" hidden="1" customHeight="1" x14ac:dyDescent="0.25">
      <c r="B392" s="13">
        <v>274</v>
      </c>
      <c r="C392" s="14" t="s">
        <v>53</v>
      </c>
      <c r="D392" s="13">
        <v>1</v>
      </c>
      <c r="E392" s="83">
        <v>45937</v>
      </c>
      <c r="F392" s="83">
        <v>45938</v>
      </c>
      <c r="G392" s="20">
        <f>IFERROR(WEEKNUM(Table4[[#This Row],[Confirmed Pick-up Date]]),"TBD")</f>
        <v>41</v>
      </c>
      <c r="H392" s="20" t="str">
        <f>IFERROR(TEXT(Table4[[#This Row],[Confirmed Pick-up Date]],"yy-mm"),"TBD")</f>
        <v>25-10</v>
      </c>
      <c r="I392" s="13" t="s">
        <v>975</v>
      </c>
      <c r="J392" s="20" t="str">
        <f>IFERROR(VLOOKUP(Table4[[#This Row],[FromSite-UPS]],Table1[[#All],[Company or Name]:[FromSite3]],15,FALSE),"")</f>
        <v>Vilnius WWTP</v>
      </c>
      <c r="K392" s="20" t="str">
        <f>IFERROR(VLOOKUP(Table4[[#This Row],[FromSite-UPS]],Table1[[#All],[Company or Name]:[FromSite3]],16,FALSE),"")</f>
        <v>Vilnius Bus Terminal</v>
      </c>
      <c r="L392" s="20">
        <f>IFERROR(VLOOKUP(Table4[[#This Row],[FromSite-UPS]],Table1[[#All],[Company or Name]:[FromSite3]],14,FALSE),"")</f>
        <v>0.58333333333333337</v>
      </c>
      <c r="M392" s="13" t="s">
        <v>1011</v>
      </c>
      <c r="N392" s="20" t="s">
        <v>813</v>
      </c>
      <c r="O392" s="20" t="s">
        <v>1692</v>
      </c>
      <c r="P392" s="65" t="s">
        <v>134</v>
      </c>
      <c r="Q392" s="121" t="s">
        <v>1854</v>
      </c>
      <c r="R392" s="20" t="s">
        <v>1735</v>
      </c>
      <c r="S392" s="20" t="s">
        <v>125</v>
      </c>
      <c r="T392" s="20" t="s">
        <v>856</v>
      </c>
      <c r="U392" s="20"/>
      <c r="V392" s="20"/>
      <c r="W392" s="20" t="str">
        <f>TEXT(Table4[[#This Row],[Confirmed Sampling Date]], "yyyy") &amp; "_" &amp; TEXT(Table4[[#This Row],[Confirmed Sampling Date]], "mm") &amp; "_" &amp; TEXT(Table4[[#This Row],[Confirmed Sampling Date]], "dd")</f>
        <v>2025_10_07</v>
      </c>
      <c r="X392" s="20" t="str">
        <f t="shared" si="6"/>
        <v>Vilnius</v>
      </c>
      <c r="Y392" s="20" t="str">
        <f>VLOOKUP(Table4[[#This Row],[FromSite-UPS]],Table1[[Company or Name]:[NOTES]],2,FALSE)</f>
        <v>Lithuania</v>
      </c>
      <c r="Z392" s="20">
        <f>IFERROR(WEEKNUM(Table4[[#This Row],[Confirmed Sampling Date]] - 10, 21), "TBD")</f>
        <v>39</v>
      </c>
      <c r="AA392" s="20" t="str">
        <f>_xlfn.XLOOKUP(Table4[[#This Row],[FromSite-UPS]],sites!D:D,sites!W:W,"",0)</f>
        <v>Zolyno 36 gatve, Vilnius, 10210, Lithuania</v>
      </c>
      <c r="AB392" s="20" t="str">
        <f>_xlfn.XLOOKUP(Table4[[#This Row],[ToLab]],labs!D:D,labs!P:P,"no adres",0)</f>
        <v>Av. Rovisco Pais 1, Laboratorio de Analises de Agua, Lisbon, 1049-001, Portugal</v>
      </c>
      <c r="AC392" s="20">
        <f>_xlfn.XLOOKUP(Table4[[#This Row],[combi]],AREA!E:E,AREA!F:F,"",0)</f>
        <v>89</v>
      </c>
      <c r="AD392" s="20" t="str">
        <f>_xlfn.XLOOKUP(Table4[[#This Row],[combi]],AREA!E:E,AREA!G:G,"",0)</f>
        <v>Pick-up service of hypothetic package as defined in the Tech. Specs. and delivery to lots
2 and 3 contractors according to Scenario 1</v>
      </c>
      <c r="AE392" s="20" t="s">
        <v>125</v>
      </c>
      <c r="AF392" s="20" t="str">
        <f>_xlfn.XLOOKUP(Table4[[#This Row],[FromSite-UPS]],sites!D:D,sites!AB:AB,"",0)&amp;_xlfn.XLOOKUP(Table4[[#This Row],[ToLab]],labs!D:D,labs!Q:Q,"",0)</f>
        <v>EUEU</v>
      </c>
    </row>
    <row r="393" spans="2:32" ht="15.6" hidden="1" customHeight="1" x14ac:dyDescent="0.25">
      <c r="B393" s="13">
        <v>285</v>
      </c>
      <c r="C393" s="14" t="s">
        <v>53</v>
      </c>
      <c r="D393" s="13">
        <v>1</v>
      </c>
      <c r="E393" s="83">
        <v>45937</v>
      </c>
      <c r="F393" s="83">
        <v>45938</v>
      </c>
      <c r="G393" s="20">
        <f>IFERROR(WEEKNUM(Table4[[#This Row],[Confirmed Pick-up Date]]),"TBD")</f>
        <v>41</v>
      </c>
      <c r="H393" s="20" t="str">
        <f>IFERROR(TEXT(Table4[[#This Row],[Confirmed Pick-up Date]],"yy-mm"),"TBD")</f>
        <v>25-10</v>
      </c>
      <c r="I393" s="13" t="s">
        <v>975</v>
      </c>
      <c r="J393" s="20" t="str">
        <f>IFERROR(VLOOKUP(Table4[[#This Row],[FromSite-UPS]],Table1[[#All],[Company or Name]:[FromSite3]],15,FALSE),"")</f>
        <v>Vilnius WWTP</v>
      </c>
      <c r="K393" s="20" t="str">
        <f>IFERROR(VLOOKUP(Table4[[#This Row],[FromSite-UPS]],Table1[[#All],[Company or Name]:[FromSite3]],16,FALSE),"")</f>
        <v>Vilnius Bus Terminal</v>
      </c>
      <c r="L393" s="20">
        <f>IFERROR(VLOOKUP(Table4[[#This Row],[FromSite-UPS]],Table1[[#All],[Company or Name]:[FromSite3]],14,FALSE),"")</f>
        <v>0.58333333333333337</v>
      </c>
      <c r="M393" s="13" t="s">
        <v>1011</v>
      </c>
      <c r="N393" s="20" t="s">
        <v>813</v>
      </c>
      <c r="O393" s="20" t="s">
        <v>1693</v>
      </c>
      <c r="P393" s="20" t="s">
        <v>134</v>
      </c>
      <c r="Q393" s="37" t="s">
        <v>1854</v>
      </c>
      <c r="R393" s="20"/>
      <c r="S393" s="20" t="s">
        <v>125</v>
      </c>
      <c r="T393" s="20" t="s">
        <v>856</v>
      </c>
      <c r="U393" s="20"/>
      <c r="V393" s="20"/>
      <c r="W393" s="20" t="str">
        <f>TEXT(Table4[[#This Row],[Confirmed Sampling Date]], "yyyy") &amp; "_" &amp; TEXT(Table4[[#This Row],[Confirmed Sampling Date]], "mm") &amp; "_" &amp; TEXT(Table4[[#This Row],[Confirmed Sampling Date]], "dd")</f>
        <v>2025_10_07</v>
      </c>
      <c r="X393" s="20" t="str">
        <f t="shared" si="6"/>
        <v>Vilnius</v>
      </c>
      <c r="Y393" s="20" t="str">
        <f>VLOOKUP(Table4[[#This Row],[FromSite-UPS]],Table1[[Company or Name]:[NOTES]],2,FALSE)</f>
        <v>Lithuania</v>
      </c>
      <c r="Z393" s="20">
        <f>IFERROR(WEEKNUM(Table4[[#This Row],[Confirmed Sampling Date]] - 10, 21), "TBD")</f>
        <v>39</v>
      </c>
      <c r="AA393" s="20" t="str">
        <f>_xlfn.XLOOKUP(Table4[[#This Row],[FromSite-UPS]],sites!D:D,sites!W:W,"",0)</f>
        <v>Zolyno 36 gatve, Vilnius, 10210, Lithuania</v>
      </c>
      <c r="AB393" s="20" t="str">
        <f>_xlfn.XLOOKUP(Table4[[#This Row],[ToLab]],labs!D:D,labs!P:P,"no adres",0)</f>
        <v>Av. Rovisco Pais 1, Laboratorio de Analises de Agua, Lisbon, 1049-001, Portugal</v>
      </c>
      <c r="AC393" s="20">
        <f>_xlfn.XLOOKUP(Table4[[#This Row],[combi]],AREA!E:E,AREA!F:F,"",0)</f>
        <v>89</v>
      </c>
      <c r="AD393" s="20" t="str">
        <f>_xlfn.XLOOKUP(Table4[[#This Row],[combi]],AREA!E:E,AREA!G:G,"",0)</f>
        <v>Pick-up service of hypothetic package as defined in the Tech. Specs. and delivery to lots
2 and 3 contractors according to Scenario 1</v>
      </c>
      <c r="AE393" s="20" t="s">
        <v>125</v>
      </c>
      <c r="AF393" s="20" t="str">
        <f>_xlfn.XLOOKUP(Table4[[#This Row],[FromSite-UPS]],sites!D:D,sites!AB:AB,"",0)&amp;_xlfn.XLOOKUP(Table4[[#This Row],[ToLab]],labs!D:D,labs!Q:Q,"",0)</f>
        <v>EUEU</v>
      </c>
    </row>
    <row r="394" spans="2:32" ht="15.6" hidden="1" customHeight="1" x14ac:dyDescent="0.25">
      <c r="B394" s="13">
        <v>296</v>
      </c>
      <c r="C394" s="14" t="s">
        <v>53</v>
      </c>
      <c r="D394" s="13">
        <v>1</v>
      </c>
      <c r="E394" s="83">
        <v>45938</v>
      </c>
      <c r="F394" s="83">
        <v>45939</v>
      </c>
      <c r="G394" s="20">
        <f>IFERROR(WEEKNUM(Table4[[#This Row],[Confirmed Pick-up Date]]),"TBD")</f>
        <v>41</v>
      </c>
      <c r="H394" s="20" t="str">
        <f>IFERROR(TEXT(Table4[[#This Row],[Confirmed Pick-up Date]],"yy-mm"),"TBD")</f>
        <v>25-10</v>
      </c>
      <c r="I394" s="13" t="s">
        <v>975</v>
      </c>
      <c r="J394" s="20" t="str">
        <f>IFERROR(VLOOKUP(Table4[[#This Row],[FromSite-UPS]],Table1[[#All],[Company or Name]:[FromSite3]],15,FALSE),"")</f>
        <v>Vilnius WWTP</v>
      </c>
      <c r="K394" s="20" t="str">
        <f>IFERROR(VLOOKUP(Table4[[#This Row],[FromSite-UPS]],Table1[[#All],[Company or Name]:[FromSite3]],16,FALSE),"")</f>
        <v>Vilnius Bus Terminal</v>
      </c>
      <c r="L394" s="20">
        <f>IFERROR(VLOOKUP(Table4[[#This Row],[FromSite-UPS]],Table1[[#All],[Company or Name]:[FromSite3]],14,FALSE),"")</f>
        <v>0.58333333333333337</v>
      </c>
      <c r="M394" s="13" t="s">
        <v>1011</v>
      </c>
      <c r="N394" s="20" t="s">
        <v>813</v>
      </c>
      <c r="O394" s="20" t="s">
        <v>1694</v>
      </c>
      <c r="P394" s="20" t="s">
        <v>134</v>
      </c>
      <c r="Q394" s="37" t="s">
        <v>1894</v>
      </c>
      <c r="R394" s="20" t="s">
        <v>1730</v>
      </c>
      <c r="S394" s="20" t="s">
        <v>125</v>
      </c>
      <c r="T394" s="20" t="s">
        <v>856</v>
      </c>
      <c r="U394" s="20"/>
      <c r="V394" s="20"/>
      <c r="W394" s="20" t="str">
        <f>TEXT(Table4[[#This Row],[Confirmed Sampling Date]], "yyyy") &amp; "_" &amp; TEXT(Table4[[#This Row],[Confirmed Sampling Date]], "mm") &amp; "_" &amp; TEXT(Table4[[#This Row],[Confirmed Sampling Date]], "dd")</f>
        <v>2025_10_08</v>
      </c>
      <c r="X394" s="20" t="str">
        <f t="shared" si="6"/>
        <v>Vilnius</v>
      </c>
      <c r="Y394" s="20" t="str">
        <f>VLOOKUP(Table4[[#This Row],[FromSite-UPS]],Table1[[Company or Name]:[NOTES]],2,FALSE)</f>
        <v>Lithuania</v>
      </c>
      <c r="Z394" s="20">
        <f>IFERROR(WEEKNUM(Table4[[#This Row],[Confirmed Sampling Date]] - 10, 21), "TBD")</f>
        <v>39</v>
      </c>
      <c r="AA394" s="20" t="str">
        <f>_xlfn.XLOOKUP(Table4[[#This Row],[FromSite-UPS]],sites!D:D,sites!W:W,"",0)</f>
        <v>Zolyno 36 gatve, Vilnius, 10210, Lithuania</v>
      </c>
      <c r="AB394" s="20" t="str">
        <f>_xlfn.XLOOKUP(Table4[[#This Row],[ToLab]],labs!D:D,labs!P:P,"no adres",0)</f>
        <v>Av. Rovisco Pais 1, Laboratorio de Analises de Agua, Lisbon, 1049-001, Portugal</v>
      </c>
      <c r="AC394" s="20">
        <f>_xlfn.XLOOKUP(Table4[[#This Row],[combi]],AREA!E:E,AREA!F:F,"",0)</f>
        <v>89</v>
      </c>
      <c r="AD394" s="20" t="str">
        <f>_xlfn.XLOOKUP(Table4[[#This Row],[combi]],AREA!E:E,AREA!G:G,"",0)</f>
        <v>Pick-up service of hypothetic package as defined in the Tech. Specs. and delivery to lots
2 and 3 contractors according to Scenario 1</v>
      </c>
      <c r="AE394" s="20" t="s">
        <v>125</v>
      </c>
      <c r="AF394" s="20" t="str">
        <f>_xlfn.XLOOKUP(Table4[[#This Row],[FromSite-UPS]],sites!D:D,sites!AB:AB,"",0)&amp;_xlfn.XLOOKUP(Table4[[#This Row],[ToLab]],labs!D:D,labs!Q:Q,"",0)</f>
        <v>EUEU</v>
      </c>
    </row>
    <row r="395" spans="2:32" ht="15.6" customHeight="1" x14ac:dyDescent="0.25">
      <c r="B395" s="13">
        <v>275</v>
      </c>
      <c r="C395" s="14" t="s">
        <v>53</v>
      </c>
      <c r="D395" s="13">
        <v>1</v>
      </c>
      <c r="E395" s="79">
        <v>45951</v>
      </c>
      <c r="F395" s="80">
        <v>45952</v>
      </c>
      <c r="G395" s="13">
        <f>IFERROR(WEEKNUM(Table4[[#This Row],[Confirmed Pick-up Date]]),"TBD")</f>
        <v>43</v>
      </c>
      <c r="H395" s="13" t="str">
        <f>IFERROR(TEXT(Table4[[#This Row],[Confirmed Pick-up Date]],"yy-mm"),"TBD")</f>
        <v>25-10</v>
      </c>
      <c r="I395" s="13" t="s">
        <v>975</v>
      </c>
      <c r="J395" s="20" t="str">
        <f>IFERROR(VLOOKUP(Table4[[#This Row],[FromSite-UPS]],Table1[[#All],[Company or Name]:[FromSite3]],15,FALSE),"")</f>
        <v>Vilnius WWTP</v>
      </c>
      <c r="K395" s="20" t="str">
        <f>IFERROR(VLOOKUP(Table4[[#This Row],[FromSite-UPS]],Table1[[#All],[Company or Name]:[FromSite3]],16,FALSE),"")</f>
        <v>Vilnius Bus Terminal</v>
      </c>
      <c r="L395" s="20">
        <f>IFERROR(VLOOKUP(Table4[[#This Row],[FromSite-UPS]],Table1[[#All],[Company or Name]:[FromSite3]],14,FALSE),"")</f>
        <v>0.58333333333333337</v>
      </c>
      <c r="M395" s="13" t="s">
        <v>1011</v>
      </c>
      <c r="N395" s="20" t="s">
        <v>134</v>
      </c>
      <c r="O395" s="20" t="s">
        <v>1773</v>
      </c>
      <c r="P395" s="65"/>
      <c r="Q395" s="65"/>
      <c r="R395" s="20"/>
      <c r="S395" s="20" t="s">
        <v>125</v>
      </c>
      <c r="T395" s="20" t="s">
        <v>856</v>
      </c>
      <c r="U395" s="20"/>
      <c r="V395" s="20"/>
      <c r="W395" s="20" t="str">
        <f>TEXT(Table4[[#This Row],[Confirmed Sampling Date]], "yyyy") &amp; "_" &amp; TEXT(Table4[[#This Row],[Confirmed Sampling Date]], "mm") &amp; "_" &amp; TEXT(Table4[[#This Row],[Confirmed Sampling Date]], "dd")</f>
        <v>2025_10_21</v>
      </c>
      <c r="X395" s="20" t="str">
        <f t="shared" si="6"/>
        <v>Vilnius</v>
      </c>
      <c r="Y395" s="20" t="str">
        <f>VLOOKUP(Table4[[#This Row],[FromSite-UPS]],Table1[[Company or Name]:[NOTES]],2,FALSE)</f>
        <v>Lithuania</v>
      </c>
      <c r="Z395" s="20">
        <f>IFERROR(WEEKNUM(Table4[[#This Row],[Confirmed Sampling Date]] - 10, 21), "TBD")</f>
        <v>41</v>
      </c>
      <c r="AA395" s="20" t="str">
        <f>_xlfn.XLOOKUP(Table4[[#This Row],[FromSite-UPS]],sites!D:D,sites!W:W,"",0)</f>
        <v>Zolyno 36 gatve, Vilnius, 10210, Lithuania</v>
      </c>
      <c r="AB395" s="20" t="str">
        <f>_xlfn.XLOOKUP(Table4[[#This Row],[ToLab]],labs!D:D,labs!P:P,"no adres",0)</f>
        <v>Av. Rovisco Pais 1, Laboratorio de Analises de Agua, Lisbon, 1049-001, Portugal</v>
      </c>
      <c r="AC395" s="20">
        <f>_xlfn.XLOOKUP(Table4[[#This Row],[combi]],AREA!E:E,AREA!F:F,"",0)</f>
        <v>89</v>
      </c>
      <c r="AD395" s="20" t="str">
        <f>_xlfn.XLOOKUP(Table4[[#This Row],[combi]],AREA!E:E,AREA!G:G,"",0)</f>
        <v>Pick-up service of hypothetic package as defined in the Tech. Specs. and delivery to lots
2 and 3 contractors according to Scenario 1</v>
      </c>
      <c r="AE395" s="20" t="s">
        <v>125</v>
      </c>
      <c r="AF395" s="20" t="str">
        <f>_xlfn.XLOOKUP(Table4[[#This Row],[FromSite-UPS]],sites!D:D,sites!AB:AB,"",0)&amp;_xlfn.XLOOKUP(Table4[[#This Row],[ToLab]],labs!D:D,labs!Q:Q,"",0)</f>
        <v>EUEU</v>
      </c>
    </row>
    <row r="396" spans="2:32" ht="15.6" customHeight="1" x14ac:dyDescent="0.25">
      <c r="B396" s="13">
        <v>286</v>
      </c>
      <c r="C396" s="14" t="s">
        <v>53</v>
      </c>
      <c r="D396" s="13">
        <v>1</v>
      </c>
      <c r="E396" s="79">
        <v>45951</v>
      </c>
      <c r="F396" s="80">
        <v>45952</v>
      </c>
      <c r="G396" s="13">
        <f>IFERROR(WEEKNUM(Table4[[#This Row],[Confirmed Pick-up Date]]),"TBD")</f>
        <v>43</v>
      </c>
      <c r="H396" s="13" t="str">
        <f>IFERROR(TEXT(Table4[[#This Row],[Confirmed Pick-up Date]],"yy-mm"),"TBD")</f>
        <v>25-10</v>
      </c>
      <c r="I396" s="13" t="s">
        <v>975</v>
      </c>
      <c r="J396" s="20" t="str">
        <f>IFERROR(VLOOKUP(Table4[[#This Row],[FromSite-UPS]],Table1[[#All],[Company or Name]:[FromSite3]],15,FALSE),"")</f>
        <v>Vilnius WWTP</v>
      </c>
      <c r="K396" s="20" t="str">
        <f>IFERROR(VLOOKUP(Table4[[#This Row],[FromSite-UPS]],Table1[[#All],[Company or Name]:[FromSite3]],16,FALSE),"")</f>
        <v>Vilnius Bus Terminal</v>
      </c>
      <c r="L396" s="20">
        <f>IFERROR(VLOOKUP(Table4[[#This Row],[FromSite-UPS]],Table1[[#All],[Company or Name]:[FromSite3]],14,FALSE),"")</f>
        <v>0.58333333333333337</v>
      </c>
      <c r="M396" s="13" t="s">
        <v>1011</v>
      </c>
      <c r="N396" s="20" t="s">
        <v>134</v>
      </c>
      <c r="O396" s="20" t="s">
        <v>1774</v>
      </c>
      <c r="P396" s="20"/>
      <c r="Q396" s="20"/>
      <c r="R396" s="20"/>
      <c r="S396" s="20" t="s">
        <v>125</v>
      </c>
      <c r="T396" s="20" t="s">
        <v>856</v>
      </c>
      <c r="U396" s="20"/>
      <c r="V396" s="20"/>
      <c r="W396" s="20" t="str">
        <f>TEXT(Table4[[#This Row],[Confirmed Sampling Date]], "yyyy") &amp; "_" &amp; TEXT(Table4[[#This Row],[Confirmed Sampling Date]], "mm") &amp; "_" &amp; TEXT(Table4[[#This Row],[Confirmed Sampling Date]], "dd")</f>
        <v>2025_10_21</v>
      </c>
      <c r="X396" s="20" t="str">
        <f t="shared" si="6"/>
        <v>Vilnius</v>
      </c>
      <c r="Y396" s="20" t="str">
        <f>VLOOKUP(Table4[[#This Row],[FromSite-UPS]],Table1[[Company or Name]:[NOTES]],2,FALSE)</f>
        <v>Lithuania</v>
      </c>
      <c r="Z396" s="20">
        <f>IFERROR(WEEKNUM(Table4[[#This Row],[Confirmed Sampling Date]] - 10, 21), "TBD")</f>
        <v>41</v>
      </c>
      <c r="AA396" s="20" t="str">
        <f>_xlfn.XLOOKUP(Table4[[#This Row],[FromSite-UPS]],sites!D:D,sites!W:W,"",0)</f>
        <v>Zolyno 36 gatve, Vilnius, 10210, Lithuania</v>
      </c>
      <c r="AB396" s="20" t="str">
        <f>_xlfn.XLOOKUP(Table4[[#This Row],[ToLab]],labs!D:D,labs!P:P,"no adres",0)</f>
        <v>Av. Rovisco Pais 1, Laboratorio de Analises de Agua, Lisbon, 1049-001, Portugal</v>
      </c>
      <c r="AC396" s="20">
        <f>_xlfn.XLOOKUP(Table4[[#This Row],[combi]],AREA!E:E,AREA!F:F,"",0)</f>
        <v>89</v>
      </c>
      <c r="AD396" s="20" t="str">
        <f>_xlfn.XLOOKUP(Table4[[#This Row],[combi]],AREA!E:E,AREA!G:G,"",0)</f>
        <v>Pick-up service of hypothetic package as defined in the Tech. Specs. and delivery to lots
2 and 3 contractors according to Scenario 1</v>
      </c>
      <c r="AE396" s="20" t="s">
        <v>125</v>
      </c>
      <c r="AF396" s="20" t="str">
        <f>_xlfn.XLOOKUP(Table4[[#This Row],[FromSite-UPS]],sites!D:D,sites!AB:AB,"",0)&amp;_xlfn.XLOOKUP(Table4[[#This Row],[ToLab]],labs!D:D,labs!Q:Q,"",0)</f>
        <v>EUEU</v>
      </c>
    </row>
    <row r="397" spans="2:32" ht="15.6" customHeight="1" x14ac:dyDescent="0.25">
      <c r="B397" s="13">
        <v>297</v>
      </c>
      <c r="C397" s="14" t="s">
        <v>53</v>
      </c>
      <c r="D397" s="13">
        <v>1</v>
      </c>
      <c r="E397" s="79">
        <v>45952</v>
      </c>
      <c r="F397" s="81">
        <v>45953</v>
      </c>
      <c r="G397" s="20">
        <f>IFERROR(WEEKNUM(Table4[[#This Row],[Confirmed Pick-up Date]]),"TBD")</f>
        <v>43</v>
      </c>
      <c r="H397" s="20" t="str">
        <f>IFERROR(TEXT(Table4[[#This Row],[Confirmed Pick-up Date]],"yy-mm"),"TBD")</f>
        <v>25-10</v>
      </c>
      <c r="I397" s="64" t="s">
        <v>975</v>
      </c>
      <c r="J397" s="20" t="str">
        <f>IFERROR(VLOOKUP(Table4[[#This Row],[FromSite-UPS]],Table1[[#All],[Company or Name]:[FromSite3]],15,FALSE),"")</f>
        <v>Vilnius WWTP</v>
      </c>
      <c r="K397" s="20" t="str">
        <f>IFERROR(VLOOKUP(Table4[[#This Row],[FromSite-UPS]],Table1[[#All],[Company or Name]:[FromSite3]],16,FALSE),"")</f>
        <v>Vilnius Bus Terminal</v>
      </c>
      <c r="L397" s="20">
        <f>IFERROR(VLOOKUP(Table4[[#This Row],[FromSite-UPS]],Table1[[#All],[Company or Name]:[FromSite3]],14,FALSE),"")</f>
        <v>0.58333333333333337</v>
      </c>
      <c r="M397" s="13" t="s">
        <v>1011</v>
      </c>
      <c r="N397" s="20" t="s">
        <v>134</v>
      </c>
      <c r="O397" s="20" t="s">
        <v>1775</v>
      </c>
      <c r="P397" s="20"/>
      <c r="Q397" s="20"/>
      <c r="R397" s="20"/>
      <c r="S397" s="20" t="s">
        <v>125</v>
      </c>
      <c r="T397" s="20" t="s">
        <v>856</v>
      </c>
      <c r="U397" s="20"/>
      <c r="V397" s="20"/>
      <c r="W397" s="20" t="str">
        <f>TEXT(Table4[[#This Row],[Confirmed Sampling Date]], "yyyy") &amp; "_" &amp; TEXT(Table4[[#This Row],[Confirmed Sampling Date]], "mm") &amp; "_" &amp; TEXT(Table4[[#This Row],[Confirmed Sampling Date]], "dd")</f>
        <v>2025_10_22</v>
      </c>
      <c r="X397" s="20" t="str">
        <f t="shared" si="6"/>
        <v>Vilnius</v>
      </c>
      <c r="Y397" s="20" t="str">
        <f>VLOOKUP(Table4[[#This Row],[FromSite-UPS]],Table1[[Company or Name]:[NOTES]],2,FALSE)</f>
        <v>Lithuania</v>
      </c>
      <c r="Z397" s="20">
        <f>IFERROR(WEEKNUM(Table4[[#This Row],[Confirmed Sampling Date]] - 10, 21), "TBD")</f>
        <v>41</v>
      </c>
      <c r="AA397" s="20" t="str">
        <f>_xlfn.XLOOKUP(Table4[[#This Row],[FromSite-UPS]],sites!D:D,sites!W:W,"",0)</f>
        <v>Zolyno 36 gatve, Vilnius, 10210, Lithuania</v>
      </c>
      <c r="AB397" s="20" t="str">
        <f>_xlfn.XLOOKUP(Table4[[#This Row],[ToLab]],labs!D:D,labs!P:P,"no adres",0)</f>
        <v>Av. Rovisco Pais 1, Laboratorio de Analises de Agua, Lisbon, 1049-001, Portugal</v>
      </c>
      <c r="AC397" s="20">
        <f>_xlfn.XLOOKUP(Table4[[#This Row],[combi]],AREA!E:E,AREA!F:F,"",0)</f>
        <v>89</v>
      </c>
      <c r="AD397" s="20" t="str">
        <f>_xlfn.XLOOKUP(Table4[[#This Row],[combi]],AREA!E:E,AREA!G:G,"",0)</f>
        <v>Pick-up service of hypothetic package as defined in the Tech. Specs. and delivery to lots
2 and 3 contractors according to Scenario 1</v>
      </c>
      <c r="AE397" s="20" t="s">
        <v>125</v>
      </c>
      <c r="AF397" s="20" t="str">
        <f>_xlfn.XLOOKUP(Table4[[#This Row],[FromSite-UPS]],sites!D:D,sites!AB:AB,"",0)&amp;_xlfn.XLOOKUP(Table4[[#This Row],[ToLab]],labs!D:D,labs!Q:Q,"",0)</f>
        <v>EUEU</v>
      </c>
    </row>
    <row r="398" spans="2:32" ht="15.6" hidden="1" customHeight="1" x14ac:dyDescent="0.25">
      <c r="B398" s="13">
        <v>635</v>
      </c>
      <c r="C398" s="14" t="s">
        <v>53</v>
      </c>
      <c r="D398" s="13">
        <v>1</v>
      </c>
      <c r="E398" s="83">
        <v>45936</v>
      </c>
      <c r="F398" s="83">
        <v>45938</v>
      </c>
      <c r="G398" s="20">
        <f>IFERROR(WEEKNUM(Table4[[#This Row],[Confirmed Pick-up Date]]),"TBD")</f>
        <v>41</v>
      </c>
      <c r="H398" s="20" t="str">
        <f>IFERROR(TEXT(Table4[[#This Row],[Confirmed Pick-up Date]],"yy-mm"),"TBD")</f>
        <v>25-10</v>
      </c>
      <c r="I398" s="13" t="s">
        <v>1802</v>
      </c>
      <c r="J398" s="20" t="str">
        <f>IFERROR(VLOOKUP(Table4[[#This Row],[FromSite-UPS]],Table1[[#All],[Company or Name]:[FromSite3]],15,FALSE),"")</f>
        <v>Wien WWTP</v>
      </c>
      <c r="K398" s="20" t="str">
        <f>IFERROR(VLOOKUP(Table4[[#This Row],[FromSite-UPS]],Table1[[#All],[Company or Name]:[FromSite3]],16,FALSE),"")</f>
        <v>-</v>
      </c>
      <c r="L398" s="20">
        <f>IFERROR(VLOOKUP(Table4[[#This Row],[FromSite-UPS]],Table1[[#All],[Company or Name]:[FromSite3]],14,FALSE),"")</f>
        <v>0.5</v>
      </c>
      <c r="M398" s="13" t="s">
        <v>1011</v>
      </c>
      <c r="N398" s="20" t="s">
        <v>813</v>
      </c>
      <c r="O398" s="108" t="s">
        <v>1811</v>
      </c>
      <c r="P398" s="20" t="s">
        <v>134</v>
      </c>
      <c r="Q398" s="37" t="s">
        <v>1849</v>
      </c>
      <c r="R398" s="20"/>
      <c r="S398" s="20" t="s">
        <v>125</v>
      </c>
      <c r="T398" s="20" t="s">
        <v>856</v>
      </c>
      <c r="U398" s="20"/>
      <c r="V398" s="20"/>
      <c r="W398" s="20" t="str">
        <f>TEXT(Table4[[#This Row],[Confirmed Sampling Date]], "yyyy") &amp; "_" &amp; TEXT(Table4[[#This Row],[Confirmed Sampling Date]], "mm") &amp; "_" &amp; TEXT(Table4[[#This Row],[Confirmed Sampling Date]], "dd")</f>
        <v>2025_10_06</v>
      </c>
      <c r="X398" s="20" t="str">
        <f t="shared" si="6"/>
        <v>Wien</v>
      </c>
      <c r="Y398" s="20" t="str">
        <f>VLOOKUP(Table4[[#This Row],[FromSite-UPS]],Table1[[Company or Name]:[NOTES]],2,FALSE)</f>
        <v>Austria</v>
      </c>
      <c r="Z398" s="20">
        <f>IFERROR(WEEKNUM(Table4[[#This Row],[Confirmed Sampling Date]] - 10, 21), "TBD")</f>
        <v>39</v>
      </c>
      <c r="AA398" s="20" t="str">
        <f>_xlfn.XLOOKUP(Table4[[#This Row],[FromSite-UPS]],sites!D:D,sites!W:W,"",0)</f>
        <v>Währinger Gürtel 18-20, Wien, 1090, Austria</v>
      </c>
      <c r="AB398" s="20" t="str">
        <f>_xlfn.XLOOKUP(Table4[[#This Row],[ToLab]],labs!D:D,labs!P:P,"no adres",0)</f>
        <v>Av. Rovisco Pais 1, Laboratorio de Analises de Agua, Lisbon, 1049-001, Portugal</v>
      </c>
      <c r="AC398" s="20">
        <f>_xlfn.XLOOKUP(Table4[[#This Row],[combi]],AREA!E:E,AREA!F:F,"",0)</f>
        <v>89</v>
      </c>
      <c r="AD398" s="20" t="str">
        <f>_xlfn.XLOOKUP(Table4[[#This Row],[combi]],AREA!E:E,AREA!G:G,"",0)</f>
        <v>Pick-up service of hypothetic package as defined in the Tech. Specs. and delivery to lots
2 and 3 contractors according to Scenario 1</v>
      </c>
      <c r="AE398" s="20" t="s">
        <v>125</v>
      </c>
      <c r="AF398" s="20" t="str">
        <f>_xlfn.XLOOKUP(Table4[[#This Row],[FromSite-UPS]],sites!D:D,sites!AB:AB,"",0)&amp;_xlfn.XLOOKUP(Table4[[#This Row],[ToLab]],labs!D:D,labs!Q:Q,"",0)</f>
        <v>EUEU</v>
      </c>
    </row>
    <row r="399" spans="2:32" ht="15.6" customHeight="1" x14ac:dyDescent="0.25">
      <c r="B399" s="13">
        <v>636</v>
      </c>
      <c r="C399" s="14" t="s">
        <v>53</v>
      </c>
      <c r="D399" s="13">
        <v>1</v>
      </c>
      <c r="E399" s="83">
        <v>45950</v>
      </c>
      <c r="F399" s="83">
        <v>45952</v>
      </c>
      <c r="G399" s="20">
        <f>IFERROR(WEEKNUM(Table4[[#This Row],[Confirmed Pick-up Date]]),"TBD")</f>
        <v>43</v>
      </c>
      <c r="H399" s="20" t="str">
        <f>IFERROR(TEXT(Table4[[#This Row],[Confirmed Pick-up Date]],"yy-mm"),"TBD")</f>
        <v>25-10</v>
      </c>
      <c r="I399" s="13" t="s">
        <v>1802</v>
      </c>
      <c r="J399" s="20" t="str">
        <f>IFERROR(VLOOKUP(Table4[[#This Row],[FromSite-UPS]],Table1[[#All],[Company or Name]:[FromSite3]],15,FALSE),"")</f>
        <v>Wien WWTP</v>
      </c>
      <c r="K399" s="20" t="str">
        <f>IFERROR(VLOOKUP(Table4[[#This Row],[FromSite-UPS]],Table1[[#All],[Company or Name]:[FromSite3]],16,FALSE),"")</f>
        <v>-</v>
      </c>
      <c r="L399" s="20">
        <f>IFERROR(VLOOKUP(Table4[[#This Row],[FromSite-UPS]],Table1[[#All],[Company or Name]:[FromSite3]],14,FALSE),"")</f>
        <v>0.5</v>
      </c>
      <c r="M399" s="13" t="s">
        <v>1011</v>
      </c>
      <c r="N399" s="20" t="s">
        <v>813</v>
      </c>
      <c r="O399" s="20" t="s">
        <v>1834</v>
      </c>
      <c r="P399" s="20"/>
      <c r="Q399" s="20"/>
      <c r="R399" s="20"/>
      <c r="S399" s="20" t="s">
        <v>125</v>
      </c>
      <c r="T399" s="20" t="s">
        <v>856</v>
      </c>
      <c r="U399" s="20"/>
      <c r="V399" s="20"/>
      <c r="W399" s="20" t="str">
        <f>TEXT(Table4[[#This Row],[Confirmed Sampling Date]], "yyyy") &amp; "_" &amp; TEXT(Table4[[#This Row],[Confirmed Sampling Date]], "mm") &amp; "_" &amp; TEXT(Table4[[#This Row],[Confirmed Sampling Date]], "dd")</f>
        <v>2025_10_20</v>
      </c>
      <c r="X399" s="20" t="str">
        <f t="shared" si="6"/>
        <v>Wien</v>
      </c>
      <c r="Y399" s="20" t="str">
        <f>VLOOKUP(Table4[[#This Row],[FromSite-UPS]],Table1[[Company or Name]:[NOTES]],2,FALSE)</f>
        <v>Austria</v>
      </c>
      <c r="Z399" s="20">
        <f>IFERROR(WEEKNUM(Table4[[#This Row],[Confirmed Sampling Date]] - 10, 21), "TBD")</f>
        <v>41</v>
      </c>
      <c r="AA399" s="20" t="str">
        <f>_xlfn.XLOOKUP(Table4[[#This Row],[FromSite-UPS]],sites!D:D,sites!W:W,"",0)</f>
        <v>Währinger Gürtel 18-20, Wien, 1090, Austria</v>
      </c>
      <c r="AB399" s="20" t="str">
        <f>_xlfn.XLOOKUP(Table4[[#This Row],[ToLab]],labs!D:D,labs!P:P,"no adres",0)</f>
        <v>Av. Rovisco Pais 1, Laboratorio de Analises de Agua, Lisbon, 1049-001, Portugal</v>
      </c>
      <c r="AC399" s="20">
        <f>_xlfn.XLOOKUP(Table4[[#This Row],[combi]],AREA!E:E,AREA!F:F,"",0)</f>
        <v>89</v>
      </c>
      <c r="AD399" s="20" t="str">
        <f>_xlfn.XLOOKUP(Table4[[#This Row],[combi]],AREA!E:E,AREA!G:G,"",0)</f>
        <v>Pick-up service of hypothetic package as defined in the Tech. Specs. and delivery to lots
2 and 3 contractors according to Scenario 1</v>
      </c>
      <c r="AE399" s="20" t="s">
        <v>126</v>
      </c>
      <c r="AF399" s="20" t="str">
        <f>_xlfn.XLOOKUP(Table4[[#This Row],[FromSite-UPS]],sites!D:D,sites!AB:AB,"",0)&amp;_xlfn.XLOOKUP(Table4[[#This Row],[ToLab]],labs!D:D,labs!Q:Q,"",0)</f>
        <v>EUEU</v>
      </c>
    </row>
    <row r="400" spans="2:32" ht="15.6" hidden="1" customHeight="1" x14ac:dyDescent="0.25">
      <c r="B400" s="13">
        <v>6</v>
      </c>
      <c r="C400" s="14" t="s">
        <v>53</v>
      </c>
      <c r="D400" s="13">
        <v>1</v>
      </c>
      <c r="E400" s="79">
        <v>45955</v>
      </c>
      <c r="F400" s="80">
        <v>45958</v>
      </c>
      <c r="G400" s="20">
        <f>IFERROR(WEEKNUM(Table4[[#This Row],[Confirmed Pick-up Date]]),"TBD")</f>
        <v>44</v>
      </c>
      <c r="H400" s="20" t="str">
        <f>IFERROR(TEXT(Table4[[#This Row],[Confirmed Pick-up Date]],"yy-mm"),"TBD")</f>
        <v>25-10</v>
      </c>
      <c r="I400" s="13" t="s">
        <v>33</v>
      </c>
      <c r="J400" s="20" t="str">
        <f>IFERROR(VLOOKUP(Table4[[#This Row],[FromSite-UPS]],Table1[[#All],[Company or Name]:[FromSite3]],15,FALSE),"")</f>
        <v>Osaka Expo</v>
      </c>
      <c r="K400" s="20" t="str">
        <f>IFERROR(VLOOKUP(Table4[[#This Row],[FromSite-UPS]],Table1[[#All],[Company or Name]:[FromSite3]],16,FALSE),"")</f>
        <v>-</v>
      </c>
      <c r="L400" s="20">
        <f>IFERROR(VLOOKUP(Table4[[#This Row],[FromSite-UPS]],Table1[[#All],[Company or Name]:[FromSite3]],14,FALSE),"")</f>
        <v>0.58333333333333337</v>
      </c>
      <c r="M400" s="13" t="s">
        <v>1011</v>
      </c>
      <c r="N400" s="20" t="s">
        <v>892</v>
      </c>
      <c r="O400" s="108" t="s">
        <v>1823</v>
      </c>
      <c r="P400" s="20"/>
      <c r="Q400" s="20"/>
      <c r="R400" s="20"/>
      <c r="S400" s="20" t="s">
        <v>126</v>
      </c>
      <c r="T400" s="20" t="s">
        <v>856</v>
      </c>
      <c r="U400" s="20"/>
      <c r="V400" s="20"/>
      <c r="W400" s="20" t="str">
        <f>TEXT(Table4[[#This Row],[Confirmed Sampling Date]], "yyyy") &amp; "_" &amp; TEXT(Table4[[#This Row],[Confirmed Sampling Date]], "mm") &amp; "_" &amp; TEXT(Table4[[#This Row],[Confirmed Sampling Date]], "dd")</f>
        <v>2025_10_25</v>
      </c>
      <c r="X400" s="20" t="str">
        <f t="shared" si="6"/>
        <v>Osaka</v>
      </c>
      <c r="Y400" s="20" t="str">
        <f>VLOOKUP(Table4[[#This Row],[FromSite-UPS]],Table1[[Company or Name]:[NOTES]],2,FALSE)</f>
        <v>Japan</v>
      </c>
      <c r="Z400" s="20">
        <f>IFERROR(WEEKNUM(Table4[[#This Row],[Confirmed Sampling Date]] - 10, 21), "TBD")</f>
        <v>42</v>
      </c>
      <c r="AA400" s="20" t="str">
        <f>_xlfn.XLOOKUP(Table4[[#This Row],[FromSite-UPS]],sites!D:D,sites!W:W,"",0)</f>
        <v>1-3-3 Nakamichi, Higashinari-ku, Osaka, 537-0025, Japan</v>
      </c>
      <c r="AB400" s="20" t="str">
        <f>_xlfn.XLOOKUP(Table4[[#This Row],[ToLab]],labs!D:D,labs!P:P,"no adres",0)</f>
        <v>Av. Rovisco Pais 1, Laboratorio de Analises de Agua, Lisbon, 1049-001, Portugal</v>
      </c>
      <c r="AC400" s="20">
        <f>_xlfn.XLOOKUP(Table4[[#This Row],[combi]],AREA!E:E,AREA!F:F,"",0)</f>
        <v>92</v>
      </c>
      <c r="AD400" s="20" t="str">
        <f>_xlfn.XLOOKUP(Table4[[#This Row],[combi]],AREA!E:E,AREA!G:G,"",0)</f>
        <v>Pick-up service of hypothetic package as defined in the Tech. Specs. and delivery to lots
2 and 3 contractors according to Scenario 4</v>
      </c>
      <c r="AE400" s="20" t="s">
        <v>125</v>
      </c>
      <c r="AF400" s="20" t="str">
        <f>_xlfn.XLOOKUP(Table4[[#This Row],[FromSite-UPS]],sites!D:D,sites!AB:AB,"",0)&amp;_xlfn.XLOOKUP(Table4[[#This Row],[ToLab]],labs!D:D,labs!Q:Q,"",0)</f>
        <v>Non-EuropeEU</v>
      </c>
    </row>
    <row r="401" spans="2:32" ht="15.6" hidden="1" customHeight="1" x14ac:dyDescent="0.25">
      <c r="B401" s="13">
        <v>655</v>
      </c>
      <c r="C401" s="14" t="s">
        <v>53</v>
      </c>
      <c r="D401" s="13">
        <v>1</v>
      </c>
      <c r="E401" s="83">
        <v>45957</v>
      </c>
      <c r="F401" s="83">
        <v>45958</v>
      </c>
      <c r="G401" s="20">
        <f>IFERROR(WEEKNUM(Table4[[#This Row],[Confirmed Pick-up Date]]),"TBD")</f>
        <v>44</v>
      </c>
      <c r="H401" s="20" t="str">
        <f>IFERROR(TEXT(Table4[[#This Row],[Confirmed Pick-up Date]],"yy-mm"),"TBD")</f>
        <v>25-10</v>
      </c>
      <c r="I401" s="13" t="s">
        <v>1813</v>
      </c>
      <c r="J401" s="20" t="str">
        <f>IFERROR(VLOOKUP(Table4[[#This Row],[FromSite-UPS]],Table1[[#All],[Company or Name]:[FromSite3]],15,FALSE),"")</f>
        <v>Riga WWTP</v>
      </c>
      <c r="K401" s="20" t="str">
        <f>IFERROR(VLOOKUP(Table4[[#This Row],[FromSite-UPS]],Table1[[#All],[Company or Name]:[FromSite3]],16,FALSE),"")</f>
        <v>-</v>
      </c>
      <c r="L401" s="20">
        <f>IFERROR(VLOOKUP(Table4[[#This Row],[FromSite-UPS]],Table1[[#All],[Company or Name]:[FromSite3]],14,FALSE),"")</f>
        <v>0.70833333333333337</v>
      </c>
      <c r="M401" s="13" t="s">
        <v>1011</v>
      </c>
      <c r="N401" s="20" t="s">
        <v>134</v>
      </c>
      <c r="O401" s="20" t="s">
        <v>1939</v>
      </c>
      <c r="P401" s="20"/>
      <c r="Q401" s="20"/>
      <c r="R401" s="20"/>
      <c r="S401" s="20" t="s">
        <v>125</v>
      </c>
      <c r="T401" s="20" t="s">
        <v>856</v>
      </c>
      <c r="U401" s="20"/>
      <c r="V401" s="20"/>
      <c r="W401" s="20" t="str">
        <f>TEXT(Table4[[#This Row],[Confirmed Sampling Date]], "yyyy") &amp; "_" &amp; TEXT(Table4[[#This Row],[Confirmed Sampling Date]], "mm") &amp; "_" &amp; TEXT(Table4[[#This Row],[Confirmed Sampling Date]], "dd")</f>
        <v>2025_10_27</v>
      </c>
      <c r="X401" s="20" t="str">
        <f t="shared" si="6"/>
        <v>Riga</v>
      </c>
      <c r="Y401" s="20" t="str">
        <f>VLOOKUP(Table4[[#This Row],[FromSite-UPS]],Table1[[Company or Name]:[NOTES]],2,FALSE)</f>
        <v>Latvia</v>
      </c>
      <c r="Z401" s="20">
        <f>IFERROR(WEEKNUM(Table4[[#This Row],[Confirmed Sampling Date]] - 10, 21), "TBD")</f>
        <v>42</v>
      </c>
      <c r="AA401" s="20" t="str">
        <f>_xlfn.XLOOKUP(Table4[[#This Row],[FromSite-UPS]],sites!D:D,sites!W:W,"",0)</f>
        <v>Pilsonu iela 13, Zemgales priekšpilsēta, Rīga, LV-1002, Latvia</v>
      </c>
      <c r="AB401" s="20" t="str">
        <f>_xlfn.XLOOKUP(Table4[[#This Row],[ToLab]],labs!D:D,labs!P:P,"no adres",0)</f>
        <v>Av. Rovisco Pais 1, Laboratorio de Analises de Agua, Lisbon, 1049-001, Portugal</v>
      </c>
      <c r="AC401" s="20">
        <f>_xlfn.XLOOKUP(Table4[[#This Row],[combi]],AREA!E:E,AREA!F:F,"",0)</f>
        <v>89</v>
      </c>
      <c r="AD401" s="20" t="str">
        <f>_xlfn.XLOOKUP(Table4[[#This Row],[combi]],AREA!E:E,AREA!G:G,"",0)</f>
        <v>Pick-up service of hypothetic package as defined in the Tech. Specs. and delivery to lots
2 and 3 contractors according to Scenario 1</v>
      </c>
      <c r="AE401" s="20" t="s">
        <v>126</v>
      </c>
      <c r="AF401" s="20" t="str">
        <f>_xlfn.XLOOKUP(Table4[[#This Row],[FromSite-UPS]],sites!D:D,sites!AB:AB,"",0)&amp;_xlfn.XLOOKUP(Table4[[#This Row],[ToLab]],labs!D:D,labs!Q:Q,"",0)</f>
        <v>EUEU</v>
      </c>
    </row>
    <row r="402" spans="2:32" ht="15.6" hidden="1" customHeight="1" x14ac:dyDescent="0.25">
      <c r="B402" s="13">
        <v>17</v>
      </c>
      <c r="C402" s="14" t="s">
        <v>53</v>
      </c>
      <c r="D402" s="13">
        <v>1</v>
      </c>
      <c r="E402" s="79">
        <v>45963</v>
      </c>
      <c r="F402" s="80">
        <v>45964</v>
      </c>
      <c r="G402" s="13">
        <f>IFERROR(WEEKNUM(Table4[[#This Row],[Confirmed Pick-up Date]]),"TBD")</f>
        <v>45</v>
      </c>
      <c r="H402" s="13" t="str">
        <f>IFERROR(TEXT(Table4[[#This Row],[Confirmed Pick-up Date]],"yy-mm"),"TBD")</f>
        <v>25-11</v>
      </c>
      <c r="I402" s="13" t="s">
        <v>13</v>
      </c>
      <c r="J402" s="13" t="str">
        <f>IFERROR(VLOOKUP(Table4[[#This Row],[FromSite-UPS]],Table1[[#All],[Company or Name]:[FromSite3]],15,FALSE),"")</f>
        <v>Berlin (Schoenefeld) WWTP</v>
      </c>
      <c r="K402" s="13" t="str">
        <f>IFERROR(VLOOKUP(Table4[[#This Row],[FromSite-UPS]],Table1[[#All],[Company or Name]:[FromSite3]],16,FALSE),"")</f>
        <v>Berlin Airport</v>
      </c>
      <c r="L402" s="13">
        <f>IFERROR(VLOOKUP(Table4[[#This Row],[FromSite-UPS]],Table1[[#All],[Company or Name]:[FromSite3]],14,FALSE),"")</f>
        <v>0.58333333333333337</v>
      </c>
      <c r="M402" s="13" t="s">
        <v>1011</v>
      </c>
      <c r="N402" s="20" t="s">
        <v>892</v>
      </c>
      <c r="O402" s="13" t="s">
        <v>1881</v>
      </c>
      <c r="P402" s="13"/>
      <c r="Q402" s="20"/>
      <c r="R402" s="20"/>
      <c r="S402" s="20" t="s">
        <v>125</v>
      </c>
      <c r="T402" s="20"/>
      <c r="U402" s="20"/>
      <c r="V402" s="20"/>
      <c r="W402" s="20" t="str">
        <f>TEXT(Table4[[#This Row],[Confirmed Sampling Date]], "yyyy") &amp; "_" &amp; TEXT(Table4[[#This Row],[Confirmed Sampling Date]], "mm") &amp; "_" &amp; TEXT(Table4[[#This Row],[Confirmed Sampling Date]], "dd")</f>
        <v>2025_11_02</v>
      </c>
      <c r="X402" s="20" t="str">
        <f t="shared" si="6"/>
        <v>Berlin</v>
      </c>
      <c r="Y402" s="20" t="str">
        <f>VLOOKUP(Table4[[#This Row],[FromSite-UPS]],Table1[[Company or Name]:[NOTES]],2,FALSE)</f>
        <v>Germany</v>
      </c>
      <c r="Z402" s="20">
        <f>IFERROR(WEEKNUM(Table4[[#This Row],[Confirmed Sampling Date]] - 10, 21), "TBD")</f>
        <v>43</v>
      </c>
      <c r="AA402" s="20" t="str">
        <f>_xlfn.XLOOKUP(Table4[[#This Row],[FromSite-UPS]],sites!D:D,sites!W:W,"",0)</f>
        <v>Strasse am Klarwerk 4, Klarwerk Wassmannsdorf, Schoenefeld, 12529, Germany</v>
      </c>
      <c r="AB402" s="20" t="str">
        <f>_xlfn.XLOOKUP(Table4[[#This Row],[ToLab]],labs!D:D,labs!P:P,"no adres",0)</f>
        <v>Av. Rovisco Pais 1, Laboratorio de Analises de Agua, Lisbon, 1049-001, Portugal</v>
      </c>
      <c r="AC402" s="20">
        <f>_xlfn.XLOOKUP(Table4[[#This Row],[combi]],AREA!E:E,AREA!F:F,"",0)</f>
        <v>89</v>
      </c>
      <c r="AD402" s="20" t="str">
        <f>_xlfn.XLOOKUP(Table4[[#This Row],[combi]],AREA!E:E,AREA!G:G,"",0)</f>
        <v>Pick-up service of hypothetic package as defined in the Tech. Specs. and delivery to lots
2 and 3 contractors according to Scenario 1</v>
      </c>
      <c r="AE402" s="20" t="s">
        <v>126</v>
      </c>
      <c r="AF402" s="20" t="str">
        <f>_xlfn.XLOOKUP(Table4[[#This Row],[FromSite-UPS]],sites!D:D,sites!AB:AB,"",0)&amp;_xlfn.XLOOKUP(Table4[[#This Row],[ToLab]],labs!D:D,labs!Q:Q,"",0)</f>
        <v>EUEU</v>
      </c>
    </row>
    <row r="403" spans="2:32" ht="15.6" hidden="1" customHeight="1" x14ac:dyDescent="0.25">
      <c r="B403" s="13">
        <v>80</v>
      </c>
      <c r="C403" s="14" t="s">
        <v>53</v>
      </c>
      <c r="D403" s="13">
        <v>1</v>
      </c>
      <c r="E403" s="79">
        <v>45963</v>
      </c>
      <c r="F403" s="80">
        <v>45964</v>
      </c>
      <c r="G403" s="20">
        <f>IFERROR(WEEKNUM(Table4[[#This Row],[Confirmed Pick-up Date]]),"TBD")</f>
        <v>45</v>
      </c>
      <c r="H403" s="20" t="str">
        <f>IFERROR(TEXT(Table4[[#This Row],[Confirmed Pick-up Date]],"yy-mm"),"TBD")</f>
        <v>25-11</v>
      </c>
      <c r="I403" s="13" t="s">
        <v>13</v>
      </c>
      <c r="J403" s="20" t="str">
        <f>IFERROR(VLOOKUP(Table4[[#This Row],[FromSite-UPS]],Table1[[#All],[Company or Name]:[FromSite3]],15,FALSE),"")</f>
        <v>Berlin (Schoenefeld) WWTP</v>
      </c>
      <c r="K403" s="20" t="str">
        <f>IFERROR(VLOOKUP(Table4[[#This Row],[FromSite-UPS]],Table1[[#All],[Company or Name]:[FromSite3]],16,FALSE),"")</f>
        <v>Berlin Airport</v>
      </c>
      <c r="L403" s="20">
        <f>IFERROR(VLOOKUP(Table4[[#This Row],[FromSite-UPS]],Table1[[#All],[Company or Name]:[FromSite3]],14,FALSE),"")</f>
        <v>0.58333333333333337</v>
      </c>
      <c r="M403" s="13" t="s">
        <v>1011</v>
      </c>
      <c r="N403" s="20" t="s">
        <v>892</v>
      </c>
      <c r="O403" s="13" t="s">
        <v>1882</v>
      </c>
      <c r="P403" s="13"/>
      <c r="Q403" s="20"/>
      <c r="R403" s="20"/>
      <c r="S403" s="20" t="s">
        <v>125</v>
      </c>
      <c r="T403" s="20"/>
      <c r="U403" s="20"/>
      <c r="V403" s="20"/>
      <c r="W403" s="20" t="str">
        <f>TEXT(Table4[[#This Row],[Confirmed Sampling Date]], "yyyy") &amp; "_" &amp; TEXT(Table4[[#This Row],[Confirmed Sampling Date]], "mm") &amp; "_" &amp; TEXT(Table4[[#This Row],[Confirmed Sampling Date]], "dd")</f>
        <v>2025_11_02</v>
      </c>
      <c r="X403" s="20" t="str">
        <f t="shared" si="6"/>
        <v>Berlin</v>
      </c>
      <c r="Y403" s="20" t="str">
        <f>VLOOKUP(Table4[[#This Row],[FromSite-UPS]],Table1[[Company or Name]:[NOTES]],2,FALSE)</f>
        <v>Germany</v>
      </c>
      <c r="Z403" s="20">
        <f>IFERROR(WEEKNUM(Table4[[#This Row],[Confirmed Sampling Date]] - 10, 21), "TBD")</f>
        <v>43</v>
      </c>
      <c r="AA403" s="20" t="str">
        <f>_xlfn.XLOOKUP(Table4[[#This Row],[FromSite-UPS]],sites!D:D,sites!W:W,"",0)</f>
        <v>Strasse am Klarwerk 4, Klarwerk Wassmannsdorf, Schoenefeld, 12529, Germany</v>
      </c>
      <c r="AB403" s="20" t="str">
        <f>_xlfn.XLOOKUP(Table4[[#This Row],[ToLab]],labs!D:D,labs!P:P,"no adres",0)</f>
        <v>Av. Rovisco Pais 1, Laboratorio de Analises de Agua, Lisbon, 1049-001, Portugal</v>
      </c>
      <c r="AC403" s="20">
        <f>_xlfn.XLOOKUP(Table4[[#This Row],[combi]],AREA!E:E,AREA!F:F,"",0)</f>
        <v>89</v>
      </c>
      <c r="AD403" s="20" t="str">
        <f>_xlfn.XLOOKUP(Table4[[#This Row],[combi]],AREA!E:E,AREA!G:G,"",0)</f>
        <v>Pick-up service of hypothetic package as defined in the Tech. Specs. and delivery to lots
2 and 3 contractors according to Scenario 1</v>
      </c>
      <c r="AE403" s="20" t="s">
        <v>126</v>
      </c>
      <c r="AF403" s="20" t="str">
        <f>_xlfn.XLOOKUP(Table4[[#This Row],[FromSite-UPS]],sites!D:D,sites!AB:AB,"",0)&amp;_xlfn.XLOOKUP(Table4[[#This Row],[ToLab]],labs!D:D,labs!Q:Q,"",0)</f>
        <v>EUEU</v>
      </c>
    </row>
    <row r="404" spans="2:32" ht="15.6" hidden="1" customHeight="1" x14ac:dyDescent="0.25">
      <c r="B404" s="13">
        <v>551</v>
      </c>
      <c r="C404" s="14" t="s">
        <v>53</v>
      </c>
      <c r="D404" s="13">
        <v>1</v>
      </c>
      <c r="E404" s="83">
        <v>45963</v>
      </c>
      <c r="F404" s="83">
        <v>45964</v>
      </c>
      <c r="G404" s="20">
        <f>IFERROR(WEEKNUM(Table4[[#This Row],[Confirmed Pick-up Date]]),"TBD")</f>
        <v>45</v>
      </c>
      <c r="H404" s="20" t="str">
        <f>IFERROR(TEXT(Table4[[#This Row],[Confirmed Pick-up Date]],"yy-mm"),"TBD")</f>
        <v>25-11</v>
      </c>
      <c r="I404" s="13" t="s">
        <v>13</v>
      </c>
      <c r="J404" s="20" t="str">
        <f>IFERROR(VLOOKUP(Table4[[#This Row],[FromSite-UPS]],Table1[[#All],[Company or Name]:[FromSite3]],15,FALSE),"")</f>
        <v>Berlin (Schoenefeld) WWTP</v>
      </c>
      <c r="K404" s="20" t="str">
        <f>IFERROR(VLOOKUP(Table4[[#This Row],[FromSite-UPS]],Table1[[#All],[Company or Name]:[FromSite3]],16,FALSE),"")</f>
        <v>Berlin Airport</v>
      </c>
      <c r="L404" s="20">
        <f>IFERROR(VLOOKUP(Table4[[#This Row],[FromSite-UPS]],Table1[[#All],[Company or Name]:[FromSite3]],14,FALSE),"")</f>
        <v>0.58333333333333337</v>
      </c>
      <c r="M404" s="13" t="s">
        <v>1283</v>
      </c>
      <c r="N404" s="20" t="s">
        <v>813</v>
      </c>
      <c r="O404" s="13" t="s">
        <v>1911</v>
      </c>
      <c r="P404" s="20"/>
      <c r="Q404" s="20"/>
      <c r="R404" s="20"/>
      <c r="S404" s="20" t="s">
        <v>125</v>
      </c>
      <c r="T404" s="20"/>
      <c r="U404" s="20"/>
      <c r="V404" s="20"/>
      <c r="W404" s="20" t="str">
        <f>TEXT(Table4[[#This Row],[Confirmed Sampling Date]], "yyyy") &amp; "_" &amp; TEXT(Table4[[#This Row],[Confirmed Sampling Date]], "mm") &amp; "_" &amp; TEXT(Table4[[#This Row],[Confirmed Sampling Date]], "dd")</f>
        <v>2025_11_02</v>
      </c>
      <c r="X404" s="20" t="str">
        <f t="shared" si="6"/>
        <v>Berlin</v>
      </c>
      <c r="Y404" s="20" t="str">
        <f>VLOOKUP(Table4[[#This Row],[FromSite-UPS]],Table1[[Company or Name]:[NOTES]],2,FALSE)</f>
        <v>Germany</v>
      </c>
      <c r="Z404" s="20">
        <f>IFERROR(WEEKNUM(Table4[[#This Row],[Confirmed Sampling Date]] - 10, 21), "TBD")</f>
        <v>43</v>
      </c>
      <c r="AA404" s="20" t="str">
        <f>_xlfn.XLOOKUP(Table4[[#This Row],[FromSite-UPS]],sites!D:D,sites!W:W,"",0)</f>
        <v>Strasse am Klarwerk 4, Klarwerk Wassmannsdorf, Schoenefeld, 12529, Germany</v>
      </c>
      <c r="AB404" s="20" t="str">
        <f>_xlfn.XLOOKUP(Table4[[#This Row],[ToLab]],labs!D:D,labs!P:P,"no adres",0)</f>
        <v>C. del Dracma 16-18, Labaqua SAU - Sede Alicante, Alicante, 03114 , Spain</v>
      </c>
      <c r="AC404" s="20">
        <f>_xlfn.XLOOKUP(Table4[[#This Row],[combi]],AREA!E:E,AREA!F:F,"",0)</f>
        <v>89</v>
      </c>
      <c r="AD404" s="20" t="str">
        <f>_xlfn.XLOOKUP(Table4[[#This Row],[combi]],AREA!E:E,AREA!G:G,"",0)</f>
        <v>Pick-up service of hypothetic package as defined in the Tech. Specs. and delivery to lots
2 and 3 contractors according to Scenario 1</v>
      </c>
      <c r="AE404" s="20" t="s">
        <v>126</v>
      </c>
      <c r="AF404" s="20" t="str">
        <f>_xlfn.XLOOKUP(Table4[[#This Row],[FromSite-UPS]],sites!D:D,sites!AB:AB,"",0)&amp;_xlfn.XLOOKUP(Table4[[#This Row],[ToLab]],labs!D:D,labs!Q:Q,"",0)</f>
        <v>EUEU</v>
      </c>
    </row>
    <row r="405" spans="2:32" ht="15.6" hidden="1" customHeight="1" x14ac:dyDescent="0.25">
      <c r="B405" s="13">
        <v>559</v>
      </c>
      <c r="C405" s="14" t="s">
        <v>53</v>
      </c>
      <c r="D405" s="13">
        <v>1</v>
      </c>
      <c r="E405" s="83">
        <v>45963</v>
      </c>
      <c r="F405" s="83">
        <v>45964</v>
      </c>
      <c r="G405" s="20">
        <v>45</v>
      </c>
      <c r="H405" s="20" t="s">
        <v>1288</v>
      </c>
      <c r="I405" s="13" t="s">
        <v>13</v>
      </c>
      <c r="J405" s="20" t="s">
        <v>363</v>
      </c>
      <c r="K405" s="20" t="s">
        <v>58</v>
      </c>
      <c r="L405" s="13" t="s">
        <v>1283</v>
      </c>
      <c r="M405" s="13" t="s">
        <v>1283</v>
      </c>
      <c r="N405" s="20" t="s">
        <v>813</v>
      </c>
      <c r="O405" s="20" t="s">
        <v>1912</v>
      </c>
      <c r="P405" s="20"/>
      <c r="Q405" s="20"/>
      <c r="R405" s="20"/>
      <c r="S405" s="20" t="s">
        <v>125</v>
      </c>
      <c r="T405" s="20"/>
      <c r="U405" s="20"/>
      <c r="V405" s="20"/>
      <c r="W405" s="20" t="str">
        <f>TEXT(Table4[[#This Row],[Confirmed Sampling Date]], "yyyy") &amp; "_" &amp; TEXT(Table4[[#This Row],[Confirmed Sampling Date]], "mm") &amp; "_" &amp; TEXT(Table4[[#This Row],[Confirmed Sampling Date]], "dd")</f>
        <v>2025_11_02</v>
      </c>
      <c r="X405" s="20" t="str">
        <f t="shared" si="6"/>
        <v>Berlin</v>
      </c>
      <c r="Y405" s="20" t="str">
        <f>VLOOKUP(Table4[[#This Row],[FromSite-UPS]],Table1[[Company or Name]:[NOTES]],2,FALSE)</f>
        <v>Germany</v>
      </c>
      <c r="Z405" s="20">
        <f>IFERROR(WEEKNUM(Table4[[#This Row],[Confirmed Sampling Date]] - 10, 21), "TBD")</f>
        <v>43</v>
      </c>
      <c r="AA405" s="20" t="str">
        <f>_xlfn.XLOOKUP(Table4[[#This Row],[FromSite-UPS]],sites!D:D,sites!W:W,"",0)</f>
        <v>Strasse am Klarwerk 4, Klarwerk Wassmannsdorf, Schoenefeld, 12529, Germany</v>
      </c>
      <c r="AB405" s="20" t="str">
        <f>_xlfn.XLOOKUP(Table4[[#This Row],[ToLab]],labs!D:D,labs!P:P,"no adres",0)</f>
        <v>C. del Dracma 16-18, Labaqua SAU - Sede Alicante, Alicante, 03114 , Spain</v>
      </c>
      <c r="AC405" s="20">
        <f>_xlfn.XLOOKUP(Table4[[#This Row],[combi]],AREA!E:E,AREA!F:F,"",0)</f>
        <v>89</v>
      </c>
      <c r="AD405" s="20" t="str">
        <f>_xlfn.XLOOKUP(Table4[[#This Row],[combi]],AREA!E:E,AREA!G:G,"",0)</f>
        <v>Pick-up service of hypothetic package as defined in the Tech. Specs. and delivery to lots
2 and 3 contractors according to Scenario 1</v>
      </c>
      <c r="AE405" s="20" t="s">
        <v>126</v>
      </c>
      <c r="AF405" s="20" t="str">
        <f>_xlfn.XLOOKUP(Table4[[#This Row],[FromSite-UPS]],sites!D:D,sites!AB:AB,"",0)&amp;_xlfn.XLOOKUP(Table4[[#This Row],[ToLab]],labs!D:D,labs!Q:Q,"",0)</f>
        <v>EUEU</v>
      </c>
    </row>
    <row r="406" spans="2:32" ht="15.6" hidden="1" customHeight="1" x14ac:dyDescent="0.25">
      <c r="B406" s="13">
        <v>58</v>
      </c>
      <c r="C406" s="14" t="s">
        <v>53</v>
      </c>
      <c r="D406" s="13">
        <v>1</v>
      </c>
      <c r="E406" s="79">
        <v>45964</v>
      </c>
      <c r="F406" s="80">
        <v>45965</v>
      </c>
      <c r="G406" s="20">
        <f>IFERROR(WEEKNUM(Table4[[#This Row],[Confirmed Pick-up Date]]),"TBD")</f>
        <v>45</v>
      </c>
      <c r="H406" s="20" t="str">
        <f>IFERROR(TEXT(Table4[[#This Row],[Confirmed Pick-up Date]],"yy-mm"),"TBD")</f>
        <v>25-11</v>
      </c>
      <c r="I406" s="13" t="s">
        <v>364</v>
      </c>
      <c r="J406" s="20" t="str">
        <f>IFERROR(VLOOKUP(Table4[[#This Row],[FromSite-UPS]],Table1[[#All],[Company or Name]:[FromSite3]],15,FALSE),"")</f>
        <v>Brussels WWTP</v>
      </c>
      <c r="K406" s="20" t="str">
        <f>IFERROR(VLOOKUP(Table4[[#This Row],[FromSite-UPS]],Table1[[#All],[Company or Name]:[FromSite3]],16,FALSE),"")</f>
        <v>Brussels Airport</v>
      </c>
      <c r="L406" s="20">
        <f>IFERROR(VLOOKUP(Table4[[#This Row],[FromSite-UPS]],Table1[[#All],[Company or Name]:[FromSite3]],14,FALSE),"")</f>
        <v>0.70833333333333337</v>
      </c>
      <c r="M406" s="13" t="s">
        <v>1011</v>
      </c>
      <c r="N406" s="20" t="s">
        <v>892</v>
      </c>
      <c r="O406" s="13" t="s">
        <v>1883</v>
      </c>
      <c r="P406" s="13"/>
      <c r="Q406" s="20"/>
      <c r="R406" s="20"/>
      <c r="S406" s="20" t="s">
        <v>125</v>
      </c>
      <c r="T406" s="20"/>
      <c r="U406" s="20"/>
      <c r="V406" s="20"/>
      <c r="W406" s="20" t="str">
        <f>TEXT(Table4[[#This Row],[Confirmed Sampling Date]], "yyyy") &amp; "_" &amp; TEXT(Table4[[#This Row],[Confirmed Sampling Date]], "mm") &amp; "_" &amp; TEXT(Table4[[#This Row],[Confirmed Sampling Date]], "dd")</f>
        <v>2025_11_03</v>
      </c>
      <c r="X406" s="20" t="str">
        <f t="shared" si="6"/>
        <v>Brussels</v>
      </c>
      <c r="Y406" s="20" t="str">
        <f>VLOOKUP(Table4[[#This Row],[FromSite-UPS]],Table1[[Company or Name]:[NOTES]],2,FALSE)</f>
        <v>Belgium</v>
      </c>
      <c r="Z406" s="20">
        <f>IFERROR(WEEKNUM(Table4[[#This Row],[Confirmed Sampling Date]] - 10, 21), "TBD")</f>
        <v>43</v>
      </c>
      <c r="AA406" s="20" t="str">
        <f>_xlfn.XLOOKUP(Table4[[#This Row],[FromSite-UPS]],sites!D:D,sites!W:W,"",0)</f>
        <v>Rue Juliette Wytsmanstraat 14, Brussels, 1050, Belgium</v>
      </c>
      <c r="AB406" s="20" t="str">
        <f>_xlfn.XLOOKUP(Table4[[#This Row],[ToLab]],labs!D:D,labs!P:P,"no adres",0)</f>
        <v>Av. Rovisco Pais 1, Laboratorio de Analises de Agua, Lisbon, 1049-001, Portugal</v>
      </c>
      <c r="AC406" s="20">
        <f>_xlfn.XLOOKUP(Table4[[#This Row],[combi]],AREA!E:E,AREA!F:F,"",0)</f>
        <v>89</v>
      </c>
      <c r="AD406" s="20" t="str">
        <f>_xlfn.XLOOKUP(Table4[[#This Row],[combi]],AREA!E:E,AREA!G:G,"",0)</f>
        <v>Pick-up service of hypothetic package as defined in the Tech. Specs. and delivery to lots
2 and 3 contractors according to Scenario 1</v>
      </c>
      <c r="AE406" s="20" t="s">
        <v>126</v>
      </c>
      <c r="AF406" s="20" t="str">
        <f>_xlfn.XLOOKUP(Table4[[#This Row],[FromSite-UPS]],sites!D:D,sites!AB:AB,"",0)&amp;_xlfn.XLOOKUP(Table4[[#This Row],[ToLab]],labs!D:D,labs!Q:Q,"",0)</f>
        <v>EUEU</v>
      </c>
    </row>
    <row r="407" spans="2:32" ht="15.6" hidden="1" customHeight="1" x14ac:dyDescent="0.25">
      <c r="B407" s="13">
        <v>121</v>
      </c>
      <c r="C407" s="14" t="s">
        <v>53</v>
      </c>
      <c r="D407" s="13">
        <v>1</v>
      </c>
      <c r="E407" s="79">
        <v>45964</v>
      </c>
      <c r="F407" s="80">
        <v>45965</v>
      </c>
      <c r="G407" s="20">
        <f>IFERROR(WEEKNUM(Table4[[#This Row],[Confirmed Pick-up Date]]),"TBD")</f>
        <v>45</v>
      </c>
      <c r="H407" s="20" t="str">
        <f>IFERROR(TEXT(Table4[[#This Row],[Confirmed Pick-up Date]],"yy-mm"),"TBD")</f>
        <v>25-11</v>
      </c>
      <c r="I407" s="13" t="s">
        <v>364</v>
      </c>
      <c r="J407" s="20" t="str">
        <f>IFERROR(VLOOKUP(Table4[[#This Row],[FromSite-UPS]],Table1[[#All],[Company or Name]:[FromSite3]],15,FALSE),"")</f>
        <v>Brussels WWTP</v>
      </c>
      <c r="K407" s="20" t="str">
        <f>IFERROR(VLOOKUP(Table4[[#This Row],[FromSite-UPS]],Table1[[#All],[Company or Name]:[FromSite3]],16,FALSE),"")</f>
        <v>Brussels Airport</v>
      </c>
      <c r="L407" s="20">
        <f>IFERROR(VLOOKUP(Table4[[#This Row],[FromSite-UPS]],Table1[[#All],[Company or Name]:[FromSite3]],14,FALSE),"")</f>
        <v>0.70833333333333337</v>
      </c>
      <c r="M407" s="13" t="s">
        <v>1011</v>
      </c>
      <c r="N407" s="20" t="s">
        <v>892</v>
      </c>
      <c r="O407" s="13" t="s">
        <v>1884</v>
      </c>
      <c r="P407" s="13"/>
      <c r="Q407" s="20"/>
      <c r="R407" s="20"/>
      <c r="S407" s="20" t="s">
        <v>125</v>
      </c>
      <c r="T407" s="20"/>
      <c r="U407" s="20"/>
      <c r="V407" s="20"/>
      <c r="W407" s="20" t="str">
        <f>TEXT(Table4[[#This Row],[Confirmed Sampling Date]], "yyyy") &amp; "_" &amp; TEXT(Table4[[#This Row],[Confirmed Sampling Date]], "mm") &amp; "_" &amp; TEXT(Table4[[#This Row],[Confirmed Sampling Date]], "dd")</f>
        <v>2025_11_03</v>
      </c>
      <c r="X407" s="20" t="str">
        <f t="shared" si="6"/>
        <v>Brussels</v>
      </c>
      <c r="Y407" s="20" t="str">
        <f>VLOOKUP(Table4[[#This Row],[FromSite-UPS]],Table1[[Company or Name]:[NOTES]],2,FALSE)</f>
        <v>Belgium</v>
      </c>
      <c r="Z407" s="20">
        <f>IFERROR(WEEKNUM(Table4[[#This Row],[Confirmed Sampling Date]] - 10, 21), "TBD")</f>
        <v>43</v>
      </c>
      <c r="AA407" s="20" t="str">
        <f>_xlfn.XLOOKUP(Table4[[#This Row],[FromSite-UPS]],sites!D:D,sites!W:W,"",0)</f>
        <v>Rue Juliette Wytsmanstraat 14, Brussels, 1050, Belgium</v>
      </c>
      <c r="AB407" s="20" t="str">
        <f>_xlfn.XLOOKUP(Table4[[#This Row],[ToLab]],labs!D:D,labs!P:P,"no adres",0)</f>
        <v>Av. Rovisco Pais 1, Laboratorio de Analises de Agua, Lisbon, 1049-001, Portugal</v>
      </c>
      <c r="AC407" s="20">
        <f>_xlfn.XLOOKUP(Table4[[#This Row],[combi]],AREA!E:E,AREA!F:F,"",0)</f>
        <v>89</v>
      </c>
      <c r="AD407" s="20" t="str">
        <f>_xlfn.XLOOKUP(Table4[[#This Row],[combi]],AREA!E:E,AREA!G:G,"",0)</f>
        <v>Pick-up service of hypothetic package as defined in the Tech. Specs. and delivery to lots
2 and 3 contractors according to Scenario 1</v>
      </c>
      <c r="AE407" s="20" t="s">
        <v>126</v>
      </c>
      <c r="AF407" s="20" t="str">
        <f>_xlfn.XLOOKUP(Table4[[#This Row],[FromSite-UPS]],sites!D:D,sites!AB:AB,"",0)&amp;_xlfn.XLOOKUP(Table4[[#This Row],[ToLab]],labs!D:D,labs!Q:Q,"",0)</f>
        <v>EUEU</v>
      </c>
    </row>
    <row r="408" spans="2:32" ht="15.6" hidden="1" customHeight="1" x14ac:dyDescent="0.25">
      <c r="B408" s="13">
        <v>247</v>
      </c>
      <c r="C408" s="14" t="s">
        <v>53</v>
      </c>
      <c r="D408" s="13">
        <v>1</v>
      </c>
      <c r="E408" s="79">
        <v>45965</v>
      </c>
      <c r="F408" s="80">
        <v>45965</v>
      </c>
      <c r="G408" s="20">
        <f>IFERROR(WEEKNUM(Table4[[#This Row],[Confirmed Pick-up Date]]),"TBD")</f>
        <v>45</v>
      </c>
      <c r="H408" s="20" t="str">
        <f>IFERROR(TEXT(Table4[[#This Row],[Confirmed Pick-up Date]],"yy-mm"),"TBD")</f>
        <v>25-11</v>
      </c>
      <c r="I408" s="64" t="s">
        <v>863</v>
      </c>
      <c r="J408" s="20" t="str">
        <f>IFERROR(VLOOKUP(Table4[[#This Row],[FromSite-UPS]],Table1[[#All],[Company or Name]:[FromSite3]],15,FALSE),"")</f>
        <v>Dusseldorf WWTP 2101</v>
      </c>
      <c r="K408" s="20" t="str">
        <f>IFERROR(VLOOKUP(Table4[[#This Row],[FromSite-UPS]],Table1[[#All],[Company or Name]:[FromSite3]],16,FALSE),"")</f>
        <v>Dusseldorf WWTP 601</v>
      </c>
      <c r="L408" s="20">
        <f>IFERROR(VLOOKUP(Table4[[#This Row],[FromSite-UPS]],Table1[[#All],[Company or Name]:[FromSite3]],14,FALSE),"")</f>
        <v>0.625</v>
      </c>
      <c r="M408" s="13" t="s">
        <v>1011</v>
      </c>
      <c r="N408" s="20" t="s">
        <v>892</v>
      </c>
      <c r="O408" s="13" t="s">
        <v>1885</v>
      </c>
      <c r="P408" s="64"/>
      <c r="Q408" s="64"/>
      <c r="R408" s="20"/>
      <c r="S408" s="20" t="s">
        <v>125</v>
      </c>
      <c r="T408" s="20"/>
      <c r="U408" s="20"/>
      <c r="V408" s="20"/>
      <c r="W408" s="20" t="str">
        <f>TEXT(Table4[[#This Row],[Confirmed Sampling Date]], "yyyy") &amp; "_" &amp; TEXT(Table4[[#This Row],[Confirmed Sampling Date]], "mm") &amp; "_" &amp; TEXT(Table4[[#This Row],[Confirmed Sampling Date]], "dd")</f>
        <v>2025_11_04</v>
      </c>
      <c r="X408" s="20" t="str">
        <f t="shared" si="6"/>
        <v>Dusseldorf</v>
      </c>
      <c r="Y408" s="20" t="str">
        <f>VLOOKUP(Table4[[#This Row],[FromSite-UPS]],Table1[[Company or Name]:[NOTES]],2,FALSE)</f>
        <v>Germany</v>
      </c>
      <c r="Z408" s="20">
        <f>IFERROR(WEEKNUM(Table4[[#This Row],[Confirmed Sampling Date]] - 10, 21), "TBD")</f>
        <v>43</v>
      </c>
      <c r="AA408" s="20" t="str">
        <f>_xlfn.XLOOKUP(Table4[[#This Row],[FromSite-UPS]],sites!D:D,sites!W:W,"",0)</f>
        <v>Auf dem Draap 15, Chemisch-Biologische Laboratorien, Dusseldorf, 40221, Germany</v>
      </c>
      <c r="AB408" s="20" t="str">
        <f>_xlfn.XLOOKUP(Table4[[#This Row],[ToLab]],labs!D:D,labs!P:P,"no adres",0)</f>
        <v>Av. Rovisco Pais 1, Laboratorio de Analises de Agua, Lisbon, 1049-001, Portugal</v>
      </c>
      <c r="AC408" s="20">
        <f>_xlfn.XLOOKUP(Table4[[#This Row],[combi]],AREA!E:E,AREA!F:F,"",0)</f>
        <v>89</v>
      </c>
      <c r="AD408" s="20" t="str">
        <f>_xlfn.XLOOKUP(Table4[[#This Row],[combi]],AREA!E:E,AREA!G:G,"",0)</f>
        <v>Pick-up service of hypothetic package as defined in the Tech. Specs. and delivery to lots
2 and 3 contractors according to Scenario 1</v>
      </c>
      <c r="AE408" s="20" t="s">
        <v>126</v>
      </c>
      <c r="AF408" s="20" t="str">
        <f>_xlfn.XLOOKUP(Table4[[#This Row],[FromSite-UPS]],sites!D:D,sites!AB:AB,"",0)&amp;_xlfn.XLOOKUP(Table4[[#This Row],[ToLab]],labs!D:D,labs!Q:Q,"",0)</f>
        <v>EUEU</v>
      </c>
    </row>
    <row r="409" spans="2:32" ht="15.6" hidden="1" customHeight="1" x14ac:dyDescent="0.25">
      <c r="B409" s="13">
        <v>259</v>
      </c>
      <c r="C409" s="14" t="s">
        <v>53</v>
      </c>
      <c r="D409" s="13">
        <v>1</v>
      </c>
      <c r="E409" s="79">
        <v>45965</v>
      </c>
      <c r="F409" s="81">
        <v>45965</v>
      </c>
      <c r="G409" s="20">
        <f>IFERROR(WEEKNUM(Table4[[#This Row],[Confirmed Pick-up Date]]),"TBD")</f>
        <v>45</v>
      </c>
      <c r="H409" s="20" t="str">
        <f>IFERROR(TEXT(Table4[[#This Row],[Confirmed Pick-up Date]],"yy-mm"),"TBD")</f>
        <v>25-11</v>
      </c>
      <c r="I409" s="66" t="s">
        <v>863</v>
      </c>
      <c r="J409" s="20" t="str">
        <f>IFERROR(VLOOKUP(Table4[[#This Row],[FromSite-UPS]],Table1[[#All],[Company or Name]:[FromSite3]],15,FALSE),"")</f>
        <v>Dusseldorf WWTP 2101</v>
      </c>
      <c r="K409" s="20" t="str">
        <f>IFERROR(VLOOKUP(Table4[[#This Row],[FromSite-UPS]],Table1[[#All],[Company or Name]:[FromSite3]],16,FALSE),"")</f>
        <v>Dusseldorf WWTP 601</v>
      </c>
      <c r="L409" s="20">
        <f>IFERROR(VLOOKUP(Table4[[#This Row],[FromSite-UPS]],Table1[[#All],[Company or Name]:[FromSite3]],14,FALSE),"")</f>
        <v>0.625</v>
      </c>
      <c r="M409" s="13" t="s">
        <v>1011</v>
      </c>
      <c r="N409" s="20" t="s">
        <v>892</v>
      </c>
      <c r="O409" s="13" t="s">
        <v>1886</v>
      </c>
      <c r="P409" s="20"/>
      <c r="Q409" s="20"/>
      <c r="R409" s="20"/>
      <c r="S409" s="20" t="s">
        <v>125</v>
      </c>
      <c r="T409" s="20"/>
      <c r="U409" s="20"/>
      <c r="V409" s="20"/>
      <c r="W409" s="20" t="str">
        <f>TEXT(Table4[[#This Row],[Confirmed Sampling Date]], "yyyy") &amp; "_" &amp; TEXT(Table4[[#This Row],[Confirmed Sampling Date]], "mm") &amp; "_" &amp; TEXT(Table4[[#This Row],[Confirmed Sampling Date]], "dd")</f>
        <v>2025_11_04</v>
      </c>
      <c r="X409" s="20" t="str">
        <f t="shared" si="6"/>
        <v>Dusseldorf</v>
      </c>
      <c r="Y409" s="20" t="str">
        <f>VLOOKUP(Table4[[#This Row],[FromSite-UPS]],Table1[[Company or Name]:[NOTES]],2,FALSE)</f>
        <v>Germany</v>
      </c>
      <c r="Z409" s="20">
        <f>IFERROR(WEEKNUM(Table4[[#This Row],[Confirmed Sampling Date]] - 10, 21), "TBD")</f>
        <v>43</v>
      </c>
      <c r="AA409" s="20" t="str">
        <f>_xlfn.XLOOKUP(Table4[[#This Row],[FromSite-UPS]],sites!D:D,sites!W:W,"",0)</f>
        <v>Auf dem Draap 15, Chemisch-Biologische Laboratorien, Dusseldorf, 40221, Germany</v>
      </c>
      <c r="AB409" s="20" t="str">
        <f>_xlfn.XLOOKUP(Table4[[#This Row],[ToLab]],labs!D:D,labs!P:P,"no adres",0)</f>
        <v>Av. Rovisco Pais 1, Laboratorio de Analises de Agua, Lisbon, 1049-001, Portugal</v>
      </c>
      <c r="AC409" s="20">
        <f>_xlfn.XLOOKUP(Table4[[#This Row],[combi]],AREA!E:E,AREA!F:F,"",0)</f>
        <v>89</v>
      </c>
      <c r="AD409" s="20" t="str">
        <f>_xlfn.XLOOKUP(Table4[[#This Row],[combi]],AREA!E:E,AREA!G:G,"",0)</f>
        <v>Pick-up service of hypothetic package as defined in the Tech. Specs. and delivery to lots
2 and 3 contractors according to Scenario 1</v>
      </c>
      <c r="AE409" s="20" t="s">
        <v>126</v>
      </c>
      <c r="AF409" s="20" t="str">
        <f>_xlfn.XLOOKUP(Table4[[#This Row],[FromSite-UPS]],sites!D:D,sites!AB:AB,"",0)&amp;_xlfn.XLOOKUP(Table4[[#This Row],[ToLab]],labs!D:D,labs!Q:Q,"",0)</f>
        <v>EUEU</v>
      </c>
    </row>
    <row r="410" spans="2:32" ht="15.6" hidden="1" customHeight="1" x14ac:dyDescent="0.25">
      <c r="B410" s="13">
        <v>516</v>
      </c>
      <c r="C410" s="14" t="s">
        <v>53</v>
      </c>
      <c r="D410" s="13">
        <v>1</v>
      </c>
      <c r="E410" s="79">
        <v>45965</v>
      </c>
      <c r="F410" s="80">
        <v>45965</v>
      </c>
      <c r="G410" s="20">
        <f>IFERROR(WEEKNUM(Table4[[#This Row],[Confirmed Pick-up Date]]),"TBD")</f>
        <v>45</v>
      </c>
      <c r="H410" s="20" t="str">
        <f>IFERROR(TEXT(Table4[[#This Row],[Confirmed Pick-up Date]],"yy-mm"),"TBD")</f>
        <v>25-11</v>
      </c>
      <c r="I410" s="78" t="s">
        <v>1125</v>
      </c>
      <c r="J410" s="20" t="str">
        <f>IFERROR(VLOOKUP(Table4[[#This Row],[FromSite-UPS]],Table1[[#All],[Company or Name]:[FromSite3]],15,FALSE),"")</f>
        <v>Cluj-SCBI</v>
      </c>
      <c r="K410" s="20" t="str">
        <f>IFERROR(VLOOKUP(Table4[[#This Row],[FromSite-UPS]],Table1[[#All],[Company or Name]:[FromSite3]],16,FALSE),"")</f>
        <v>-</v>
      </c>
      <c r="L410" s="20">
        <f>IFERROR(VLOOKUP(Table4[[#This Row],[FromSite-UPS]],Table1[[#All],[Company or Name]:[FromSite3]],14,FALSE),"")</f>
        <v>0.66666666666666663</v>
      </c>
      <c r="M410" s="13" t="s">
        <v>1011</v>
      </c>
      <c r="N410" s="20" t="s">
        <v>892</v>
      </c>
      <c r="O410" s="13" t="s">
        <v>1887</v>
      </c>
      <c r="P410" s="20"/>
      <c r="Q410" s="20"/>
      <c r="R410" s="20"/>
      <c r="S410" s="20" t="s">
        <v>125</v>
      </c>
      <c r="T410" s="20"/>
      <c r="U410" s="20"/>
      <c r="V410" s="20"/>
      <c r="W410" s="20" t="str">
        <f>TEXT(Table4[[#This Row],[Confirmed Sampling Date]], "yyyy") &amp; "_" &amp; TEXT(Table4[[#This Row],[Confirmed Sampling Date]], "mm") &amp; "_" &amp; TEXT(Table4[[#This Row],[Confirmed Sampling Date]], "dd")</f>
        <v>2025_11_04</v>
      </c>
      <c r="X410" s="20" t="str">
        <f t="shared" si="6"/>
        <v>Cluj-SCBI</v>
      </c>
      <c r="Y410" s="20" t="str">
        <f>VLOOKUP(Table4[[#This Row],[FromSite-UPS]],Table1[[Company or Name]:[NOTES]],2,FALSE)</f>
        <v>Romania</v>
      </c>
      <c r="Z410" s="20">
        <f>IFERROR(WEEKNUM(Table4[[#This Row],[Confirmed Sampling Date]] - 10, 21), "TBD")</f>
        <v>43</v>
      </c>
      <c r="AA410" s="20" t="str">
        <f>_xlfn.XLOOKUP(Table4[[#This Row],[FromSite-UPS]],sites!D:D,sites!W:W,"",0)</f>
        <v>Strada Iuliu Moldovan 23, Cluj-Napoca, 400003, Romania</v>
      </c>
      <c r="AB410" s="20" t="str">
        <f>_xlfn.XLOOKUP(Table4[[#This Row],[ToLab]],labs!D:D,labs!P:P,"no adres",0)</f>
        <v>Av. Rovisco Pais 1, Laboratorio de Analises de Agua, Lisbon, 1049-001, Portugal</v>
      </c>
      <c r="AC410" s="20" t="str">
        <f>_xlfn.XLOOKUP(Table4[[#This Row],[combi]],AREA!E:E,AREA!F:F,"",0)</f>
        <v/>
      </c>
      <c r="AD410" s="20" t="str">
        <f>_xlfn.XLOOKUP(Table4[[#This Row],[combi]],AREA!E:E,AREA!G:G,"",0)</f>
        <v/>
      </c>
      <c r="AE410" s="20" t="s">
        <v>126</v>
      </c>
      <c r="AF410" s="20" t="s">
        <v>126</v>
      </c>
    </row>
    <row r="411" spans="2:32" ht="15.6" hidden="1" customHeight="1" x14ac:dyDescent="0.25">
      <c r="B411" s="13">
        <v>525</v>
      </c>
      <c r="C411" s="14" t="s">
        <v>53</v>
      </c>
      <c r="D411" s="13">
        <v>1</v>
      </c>
      <c r="E411" s="79">
        <v>45965</v>
      </c>
      <c r="F411" s="80">
        <v>45965</v>
      </c>
      <c r="G411" s="20">
        <f>IFERROR(WEEKNUM(Table4[[#This Row],[Confirmed Pick-up Date]]),"TBD")</f>
        <v>45</v>
      </c>
      <c r="H411" s="20" t="str">
        <f>IFERROR(TEXT(Table4[[#This Row],[Confirmed Pick-up Date]],"yy-mm"),"TBD")</f>
        <v>25-11</v>
      </c>
      <c r="I411" s="78" t="s">
        <v>1132</v>
      </c>
      <c r="J411" s="20" t="str">
        <f>IFERROR(VLOOKUP(Table4[[#This Row],[FromSite-UPS]],Table1[[#All],[Company or Name]:[FromSite3]],15,FALSE),"")</f>
        <v>Cluj-MNC</v>
      </c>
      <c r="K411" s="20" t="str">
        <f>IFERROR(VLOOKUP(Table4[[#This Row],[FromSite-UPS]],Table1[[#All],[Company or Name]:[FromSite3]],16,FALSE),"")</f>
        <v>-</v>
      </c>
      <c r="L411" s="20">
        <f>IFERROR(VLOOKUP(Table4[[#This Row],[FromSite-UPS]],Table1[[#All],[Company or Name]:[FromSite3]],14,FALSE),"")</f>
        <v>0.66666666666666663</v>
      </c>
      <c r="M411" s="13" t="s">
        <v>1011</v>
      </c>
      <c r="N411" s="20" t="s">
        <v>892</v>
      </c>
      <c r="O411" s="13" t="s">
        <v>1888</v>
      </c>
      <c r="P411" s="20"/>
      <c r="Q411" s="20"/>
      <c r="R411" s="20"/>
      <c r="S411" s="20" t="s">
        <v>125</v>
      </c>
      <c r="T411" s="20"/>
      <c r="U411" s="20"/>
      <c r="V411" s="20"/>
      <c r="W411" s="20" t="str">
        <f>TEXT(Table4[[#This Row],[Confirmed Sampling Date]], "yyyy") &amp; "_" &amp; TEXT(Table4[[#This Row],[Confirmed Sampling Date]], "mm") &amp; "_" &amp; TEXT(Table4[[#This Row],[Confirmed Sampling Date]], "dd")</f>
        <v>2025_11_04</v>
      </c>
      <c r="X411" s="20" t="str">
        <f t="shared" si="6"/>
        <v>Cluj-MNC</v>
      </c>
      <c r="Y411" s="20" t="str">
        <f>VLOOKUP(Table4[[#This Row],[FromSite-UPS]],Table1[[Company or Name]:[NOTES]],2,FALSE)</f>
        <v>Romania</v>
      </c>
      <c r="Z411" s="20">
        <f>IFERROR(WEEKNUM(Table4[[#This Row],[Confirmed Sampling Date]] - 10, 21), "TBD")</f>
        <v>43</v>
      </c>
      <c r="AA411" s="20" t="str">
        <f>_xlfn.XLOOKUP(Table4[[#This Row],[FromSite-UPS]],sites!D:D,sites!W:W,"",0)</f>
        <v>Strada Tăbăcarilor 11, Cluj-Napoca, 400139, Romania</v>
      </c>
      <c r="AB411" s="20" t="str">
        <f>_xlfn.XLOOKUP(Table4[[#This Row],[ToLab]],labs!D:D,labs!P:P,"no adres",0)</f>
        <v>Av. Rovisco Pais 1, Laboratorio de Analises de Agua, Lisbon, 1049-001, Portugal</v>
      </c>
      <c r="AC411" s="20">
        <f>_xlfn.XLOOKUP(Table4[[#This Row],[combi]],AREA!E:E,AREA!F:F,"",0)</f>
        <v>89</v>
      </c>
      <c r="AD411" s="20" t="str">
        <f>_xlfn.XLOOKUP(Table4[[#This Row],[combi]],AREA!E:E,AREA!G:G,"",0)</f>
        <v>Pick-up service of hypothetic package as defined in the Tech. Specs. and delivery to lots
2 and 3 contractors according to Scenario 1</v>
      </c>
      <c r="AE411" s="20" t="s">
        <v>126</v>
      </c>
      <c r="AF411" s="20" t="str">
        <f>_xlfn.XLOOKUP(Table4[[#This Row],[FromSite-UPS]],sites!D:D,sites!AB:AB,"",0)&amp;_xlfn.XLOOKUP(Table4[[#This Row],[ToLab]],labs!D:D,labs!Q:Q,"",0)</f>
        <v>EUEU</v>
      </c>
    </row>
    <row r="412" spans="2:32" ht="15.6" hidden="1" customHeight="1" x14ac:dyDescent="0.25">
      <c r="B412" s="13">
        <v>591</v>
      </c>
      <c r="C412" s="14" t="s">
        <v>53</v>
      </c>
      <c r="D412" s="13">
        <v>1</v>
      </c>
      <c r="E412" s="83">
        <v>45964</v>
      </c>
      <c r="F412" s="83">
        <v>45965</v>
      </c>
      <c r="G412" s="20">
        <f>IFERROR(WEEKNUM(Table4[[#This Row],[Confirmed Pick-up Date]]),"TBD")</f>
        <v>45</v>
      </c>
      <c r="H412" s="20" t="str">
        <f>IFERROR(TEXT(Table4[[#This Row],[Confirmed Pick-up Date]],"yy-mm"),"TBD")</f>
        <v>25-11</v>
      </c>
      <c r="I412" s="13" t="s">
        <v>1292</v>
      </c>
      <c r="J412" s="20" t="str">
        <f>IFERROR(VLOOKUP(Table4[[#This Row],[FromSite-UPS]],Table1[[#All],[Company or Name]:[FromSite3]],15,FALSE),"")</f>
        <v>Bologna WWTP</v>
      </c>
      <c r="K412" s="20" t="s">
        <v>127</v>
      </c>
      <c r="L412" s="20">
        <f>IFERROR(VLOOKUP(Table4[[#This Row],[FromSite-UPS]],Table1[[#All],[Company or Name]:[FromSite3]],14,FALSE),"")</f>
        <v>0.66666666666666663</v>
      </c>
      <c r="M412" s="13" t="s">
        <v>1011</v>
      </c>
      <c r="N412" s="20" t="s">
        <v>892</v>
      </c>
      <c r="O412" s="13" t="s">
        <v>1889</v>
      </c>
      <c r="P412" s="20"/>
      <c r="Q412" s="20"/>
      <c r="R412" s="20"/>
      <c r="S412" s="20" t="s">
        <v>125</v>
      </c>
      <c r="T412" s="20"/>
      <c r="U412" s="20"/>
      <c r="V412" s="20"/>
      <c r="W412" s="20" t="str">
        <f>TEXT(Table4[[#This Row],[Confirmed Sampling Date]], "yyyy") &amp; "_" &amp; TEXT(Table4[[#This Row],[Confirmed Sampling Date]], "mm") &amp; "_" &amp; TEXT(Table4[[#This Row],[Confirmed Sampling Date]], "dd")</f>
        <v>2025_11_03</v>
      </c>
      <c r="X412" s="20" t="str">
        <f t="shared" si="6"/>
        <v>Bologna</v>
      </c>
      <c r="Y412" s="20" t="str">
        <f>VLOOKUP(Table4[[#This Row],[FromSite-UPS]],Table1[[Company or Name]:[NOTES]],2,FALSE)</f>
        <v>Italy</v>
      </c>
      <c r="Z412" s="20">
        <f>IFERROR(WEEKNUM(Table4[[#This Row],[Confirmed Sampling Date]] - 10, 21), "TBD")</f>
        <v>43</v>
      </c>
      <c r="AA412" s="20" t="str">
        <f>_xlfn.XLOOKUP(Table4[[#This Row],[FromSite-UPS]],sites!D:D,sites!W:W,"",0)</f>
        <v>VIA SHAKESPEARE 29, Bologna, 40128, Italy</v>
      </c>
      <c r="AB412" s="20" t="str">
        <f>_xlfn.XLOOKUP(Table4[[#This Row],[ToLab]],labs!D:D,labs!P:P,"no adres",0)</f>
        <v>Av. Rovisco Pais 1, Laboratorio de Analises de Agua, Lisbon, 1049-001, Portugal</v>
      </c>
      <c r="AC412" s="20">
        <f>_xlfn.XLOOKUP(Table4[[#This Row],[combi]],AREA!E:E,AREA!F:F,"",0)</f>
        <v>89</v>
      </c>
      <c r="AD412" s="20" t="str">
        <f>_xlfn.XLOOKUP(Table4[[#This Row],[combi]],AREA!E:E,AREA!G:G,"",0)</f>
        <v>Pick-up service of hypothetic package as defined in the Tech. Specs. and delivery to lots
2 and 3 contractors according to Scenario 1</v>
      </c>
      <c r="AE412" s="20" t="s">
        <v>126</v>
      </c>
      <c r="AF412" s="20" t="str">
        <f>_xlfn.XLOOKUP(Table4[[#This Row],[FromSite-UPS]],sites!D:D,sites!AB:AB,"",0)&amp;_xlfn.XLOOKUP(Table4[[#This Row],[ToLab]],labs!D:D,labs!Q:Q,"",0)</f>
        <v>EUEU</v>
      </c>
    </row>
    <row r="413" spans="2:32" ht="15.6" hidden="1" customHeight="1" x14ac:dyDescent="0.25">
      <c r="B413" s="13">
        <v>31</v>
      </c>
      <c r="C413" s="14" t="s">
        <v>53</v>
      </c>
      <c r="D413" s="13">
        <v>1</v>
      </c>
      <c r="E413" s="79">
        <v>45965</v>
      </c>
      <c r="F413" s="80">
        <v>45966</v>
      </c>
      <c r="G413" s="20">
        <f>IFERROR(WEEKNUM(Table4[[#This Row],[Confirmed Pick-up Date]]),"TBD")</f>
        <v>45</v>
      </c>
      <c r="H413" s="20" t="str">
        <f>IFERROR(TEXT(Table4[[#This Row],[Confirmed Pick-up Date]],"yy-mm"),"TBD")</f>
        <v>25-11</v>
      </c>
      <c r="I413" s="13" t="s">
        <v>19</v>
      </c>
      <c r="J413" s="13" t="str">
        <f>IFERROR(VLOOKUP(Table4[[#This Row],[FromSite-UPS]],Table1[[#All],[Company or Name]:[FromSite3]],15,FALSE),"")</f>
        <v>Munich WWTP</v>
      </c>
      <c r="K413" s="20" t="str">
        <f>IFERROR(VLOOKUP(Table4[[#This Row],[FromSite-UPS]],Table1[[#All],[Company or Name]:[FromSite3]],16,FALSE),"")</f>
        <v>Munich Airport</v>
      </c>
      <c r="L413" s="20">
        <f>IFERROR(VLOOKUP(Table4[[#This Row],[FromSite-UPS]],Table1[[#All],[Company or Name]:[FromSite3]],14,FALSE),"")</f>
        <v>0.58333333333333337</v>
      </c>
      <c r="M413" s="13" t="s">
        <v>1011</v>
      </c>
      <c r="N413" s="20" t="s">
        <v>813</v>
      </c>
      <c r="O413" s="13" t="s">
        <v>1906</v>
      </c>
      <c r="P413" s="13"/>
      <c r="Q413" s="20"/>
      <c r="R413" s="20"/>
      <c r="S413" s="20" t="s">
        <v>125</v>
      </c>
      <c r="T413" s="20"/>
      <c r="U413" s="20"/>
      <c r="V413" s="20"/>
      <c r="W413" s="20" t="str">
        <f>TEXT(Table4[[#This Row],[Confirmed Sampling Date]], "yyyy") &amp; "_" &amp; TEXT(Table4[[#This Row],[Confirmed Sampling Date]], "mm") &amp; "_" &amp; TEXT(Table4[[#This Row],[Confirmed Sampling Date]], "dd")</f>
        <v>2025_11_04</v>
      </c>
      <c r="X413" s="20" t="str">
        <f t="shared" si="6"/>
        <v>Munich</v>
      </c>
      <c r="Y413" s="20" t="str">
        <f>VLOOKUP(Table4[[#This Row],[FromSite-UPS]],Table1[[Company or Name]:[NOTES]],2,FALSE)</f>
        <v>Germany</v>
      </c>
      <c r="Z413" s="20">
        <f>IFERROR(WEEKNUM(Table4[[#This Row],[Confirmed Sampling Date]] - 10, 21), "TBD")</f>
        <v>43</v>
      </c>
      <c r="AA413" s="20" t="str">
        <f>_xlfn.XLOOKUP(Table4[[#This Row],[FromSite-UPS]],sites!D:D,sites!W:W,"",0)</f>
        <v>Leopoldstrasse 5, Institut fuer Infektions- und Tropenmedizin, Munich, 80802, Germany</v>
      </c>
      <c r="AB413" s="20" t="str">
        <f>_xlfn.XLOOKUP(Table4[[#This Row],[ToLab]],labs!D:D,labs!P:P,"no adres",0)</f>
        <v>Av. Rovisco Pais 1, Laboratorio de Analises de Agua, Lisbon, 1049-001, Portugal</v>
      </c>
      <c r="AC413" s="20">
        <f>_xlfn.XLOOKUP(Table4[[#This Row],[combi]],AREA!E:E,AREA!F:F,"",0)</f>
        <v>89</v>
      </c>
      <c r="AD413" s="20" t="str">
        <f>_xlfn.XLOOKUP(Table4[[#This Row],[combi]],AREA!E:E,AREA!G:G,"",0)</f>
        <v>Pick-up service of hypothetic package as defined in the Tech. Specs. and delivery to lots
2 and 3 contractors according to Scenario 1</v>
      </c>
      <c r="AE413" s="20" t="s">
        <v>126</v>
      </c>
      <c r="AF413" s="20" t="str">
        <f>_xlfn.XLOOKUP(Table4[[#This Row],[FromSite-UPS]],sites!D:D,sites!AB:AB,"",0)&amp;_xlfn.XLOOKUP(Table4[[#This Row],[ToLab]],labs!D:D,labs!Q:Q,"",0)</f>
        <v>EUEU</v>
      </c>
    </row>
    <row r="414" spans="2:32" ht="15.6" hidden="1" customHeight="1" x14ac:dyDescent="0.25">
      <c r="B414" s="13">
        <v>45</v>
      </c>
      <c r="C414" s="14" t="s">
        <v>53</v>
      </c>
      <c r="D414" s="13">
        <v>1</v>
      </c>
      <c r="E414" s="79">
        <v>45965</v>
      </c>
      <c r="F414" s="80">
        <v>45966</v>
      </c>
      <c r="G414" s="20">
        <f>IFERROR(WEEKNUM(Table4[[#This Row],[Confirmed Pick-up Date]]),"TBD")</f>
        <v>45</v>
      </c>
      <c r="H414" s="20" t="str">
        <f>IFERROR(TEXT(Table4[[#This Row],[Confirmed Pick-up Date]],"yy-mm"),"TBD")</f>
        <v>25-11</v>
      </c>
      <c r="I414" s="64" t="s">
        <v>677</v>
      </c>
      <c r="J414" s="13" t="str">
        <f>IFERROR(VLOOKUP(Table4[[#This Row],[FromSite-UPS]],Table1[[#All],[Company or Name]:[FromSite3]],15,FALSE),"")</f>
        <v>Frankfurt WWTP</v>
      </c>
      <c r="K414" s="20" t="str">
        <f>IFERROR(VLOOKUP(Table4[[#This Row],[FromSite-UPS]],Table1[[#All],[Company or Name]:[FromSite3]],16,FALSE),"")</f>
        <v>Frankfurt Airport</v>
      </c>
      <c r="L414" s="20">
        <f>IFERROR(VLOOKUP(Table4[[#This Row],[FromSite-UPS]],Table1[[#All],[Company or Name]:[FromSite3]],14,FALSE),"")</f>
        <v>0.58333333333333337</v>
      </c>
      <c r="M414" s="13" t="s">
        <v>1011</v>
      </c>
      <c r="N414" s="20" t="s">
        <v>813</v>
      </c>
      <c r="O414" s="13" t="s">
        <v>1908</v>
      </c>
      <c r="P414" s="64"/>
      <c r="Q414" s="65"/>
      <c r="R414" s="20"/>
      <c r="S414" s="20" t="s">
        <v>125</v>
      </c>
      <c r="T414" s="20"/>
      <c r="U414" s="20"/>
      <c r="V414" s="20"/>
      <c r="W414" s="20" t="str">
        <f>TEXT(Table4[[#This Row],[Confirmed Sampling Date]], "yyyy") &amp; "_" &amp; TEXT(Table4[[#This Row],[Confirmed Sampling Date]], "mm") &amp; "_" &amp; TEXT(Table4[[#This Row],[Confirmed Sampling Date]], "dd")</f>
        <v>2025_11_04</v>
      </c>
      <c r="X414" s="20" t="str">
        <f t="shared" si="6"/>
        <v>Frankfurt</v>
      </c>
      <c r="Y414" s="20" t="str">
        <f>VLOOKUP(Table4[[#This Row],[FromSite-UPS]],Table1[[Company or Name]:[NOTES]],2,FALSE)</f>
        <v>Germany</v>
      </c>
      <c r="Z414" s="20">
        <f>IFERROR(WEEKNUM(Table4[[#This Row],[Confirmed Sampling Date]] - 10, 21), "TBD")</f>
        <v>43</v>
      </c>
      <c r="AA414" s="20" t="str">
        <f>_xlfn.XLOOKUP(Table4[[#This Row],[FromSite-UPS]],sites!D:D,sites!W:W,"",0)</f>
        <v>Goldsteinstraße 160, Gebäude 71 , Frankfurt am Main , 60528, Germany</v>
      </c>
      <c r="AB414" s="20" t="str">
        <f>_xlfn.XLOOKUP(Table4[[#This Row],[ToLab]],labs!D:D,labs!P:P,"no adres",0)</f>
        <v>Av. Rovisco Pais 1, Laboratorio de Analises de Agua, Lisbon, 1049-001, Portugal</v>
      </c>
      <c r="AC414" s="20">
        <f>_xlfn.XLOOKUP(Table4[[#This Row],[combi]],AREA!E:E,AREA!F:F,"",0)</f>
        <v>89</v>
      </c>
      <c r="AD414" s="20" t="str">
        <f>_xlfn.XLOOKUP(Table4[[#This Row],[combi]],AREA!E:E,AREA!G:G,"",0)</f>
        <v>Pick-up service of hypothetic package as defined in the Tech. Specs. and delivery to lots
2 and 3 contractors according to Scenario 1</v>
      </c>
      <c r="AE414" s="20" t="s">
        <v>126</v>
      </c>
      <c r="AF414" s="20" t="str">
        <f>_xlfn.XLOOKUP(Table4[[#This Row],[FromSite-UPS]],sites!D:D,sites!AB:AB,"",0)&amp;_xlfn.XLOOKUP(Table4[[#This Row],[ToLab]],labs!D:D,labs!Q:Q,"",0)</f>
        <v>EUEU</v>
      </c>
    </row>
    <row r="415" spans="2:32" ht="15.6" hidden="1" customHeight="1" x14ac:dyDescent="0.25">
      <c r="B415" s="13">
        <v>94</v>
      </c>
      <c r="C415" s="14" t="s">
        <v>53</v>
      </c>
      <c r="D415" s="13">
        <v>1</v>
      </c>
      <c r="E415" s="79">
        <v>45965</v>
      </c>
      <c r="F415" s="80">
        <v>45966</v>
      </c>
      <c r="G415" s="20">
        <f>IFERROR(WEEKNUM(Table4[[#This Row],[Confirmed Pick-up Date]]),"TBD")</f>
        <v>45</v>
      </c>
      <c r="H415" s="20" t="str">
        <f>IFERROR(TEXT(Table4[[#This Row],[Confirmed Pick-up Date]],"yy-mm"),"TBD")</f>
        <v>25-11</v>
      </c>
      <c r="I415" s="13" t="s">
        <v>19</v>
      </c>
      <c r="J415" s="20" t="str">
        <f>IFERROR(VLOOKUP(Table4[[#This Row],[FromSite-UPS]],Table1[[#All],[Company or Name]:[FromSite3]],15,FALSE),"")</f>
        <v>Munich WWTP</v>
      </c>
      <c r="K415" s="20" t="str">
        <f>IFERROR(VLOOKUP(Table4[[#This Row],[FromSite-UPS]],Table1[[#All],[Company or Name]:[FromSite3]],16,FALSE),"")</f>
        <v>Munich Airport</v>
      </c>
      <c r="L415" s="20">
        <f>IFERROR(VLOOKUP(Table4[[#This Row],[FromSite-UPS]],Table1[[#All],[Company or Name]:[FromSite3]],14,FALSE),"")</f>
        <v>0.58333333333333337</v>
      </c>
      <c r="M415" s="13" t="s">
        <v>1011</v>
      </c>
      <c r="N415" s="20" t="s">
        <v>813</v>
      </c>
      <c r="O415" s="13" t="s">
        <v>1907</v>
      </c>
      <c r="P415" s="64"/>
      <c r="Q415" s="65"/>
      <c r="R415" s="20"/>
      <c r="S415" s="20" t="s">
        <v>125</v>
      </c>
      <c r="T415" s="20"/>
      <c r="U415" s="20"/>
      <c r="V415" s="20"/>
      <c r="W415" s="20" t="str">
        <f>TEXT(Table4[[#This Row],[Confirmed Sampling Date]], "yyyy") &amp; "_" &amp; TEXT(Table4[[#This Row],[Confirmed Sampling Date]], "mm") &amp; "_" &amp; TEXT(Table4[[#This Row],[Confirmed Sampling Date]], "dd")</f>
        <v>2025_11_04</v>
      </c>
      <c r="X415" s="20" t="str">
        <f t="shared" si="6"/>
        <v>Munich</v>
      </c>
      <c r="Y415" s="20" t="str">
        <f>VLOOKUP(Table4[[#This Row],[FromSite-UPS]],Table1[[Company or Name]:[NOTES]],2,FALSE)</f>
        <v>Germany</v>
      </c>
      <c r="Z415" s="20">
        <f>IFERROR(WEEKNUM(Table4[[#This Row],[Confirmed Sampling Date]] - 10, 21), "TBD")</f>
        <v>43</v>
      </c>
      <c r="AA415" s="20" t="str">
        <f>_xlfn.XLOOKUP(Table4[[#This Row],[FromSite-UPS]],sites!D:D,sites!W:W,"",0)</f>
        <v>Leopoldstrasse 5, Institut fuer Infektions- und Tropenmedizin, Munich, 80802, Germany</v>
      </c>
      <c r="AB415" s="20" t="str">
        <f>_xlfn.XLOOKUP(Table4[[#This Row],[ToLab]],labs!D:D,labs!P:P,"no adres",0)</f>
        <v>Av. Rovisco Pais 1, Laboratorio de Analises de Agua, Lisbon, 1049-001, Portugal</v>
      </c>
      <c r="AC415" s="20">
        <f>_xlfn.XLOOKUP(Table4[[#This Row],[combi]],AREA!E:E,AREA!F:F,"",0)</f>
        <v>89</v>
      </c>
      <c r="AD415" s="20" t="str">
        <f>_xlfn.XLOOKUP(Table4[[#This Row],[combi]],AREA!E:E,AREA!G:G,"",0)</f>
        <v>Pick-up service of hypothetic package as defined in the Tech. Specs. and delivery to lots
2 and 3 contractors according to Scenario 1</v>
      </c>
      <c r="AE415" s="20" t="s">
        <v>126</v>
      </c>
      <c r="AF415" s="20" t="str">
        <f>_xlfn.XLOOKUP(Table4[[#This Row],[FromSite-UPS]],sites!D:D,sites!AB:AB,"",0)&amp;_xlfn.XLOOKUP(Table4[[#This Row],[ToLab]],labs!D:D,labs!Q:Q,"",0)</f>
        <v>EUEU</v>
      </c>
    </row>
    <row r="416" spans="2:32" ht="15.6" hidden="1" customHeight="1" x14ac:dyDescent="0.25">
      <c r="B416" s="13">
        <v>143</v>
      </c>
      <c r="C416" s="14" t="s">
        <v>53</v>
      </c>
      <c r="D416" s="13">
        <v>1</v>
      </c>
      <c r="E416" s="79">
        <v>45966</v>
      </c>
      <c r="F416" s="81">
        <v>45966</v>
      </c>
      <c r="G416" s="20">
        <f>IFERROR(WEEKNUM(Table4[[#This Row],[Confirmed Pick-up Date]]),"TBD")</f>
        <v>45</v>
      </c>
      <c r="H416" s="20" t="str">
        <f>IFERROR(TEXT(Table4[[#This Row],[Confirmed Pick-up Date]],"yy-mm"),"TBD")</f>
        <v>25-11</v>
      </c>
      <c r="I416" s="64" t="s">
        <v>680</v>
      </c>
      <c r="J416" s="20" t="str">
        <f>IFERROR(VLOOKUP(Table4[[#This Row],[FromSite-UPS]],Table1[[#All],[Company or Name]:[FromSite3]],15,FALSE),"")</f>
        <v>Rome WWTP</v>
      </c>
      <c r="K416" s="20" t="str">
        <f>IFERROR(VLOOKUP(Table4[[#This Row],[FromSite-UPS]],Table1[[#All],[Company or Name]:[FromSite3]],16,FALSE),"")</f>
        <v>-</v>
      </c>
      <c r="L416" s="20">
        <f>IFERROR(VLOOKUP(Table4[[#This Row],[FromSite-UPS]],Table1[[#All],[Company or Name]:[FromSite3]],14,FALSE),"")</f>
        <v>0.70833333333333337</v>
      </c>
      <c r="M416" s="13" t="s">
        <v>1011</v>
      </c>
      <c r="N416" s="20" t="s">
        <v>813</v>
      </c>
      <c r="O416" s="13" t="s">
        <v>1917</v>
      </c>
      <c r="P416" s="13"/>
      <c r="Q416" s="20"/>
      <c r="R416" s="20"/>
      <c r="S416" s="20" t="s">
        <v>125</v>
      </c>
      <c r="T416" s="20"/>
      <c r="U416" s="20"/>
      <c r="V416" s="20"/>
      <c r="W416" s="20" t="str">
        <f>TEXT(Table4[[#This Row],[Confirmed Sampling Date]], "yyyy") &amp; "_" &amp; TEXT(Table4[[#This Row],[Confirmed Sampling Date]], "mm") &amp; "_" &amp; TEXT(Table4[[#This Row],[Confirmed Sampling Date]], "dd")</f>
        <v>2025_11_05</v>
      </c>
      <c r="X416" s="20" t="str">
        <f t="shared" si="6"/>
        <v>Rome</v>
      </c>
      <c r="Y416" s="20" t="str">
        <f>VLOOKUP(Table4[[#This Row],[FromSite-UPS]],Table1[[Company or Name]:[NOTES]],2,FALSE)</f>
        <v>Italy</v>
      </c>
      <c r="Z416" s="20">
        <f>IFERROR(WEEKNUM(Table4[[#This Row],[Confirmed Sampling Date]] - 10, 21), "TBD")</f>
        <v>43</v>
      </c>
      <c r="AA416" s="20" t="str">
        <f>_xlfn.XLOOKUP(Table4[[#This Row],[FromSite-UPS]],sites!D:D,sites!W:W,"",0)</f>
        <v>Via dell'Equitazione 10, Rome, 00144, Italy</v>
      </c>
      <c r="AB416" s="20" t="str">
        <f>_xlfn.XLOOKUP(Table4[[#This Row],[ToLab]],labs!D:D,labs!P:P,"no adres",0)</f>
        <v>Av. Rovisco Pais 1, Laboratorio de Analises de Agua, Lisbon, 1049-001, Portugal</v>
      </c>
      <c r="AC416" s="20">
        <f>_xlfn.XLOOKUP(Table4[[#This Row],[combi]],AREA!E:E,AREA!F:F,"",0)</f>
        <v>89</v>
      </c>
      <c r="AD416" s="20" t="str">
        <f>_xlfn.XLOOKUP(Table4[[#This Row],[combi]],AREA!E:E,AREA!G:G,"",0)</f>
        <v>Pick-up service of hypothetic package as defined in the Tech. Specs. and delivery to lots
2 and 3 contractors according to Scenario 1</v>
      </c>
      <c r="AE416" s="20" t="s">
        <v>126</v>
      </c>
      <c r="AF416" s="20" t="str">
        <f>_xlfn.XLOOKUP(Table4[[#This Row],[FromSite-UPS]],sites!D:D,sites!AB:AB,"",0)&amp;_xlfn.XLOOKUP(Table4[[#This Row],[ToLab]],labs!D:D,labs!Q:Q,"",0)</f>
        <v>EUEU</v>
      </c>
    </row>
    <row r="417" spans="2:32" ht="15.6" hidden="1" customHeight="1" x14ac:dyDescent="0.25">
      <c r="B417" s="13">
        <v>157</v>
      </c>
      <c r="C417" s="14" t="s">
        <v>53</v>
      </c>
      <c r="D417" s="13">
        <v>1</v>
      </c>
      <c r="E417" s="79">
        <v>45966</v>
      </c>
      <c r="F417" s="80">
        <v>45966</v>
      </c>
      <c r="G417" s="20">
        <f>IFERROR(WEEKNUM(Table4[[#This Row],[Confirmed Pick-up Date]]),"TBD")</f>
        <v>45</v>
      </c>
      <c r="H417" s="20" t="str">
        <f>IFERROR(TEXT(Table4[[#This Row],[Confirmed Pick-up Date]],"yy-mm"),"TBD")</f>
        <v>25-11</v>
      </c>
      <c r="I417" s="13" t="s">
        <v>771</v>
      </c>
      <c r="J417" s="20" t="str">
        <f>IFERROR(VLOOKUP(Table4[[#This Row],[FromSite-UPS]],Table1[[#All],[Company or Name]:[FromSite3]],15,FALSE),"")</f>
        <v>RomeAirport</v>
      </c>
      <c r="K417" s="20" t="str">
        <f>IFERROR(VLOOKUP(Table4[[#This Row],[FromSite-UPS]],Table1[[#All],[Company or Name]:[FromSite3]],16,FALSE),"")</f>
        <v>-</v>
      </c>
      <c r="L417" s="20">
        <f>IFERROR(VLOOKUP(Table4[[#This Row],[FromSite-UPS]],Table1[[#All],[Company or Name]:[FromSite3]],14,FALSE),"")</f>
        <v>0.70833333333333337</v>
      </c>
      <c r="M417" s="13" t="s">
        <v>1011</v>
      </c>
      <c r="N417" s="20" t="s">
        <v>813</v>
      </c>
      <c r="O417" s="13" t="s">
        <v>1916</v>
      </c>
      <c r="P417" s="13"/>
      <c r="Q417" s="20"/>
      <c r="R417" s="20"/>
      <c r="S417" s="20" t="s">
        <v>125</v>
      </c>
      <c r="T417" s="20"/>
      <c r="U417" s="20"/>
      <c r="V417" s="20"/>
      <c r="W417" s="20" t="str">
        <f>TEXT(Table4[[#This Row],[Confirmed Sampling Date]], "yyyy") &amp; "_" &amp; TEXT(Table4[[#This Row],[Confirmed Sampling Date]], "mm") &amp; "_" &amp; TEXT(Table4[[#This Row],[Confirmed Sampling Date]], "dd")</f>
        <v>2025_11_05</v>
      </c>
      <c r="X417" s="20" t="str">
        <f t="shared" si="6"/>
        <v>RomeAirport</v>
      </c>
      <c r="Y417" s="20" t="str">
        <f>VLOOKUP(Table4[[#This Row],[FromSite-UPS]],Table1[[Company or Name]:[NOTES]],2,FALSE)</f>
        <v>Italy</v>
      </c>
      <c r="Z417" s="20">
        <f>IFERROR(WEEKNUM(Table4[[#This Row],[Confirmed Sampling Date]] - 10, 21), "TBD")</f>
        <v>43</v>
      </c>
      <c r="AA417" s="20" t="str">
        <f>_xlfn.XLOOKUP(Table4[[#This Row],[FromSite-UPS]],sites!D:D,sites!W:W,"",0)</f>
        <v>VIA FRATELLI WRIGHT (DEPURATORE BIOLOGICO), FIUMICINO, 00054, Italy</v>
      </c>
      <c r="AB417" s="20" t="str">
        <f>_xlfn.XLOOKUP(Table4[[#This Row],[ToLab]],labs!D:D,labs!P:P,"no adres",0)</f>
        <v>Av. Rovisco Pais 1, Laboratorio de Analises de Agua, Lisbon, 1049-001, Portugal</v>
      </c>
      <c r="AC417" s="20">
        <f>_xlfn.XLOOKUP(Table4[[#This Row],[combi]],AREA!E:E,AREA!F:F,"",0)</f>
        <v>89</v>
      </c>
      <c r="AD417" s="20" t="str">
        <f>_xlfn.XLOOKUP(Table4[[#This Row],[combi]],AREA!E:E,AREA!G:G,"",0)</f>
        <v>Pick-up service of hypothetic package as defined in the Tech. Specs. and delivery to lots
2 and 3 contractors according to Scenario 1</v>
      </c>
      <c r="AE417" s="20" t="s">
        <v>126</v>
      </c>
      <c r="AF417" s="20" t="str">
        <f>_xlfn.XLOOKUP(Table4[[#This Row],[FromSite-UPS]],sites!D:D,sites!AB:AB,"",0)&amp;_xlfn.XLOOKUP(Table4[[#This Row],[ToLab]],labs!D:D,labs!Q:Q,"",0)</f>
        <v>EUEU</v>
      </c>
    </row>
    <row r="418" spans="2:32" ht="15.6" hidden="1" customHeight="1" x14ac:dyDescent="0.25">
      <c r="B418" s="13">
        <v>197</v>
      </c>
      <c r="C418" s="14" t="s">
        <v>53</v>
      </c>
      <c r="D418" s="13">
        <v>1</v>
      </c>
      <c r="E418" s="79">
        <v>45965</v>
      </c>
      <c r="F418" s="80">
        <v>45966</v>
      </c>
      <c r="G418" s="20">
        <f>IFERROR(WEEKNUM(Table4[[#This Row],[Confirmed Pick-up Date]]),"TBD")</f>
        <v>45</v>
      </c>
      <c r="H418" s="20" t="str">
        <f>IFERROR(TEXT(Table4[[#This Row],[Confirmed Pick-up Date]],"yy-mm"),"TBD")</f>
        <v>25-11</v>
      </c>
      <c r="I418" s="13" t="s">
        <v>877</v>
      </c>
      <c r="J418" s="20" t="str">
        <f>IFERROR(VLOOKUP(Table4[[#This Row],[FromSite-UPS]],Table1[[#All],[Company or Name]:[FromSite3]],15,FALSE),"")</f>
        <v>Prague National Institute</v>
      </c>
      <c r="K418" s="20" t="str">
        <f>IFERROR(VLOOKUP(Table4[[#This Row],[FromSite-UPS]],Table1[[#All],[Company or Name]:[FromSite3]],16,FALSE),"")</f>
        <v>Prague WWTP FLOW 1</v>
      </c>
      <c r="L418" s="20">
        <f>IFERROR(VLOOKUP(Table4[[#This Row],[FromSite-UPS]],Table1[[#All],[Company or Name]:[FromSite3]],14,FALSE),"")</f>
        <v>0</v>
      </c>
      <c r="M418" s="13" t="s">
        <v>1011</v>
      </c>
      <c r="N418" s="20" t="s">
        <v>892</v>
      </c>
      <c r="O418" s="13" t="s">
        <v>1890</v>
      </c>
      <c r="P418" s="13"/>
      <c r="Q418" s="20"/>
      <c r="R418" s="20"/>
      <c r="S418" s="20" t="s">
        <v>125</v>
      </c>
      <c r="T418" s="20"/>
      <c r="U418" s="20"/>
      <c r="V418" s="20"/>
      <c r="W418" s="20" t="str">
        <f>TEXT(Table4[[#This Row],[Confirmed Sampling Date]], "yyyy") &amp; "_" &amp; TEXT(Table4[[#This Row],[Confirmed Sampling Date]], "mm") &amp; "_" &amp; TEXT(Table4[[#This Row],[Confirmed Sampling Date]], "dd")</f>
        <v>2025_11_04</v>
      </c>
      <c r="X418" s="20" t="str">
        <f t="shared" si="6"/>
        <v>Prague</v>
      </c>
      <c r="Y418" s="20" t="str">
        <f>VLOOKUP(Table4[[#This Row],[FromSite-UPS]],Table1[[Company or Name]:[NOTES]],2,FALSE)</f>
        <v>Czech Republic</v>
      </c>
      <c r="Z418" s="20">
        <f>IFERROR(WEEKNUM(Table4[[#This Row],[Confirmed Sampling Date]] - 10, 21), "TBD")</f>
        <v>43</v>
      </c>
      <c r="AA418" s="20" t="str">
        <f>_xlfn.XLOOKUP(Table4[[#This Row],[FromSite-UPS]],sites!D:D,sites!W:W,"",0)</f>
        <v>Šrobárova 49/48, Státní zdravotní ústav, Praha, 100 00, Czech Republic</v>
      </c>
      <c r="AB418" s="20" t="str">
        <f>_xlfn.XLOOKUP(Table4[[#This Row],[ToLab]],labs!D:D,labs!P:P,"no adres",0)</f>
        <v>Av. Rovisco Pais 1, Laboratorio de Analises de Agua, Lisbon, 1049-001, Portugal</v>
      </c>
      <c r="AC418" s="20">
        <f>_xlfn.XLOOKUP(Table4[[#This Row],[combi]],AREA!E:E,AREA!F:F,"",0)</f>
        <v>89</v>
      </c>
      <c r="AD418" s="20" t="str">
        <f>_xlfn.XLOOKUP(Table4[[#This Row],[combi]],AREA!E:E,AREA!G:G,"",0)</f>
        <v>Pick-up service of hypothetic package as defined in the Tech. Specs. and delivery to lots
2 and 3 contractors according to Scenario 1</v>
      </c>
      <c r="AE418" s="20" t="s">
        <v>126</v>
      </c>
      <c r="AF418" s="20" t="str">
        <f>_xlfn.XLOOKUP(Table4[[#This Row],[FromSite-UPS]],sites!D:D,sites!AB:AB,"",0)&amp;_xlfn.XLOOKUP(Table4[[#This Row],[ToLab]],labs!D:D,labs!Q:Q,"",0)</f>
        <v>EUEU</v>
      </c>
    </row>
    <row r="419" spans="2:32" ht="15.6" hidden="1" customHeight="1" x14ac:dyDescent="0.2">
      <c r="B419" s="13">
        <v>198</v>
      </c>
      <c r="C419" s="14" t="s">
        <v>53</v>
      </c>
      <c r="D419" s="13">
        <v>1</v>
      </c>
      <c r="E419" s="79">
        <v>45965</v>
      </c>
      <c r="F419" s="80">
        <v>45966</v>
      </c>
      <c r="G419" s="20">
        <f>IFERROR(WEEKNUM(Table4[[#This Row],[Confirmed Pick-up Date]]),"TBD")</f>
        <v>45</v>
      </c>
      <c r="H419" s="20" t="str">
        <f>IFERROR(TEXT(Table4[[#This Row],[Confirmed Pick-up Date]],"yy-mm"),"TBD")</f>
        <v>25-11</v>
      </c>
      <c r="I419" s="13" t="s">
        <v>877</v>
      </c>
      <c r="J419" s="20" t="str">
        <f>IFERROR(VLOOKUP(Table4[[#This Row],[FromSite-UPS]],Table1[[#All],[Company or Name]:[FromSite3]],15,FALSE),"")</f>
        <v>Prague National Institute</v>
      </c>
      <c r="K419" s="20" t="str">
        <f>IFERROR(VLOOKUP(Table4[[#This Row],[FromSite-UPS]],Table1[[#All],[Company or Name]:[FromSite3]],16,FALSE),"")</f>
        <v>Prague WWTP FLOW 1</v>
      </c>
      <c r="L419" s="20">
        <f>IFERROR(VLOOKUP(Table4[[#This Row],[FromSite-UPS]],Table1[[#All],[Company or Name]:[FromSite3]],14,FALSE),"")</f>
        <v>0</v>
      </c>
      <c r="M419" s="13" t="s">
        <v>1011</v>
      </c>
      <c r="N419" s="20" t="s">
        <v>892</v>
      </c>
      <c r="O419" s="124" t="s">
        <v>1891</v>
      </c>
      <c r="P419" s="13"/>
      <c r="Q419" s="20"/>
      <c r="R419" s="20"/>
      <c r="S419" s="20" t="s">
        <v>125</v>
      </c>
      <c r="T419" s="20"/>
      <c r="U419" s="20"/>
      <c r="V419" s="20"/>
      <c r="W419" s="20" t="str">
        <f>TEXT(Table4[[#This Row],[Confirmed Sampling Date]], "yyyy") &amp; "_" &amp; TEXT(Table4[[#This Row],[Confirmed Sampling Date]], "mm") &amp; "_" &amp; TEXT(Table4[[#This Row],[Confirmed Sampling Date]], "dd")</f>
        <v>2025_11_04</v>
      </c>
      <c r="X419" s="20" t="str">
        <f t="shared" si="6"/>
        <v>Prague</v>
      </c>
      <c r="Y419" s="20" t="str">
        <f>VLOOKUP(Table4[[#This Row],[FromSite-UPS]],Table1[[Company or Name]:[NOTES]],2,FALSE)</f>
        <v>Czech Republic</v>
      </c>
      <c r="Z419" s="20">
        <f>IFERROR(WEEKNUM(Table4[[#This Row],[Confirmed Sampling Date]] - 10, 21), "TBD")</f>
        <v>43</v>
      </c>
      <c r="AA419" s="20" t="str">
        <f>_xlfn.XLOOKUP(Table4[[#This Row],[FromSite-UPS]],sites!D:D,sites!W:W,"",0)</f>
        <v>Šrobárova 49/48, Státní zdravotní ústav, Praha, 100 00, Czech Republic</v>
      </c>
      <c r="AB419" s="20" t="str">
        <f>_xlfn.XLOOKUP(Table4[[#This Row],[ToLab]],labs!D:D,labs!P:P,"no adres",0)</f>
        <v>Av. Rovisco Pais 1, Laboratorio de Analises de Agua, Lisbon, 1049-001, Portugal</v>
      </c>
      <c r="AC419" s="20">
        <f>_xlfn.XLOOKUP(Table4[[#This Row],[combi]],AREA!E:E,AREA!F:F,"",0)</f>
        <v>89</v>
      </c>
      <c r="AD419" s="20" t="str">
        <f>_xlfn.XLOOKUP(Table4[[#This Row],[combi]],AREA!E:E,AREA!G:G,"",0)</f>
        <v>Pick-up service of hypothetic package as defined in the Tech. Specs. and delivery to lots
2 and 3 contractors according to Scenario 1</v>
      </c>
      <c r="AE419" s="20" t="s">
        <v>126</v>
      </c>
      <c r="AF419" s="20" t="str">
        <f>_xlfn.XLOOKUP(Table4[[#This Row],[FromSite-UPS]],sites!D:D,sites!AB:AB,"",0)&amp;_xlfn.XLOOKUP(Table4[[#This Row],[ToLab]],labs!D:D,labs!Q:Q,"",0)</f>
        <v>EUEU</v>
      </c>
    </row>
    <row r="420" spans="2:32" ht="15.6" hidden="1" customHeight="1" x14ac:dyDescent="0.25">
      <c r="B420" s="13">
        <v>199</v>
      </c>
      <c r="C420" s="14" t="s">
        <v>53</v>
      </c>
      <c r="D420" s="13">
        <v>1</v>
      </c>
      <c r="E420" s="79">
        <v>45965</v>
      </c>
      <c r="F420" s="80">
        <v>45966</v>
      </c>
      <c r="G420" s="20">
        <f>IFERROR(WEEKNUM(Table4[[#This Row],[Confirmed Pick-up Date]]),"TBD")</f>
        <v>45</v>
      </c>
      <c r="H420" s="20" t="str">
        <f>IFERROR(TEXT(Table4[[#This Row],[Confirmed Pick-up Date]],"yy-mm"),"TBD")</f>
        <v>25-11</v>
      </c>
      <c r="I420" s="13" t="s">
        <v>877</v>
      </c>
      <c r="J420" s="20" t="str">
        <f>IFERROR(VLOOKUP(Table4[[#This Row],[FromSite-UPS]],Table1[[#All],[Company or Name]:[FromSite3]],15,FALSE),"")</f>
        <v>Prague National Institute</v>
      </c>
      <c r="K420" s="20" t="str">
        <f>IFERROR(VLOOKUP(Table4[[#This Row],[FromSite-UPS]],Table1[[#All],[Company or Name]:[FromSite3]],16,FALSE),"")</f>
        <v>Prague WWTP FLOW 1</v>
      </c>
      <c r="L420" s="20">
        <f>IFERROR(VLOOKUP(Table4[[#This Row],[FromSite-UPS]],Table1[[#All],[Company or Name]:[FromSite3]],14,FALSE),"")</f>
        <v>0</v>
      </c>
      <c r="M420" s="13" t="s">
        <v>1011</v>
      </c>
      <c r="N420" s="20" t="s">
        <v>892</v>
      </c>
      <c r="O420" s="13" t="s">
        <v>1892</v>
      </c>
      <c r="P420" s="13"/>
      <c r="Q420" s="20"/>
      <c r="R420" s="20"/>
      <c r="S420" s="20" t="s">
        <v>125</v>
      </c>
      <c r="T420" s="20"/>
      <c r="U420" s="20"/>
      <c r="V420" s="20"/>
      <c r="W420" s="20" t="str">
        <f>TEXT(Table4[[#This Row],[Confirmed Sampling Date]], "yyyy") &amp; "_" &amp; TEXT(Table4[[#This Row],[Confirmed Sampling Date]], "mm") &amp; "_" &amp; TEXT(Table4[[#This Row],[Confirmed Sampling Date]], "dd")</f>
        <v>2025_11_04</v>
      </c>
      <c r="X420" s="20" t="str">
        <f t="shared" si="6"/>
        <v>Prague</v>
      </c>
      <c r="Y420" s="20" t="str">
        <f>VLOOKUP(Table4[[#This Row],[FromSite-UPS]],Table1[[Company or Name]:[NOTES]],2,FALSE)</f>
        <v>Czech Republic</v>
      </c>
      <c r="Z420" s="20">
        <f>IFERROR(WEEKNUM(Table4[[#This Row],[Confirmed Sampling Date]] - 10, 21), "TBD")</f>
        <v>43</v>
      </c>
      <c r="AA420" s="20" t="str">
        <f>_xlfn.XLOOKUP(Table4[[#This Row],[FromSite-UPS]],sites!D:D,sites!W:W,"",0)</f>
        <v>Šrobárova 49/48, Státní zdravotní ústav, Praha, 100 00, Czech Republic</v>
      </c>
      <c r="AB420" s="20" t="str">
        <f>_xlfn.XLOOKUP(Table4[[#This Row],[ToLab]],labs!D:D,labs!P:P,"no adres",0)</f>
        <v>Av. Rovisco Pais 1, Laboratorio de Analises de Agua, Lisbon, 1049-001, Portugal</v>
      </c>
      <c r="AC420" s="20">
        <f>_xlfn.XLOOKUP(Table4[[#This Row],[combi]],AREA!E:E,AREA!F:F,"",0)</f>
        <v>89</v>
      </c>
      <c r="AD420" s="20" t="str">
        <f>_xlfn.XLOOKUP(Table4[[#This Row],[combi]],AREA!E:E,AREA!G:G,"",0)</f>
        <v>Pick-up service of hypothetic package as defined in the Tech. Specs. and delivery to lots
2 and 3 contractors according to Scenario 1</v>
      </c>
      <c r="AE420" s="20" t="s">
        <v>126</v>
      </c>
      <c r="AF420" s="20" t="str">
        <f>_xlfn.XLOOKUP(Table4[[#This Row],[FromSite-UPS]],sites!D:D,sites!AB:AB,"",0)&amp;_xlfn.XLOOKUP(Table4[[#This Row],[ToLab]],labs!D:D,labs!Q:Q,"",0)</f>
        <v>EUEU</v>
      </c>
    </row>
    <row r="421" spans="2:32" ht="15.6" hidden="1" customHeight="1" x14ac:dyDescent="0.25">
      <c r="B421" s="13">
        <v>200</v>
      </c>
      <c r="C421" s="14" t="s">
        <v>53</v>
      </c>
      <c r="D421" s="13">
        <v>1</v>
      </c>
      <c r="E421" s="79">
        <v>45965</v>
      </c>
      <c r="F421" s="80">
        <v>45966</v>
      </c>
      <c r="G421" s="20">
        <f>IFERROR(WEEKNUM(Table4[[#This Row],[Confirmed Pick-up Date]]),"TBD")</f>
        <v>45</v>
      </c>
      <c r="H421" s="20" t="str">
        <f>IFERROR(TEXT(Table4[[#This Row],[Confirmed Pick-up Date]],"yy-mm"),"TBD")</f>
        <v>25-11</v>
      </c>
      <c r="I421" s="13" t="s">
        <v>877</v>
      </c>
      <c r="J421" s="20" t="str">
        <f>IFERROR(VLOOKUP(Table4[[#This Row],[FromSite-UPS]],Table1[[#All],[Company or Name]:[FromSite3]],15,FALSE),"")</f>
        <v>Prague National Institute</v>
      </c>
      <c r="K421" s="20" t="str">
        <f>IFERROR(VLOOKUP(Table4[[#This Row],[FromSite-UPS]],Table1[[#All],[Company or Name]:[FromSite3]],16,FALSE),"")</f>
        <v>Prague WWTP FLOW 1</v>
      </c>
      <c r="L421" s="20">
        <f>IFERROR(VLOOKUP(Table4[[#This Row],[FromSite-UPS]],Table1[[#All],[Company or Name]:[FromSite3]],14,FALSE),"")</f>
        <v>0</v>
      </c>
      <c r="M421" s="13" t="s">
        <v>1011</v>
      </c>
      <c r="N421" s="20" t="s">
        <v>892</v>
      </c>
      <c r="O421" s="13" t="s">
        <v>1893</v>
      </c>
      <c r="P421" s="13"/>
      <c r="Q421" s="20"/>
      <c r="R421" s="20"/>
      <c r="S421" s="20" t="s">
        <v>125</v>
      </c>
      <c r="T421" s="20"/>
      <c r="U421" s="20"/>
      <c r="V421" s="20"/>
      <c r="W421" s="20" t="str">
        <f>TEXT(Table4[[#This Row],[Confirmed Sampling Date]], "yyyy") &amp; "_" &amp; TEXT(Table4[[#This Row],[Confirmed Sampling Date]], "mm") &amp; "_" &amp; TEXT(Table4[[#This Row],[Confirmed Sampling Date]], "dd")</f>
        <v>2025_11_04</v>
      </c>
      <c r="X421" s="20" t="str">
        <f t="shared" si="6"/>
        <v>Prague</v>
      </c>
      <c r="Y421" s="20" t="str">
        <f>VLOOKUP(Table4[[#This Row],[FromSite-UPS]],Table1[[Company or Name]:[NOTES]],2,FALSE)</f>
        <v>Czech Republic</v>
      </c>
      <c r="Z421" s="20">
        <f>IFERROR(WEEKNUM(Table4[[#This Row],[Confirmed Sampling Date]] - 10, 21), "TBD")</f>
        <v>43</v>
      </c>
      <c r="AA421" s="20" t="str">
        <f>_xlfn.XLOOKUP(Table4[[#This Row],[FromSite-UPS]],sites!D:D,sites!W:W,"",0)</f>
        <v>Šrobárova 49/48, Státní zdravotní ústav, Praha, 100 00, Czech Republic</v>
      </c>
      <c r="AB421" s="20" t="str">
        <f>_xlfn.XLOOKUP(Table4[[#This Row],[ToLab]],labs!D:D,labs!P:P,"no adres",0)</f>
        <v>Av. Rovisco Pais 1, Laboratorio de Analises de Agua, Lisbon, 1049-001, Portugal</v>
      </c>
      <c r="AC421" s="20">
        <f>_xlfn.XLOOKUP(Table4[[#This Row],[combi]],AREA!E:E,AREA!F:F,"",0)</f>
        <v>89</v>
      </c>
      <c r="AD421" s="20" t="str">
        <f>_xlfn.XLOOKUP(Table4[[#This Row],[combi]],AREA!E:E,AREA!G:G,"",0)</f>
        <v>Pick-up service of hypothetic package as defined in the Tech. Specs. and delivery to lots
2 and 3 contractors according to Scenario 1</v>
      </c>
      <c r="AE421" s="20" t="s">
        <v>126</v>
      </c>
      <c r="AF421" s="20" t="str">
        <f>_xlfn.XLOOKUP(Table4[[#This Row],[FromSite-UPS]],sites!D:D,sites!AB:AB,"",0)&amp;_xlfn.XLOOKUP(Table4[[#This Row],[ToLab]],labs!D:D,labs!Q:Q,"",0)</f>
        <v>EUEU</v>
      </c>
    </row>
    <row r="422" spans="2:32" ht="15.6" hidden="1" customHeight="1" x14ac:dyDescent="0.25">
      <c r="B422" s="13">
        <v>222</v>
      </c>
      <c r="C422" s="14" t="s">
        <v>53</v>
      </c>
      <c r="D422" s="13">
        <v>1</v>
      </c>
      <c r="E422" s="79">
        <v>45965</v>
      </c>
      <c r="F422" s="80">
        <v>45966</v>
      </c>
      <c r="G422" s="20">
        <f>IFERROR(WEEKNUM(Table4[[#This Row],[Confirmed Pick-up Date]]),"TBD")</f>
        <v>45</v>
      </c>
      <c r="H422" s="20" t="str">
        <f>IFERROR(TEXT(Table4[[#This Row],[Confirmed Pick-up Date]],"yy-mm"),"TBD")</f>
        <v>25-11</v>
      </c>
      <c r="I422" s="13" t="s">
        <v>779</v>
      </c>
      <c r="J422" s="20" t="str">
        <f>IFERROR(VLOOKUP(Table4[[#This Row],[FromSite-UPS]],Table1[[#All],[Company or Name]:[FromSite3]],15,FALSE),"")</f>
        <v>Larnaca WWTP</v>
      </c>
      <c r="K422" s="20" t="str">
        <f>IFERROR(VLOOKUP(Table4[[#This Row],[FromSite-UPS]],Table1[[#All],[Company or Name]:[FromSite3]],16,FALSE),"")</f>
        <v>Larnaca Airport</v>
      </c>
      <c r="L422" s="20">
        <f>IFERROR(VLOOKUP(Table4[[#This Row],[FromSite-UPS]],Table1[[#All],[Company or Name]:[FromSite3]],14,FALSE),"")</f>
        <v>0.54166666666666663</v>
      </c>
      <c r="M422" s="13" t="s">
        <v>1011</v>
      </c>
      <c r="N422" s="20" t="s">
        <v>813</v>
      </c>
      <c r="O422" s="13" t="s">
        <v>1909</v>
      </c>
      <c r="P422" s="13"/>
      <c r="Q422" s="20"/>
      <c r="R422" s="20"/>
      <c r="S422" s="20" t="s">
        <v>125</v>
      </c>
      <c r="T422" s="20"/>
      <c r="U422" s="20"/>
      <c r="V422" s="20"/>
      <c r="W422" s="20" t="str">
        <f>TEXT(Table4[[#This Row],[Confirmed Sampling Date]], "yyyy") &amp; "_" &amp; TEXT(Table4[[#This Row],[Confirmed Sampling Date]], "mm") &amp; "_" &amp; TEXT(Table4[[#This Row],[Confirmed Sampling Date]], "dd")</f>
        <v>2025_11_04</v>
      </c>
      <c r="X422" s="20" t="str">
        <f t="shared" si="6"/>
        <v>Larnaca</v>
      </c>
      <c r="Y422" s="20" t="str">
        <f>VLOOKUP(Table4[[#This Row],[FromSite-UPS]],Table1[[Company or Name]:[NOTES]],2,FALSE)</f>
        <v>Cyprus</v>
      </c>
      <c r="Z422" s="20">
        <f>IFERROR(WEEKNUM(Table4[[#This Row],[Confirmed Sampling Date]] - 10, 21), "TBD")</f>
        <v>43</v>
      </c>
      <c r="AA422" s="20" t="str">
        <f>_xlfn.XLOOKUP(Table4[[#This Row],[FromSite-UPS]],sites!D:D,sites!W:W,"",0)</f>
        <v>Adamantiou Korai street 12, Larnaca District Local Government Organization offices, Larnaca, 6010, Cyprus</v>
      </c>
      <c r="AB422" s="20" t="str">
        <f>_xlfn.XLOOKUP(Table4[[#This Row],[ToLab]],labs!D:D,labs!P:P,"no adres",0)</f>
        <v>Av. Rovisco Pais 1, Laboratorio de Analises de Agua, Lisbon, 1049-001, Portugal</v>
      </c>
      <c r="AC422" s="20">
        <f>_xlfn.XLOOKUP(Table4[[#This Row],[combi]],AREA!E:E,AREA!F:F,"",0)</f>
        <v>89</v>
      </c>
      <c r="AD422" s="20" t="str">
        <f>_xlfn.XLOOKUP(Table4[[#This Row],[combi]],AREA!E:E,AREA!G:G,"",0)</f>
        <v>Pick-up service of hypothetic package as defined in the Tech. Specs. and delivery to lots
2 and 3 contractors according to Scenario 1</v>
      </c>
      <c r="AE422" s="20" t="s">
        <v>126</v>
      </c>
      <c r="AF422" s="20" t="str">
        <f>_xlfn.XLOOKUP(Table4[[#This Row],[FromSite-UPS]],sites!D:D,sites!AB:AB,"",0)&amp;_xlfn.XLOOKUP(Table4[[#This Row],[ToLab]],labs!D:D,labs!Q:Q,"",0)</f>
        <v>EUEU</v>
      </c>
    </row>
    <row r="423" spans="2:32" ht="15.6" hidden="1" customHeight="1" x14ac:dyDescent="0.25">
      <c r="B423" s="13">
        <v>235</v>
      </c>
      <c r="C423" s="14" t="s">
        <v>53</v>
      </c>
      <c r="D423" s="13">
        <v>1</v>
      </c>
      <c r="E423" s="79">
        <v>45965</v>
      </c>
      <c r="F423" s="80">
        <v>45966</v>
      </c>
      <c r="G423" s="20">
        <f>IFERROR(WEEKNUM(Table4[[#This Row],[Confirmed Pick-up Date]]),"TBD")</f>
        <v>45</v>
      </c>
      <c r="H423" s="20" t="str">
        <f>IFERROR(TEXT(Table4[[#This Row],[Confirmed Pick-up Date]],"yy-mm"),"TBD")</f>
        <v>25-11</v>
      </c>
      <c r="I423" s="13" t="s">
        <v>779</v>
      </c>
      <c r="J423" s="20" t="str">
        <f>IFERROR(VLOOKUP(Table4[[#This Row],[FromSite-UPS]],Table1[[#All],[Company or Name]:[FromSite3]],15,FALSE),"")</f>
        <v>Larnaca WWTP</v>
      </c>
      <c r="K423" s="20" t="str">
        <f>IFERROR(VLOOKUP(Table4[[#This Row],[FromSite-UPS]],Table1[[#All],[Company or Name]:[FromSite3]],16,FALSE),"")</f>
        <v>Larnaca Airport</v>
      </c>
      <c r="L423" s="20">
        <f>IFERROR(VLOOKUP(Table4[[#This Row],[FromSite-UPS]],Table1[[#All],[Company or Name]:[FromSite3]],14,FALSE),"")</f>
        <v>0.54166666666666663</v>
      </c>
      <c r="M423" s="13" t="s">
        <v>1011</v>
      </c>
      <c r="N423" s="20" t="s">
        <v>813</v>
      </c>
      <c r="O423" s="20" t="s">
        <v>1910</v>
      </c>
      <c r="P423" s="64"/>
      <c r="Q423" s="64"/>
      <c r="R423" s="20"/>
      <c r="S423" s="20" t="s">
        <v>125</v>
      </c>
      <c r="T423" s="20"/>
      <c r="U423" s="20"/>
      <c r="V423" s="20"/>
      <c r="W423" s="20" t="str">
        <f>TEXT(Table4[[#This Row],[Confirmed Sampling Date]], "yyyy") &amp; "_" &amp; TEXT(Table4[[#This Row],[Confirmed Sampling Date]], "mm") &amp; "_" &amp; TEXT(Table4[[#This Row],[Confirmed Sampling Date]], "dd")</f>
        <v>2025_11_04</v>
      </c>
      <c r="X423" s="20" t="str">
        <f t="shared" si="6"/>
        <v>Larnaca</v>
      </c>
      <c r="Y423" s="20" t="str">
        <f>VLOOKUP(Table4[[#This Row],[FromSite-UPS]],Table1[[Company or Name]:[NOTES]],2,FALSE)</f>
        <v>Cyprus</v>
      </c>
      <c r="Z423" s="20">
        <f>IFERROR(WEEKNUM(Table4[[#This Row],[Confirmed Sampling Date]] - 10, 21), "TBD")</f>
        <v>43</v>
      </c>
      <c r="AA423" s="20" t="str">
        <f>_xlfn.XLOOKUP(Table4[[#This Row],[FromSite-UPS]],sites!D:D,sites!W:W,"",0)</f>
        <v>Adamantiou Korai street 12, Larnaca District Local Government Organization offices, Larnaca, 6010, Cyprus</v>
      </c>
      <c r="AB423" s="20" t="str">
        <f>_xlfn.XLOOKUP(Table4[[#This Row],[ToLab]],labs!D:D,labs!P:P,"no adres",0)</f>
        <v>Av. Rovisco Pais 1, Laboratorio de Analises de Agua, Lisbon, 1049-001, Portugal</v>
      </c>
      <c r="AC423" s="20">
        <f>_xlfn.XLOOKUP(Table4[[#This Row],[combi]],AREA!E:E,AREA!F:F,"",0)</f>
        <v>89</v>
      </c>
      <c r="AD423" s="20" t="str">
        <f>_xlfn.XLOOKUP(Table4[[#This Row],[combi]],AREA!E:E,AREA!G:G,"",0)</f>
        <v>Pick-up service of hypothetic package as defined in the Tech. Specs. and delivery to lots
2 and 3 contractors according to Scenario 1</v>
      </c>
      <c r="AE423" s="20" t="s">
        <v>126</v>
      </c>
      <c r="AF423" s="20" t="str">
        <f>_xlfn.XLOOKUP(Table4[[#This Row],[FromSite-UPS]],sites!D:D,sites!AB:AB,"",0)&amp;_xlfn.XLOOKUP(Table4[[#This Row],[ToLab]],labs!D:D,labs!Q:Q,"",0)</f>
        <v>EUEU</v>
      </c>
    </row>
    <row r="424" spans="2:32" ht="15.6" hidden="1" customHeight="1" x14ac:dyDescent="0.25">
      <c r="B424" s="13">
        <v>276</v>
      </c>
      <c r="C424" s="14" t="s">
        <v>53</v>
      </c>
      <c r="D424" s="13">
        <v>1</v>
      </c>
      <c r="E424" s="79">
        <v>45965</v>
      </c>
      <c r="F424" s="80">
        <v>45966</v>
      </c>
      <c r="G424" s="20">
        <f>IFERROR(WEEKNUM(Table4[[#This Row],[Confirmed Pick-up Date]]),"TBD")</f>
        <v>45</v>
      </c>
      <c r="H424" s="20" t="str">
        <f>IFERROR(TEXT(Table4[[#This Row],[Confirmed Pick-up Date]],"yy-mm"),"TBD")</f>
        <v>25-11</v>
      </c>
      <c r="I424" s="13" t="s">
        <v>975</v>
      </c>
      <c r="J424" s="20" t="str">
        <f>IFERROR(VLOOKUP(Table4[[#This Row],[FromSite-UPS]],Table1[[#All],[Company or Name]:[FromSite3]],15,FALSE),"")</f>
        <v>Vilnius WWTP</v>
      </c>
      <c r="K424" s="20" t="str">
        <f>IFERROR(VLOOKUP(Table4[[#This Row],[FromSite-UPS]],Table1[[#All],[Company or Name]:[FromSite3]],16,FALSE),"")</f>
        <v>Vilnius Bus Terminal</v>
      </c>
      <c r="L424" s="20">
        <f>IFERROR(VLOOKUP(Table4[[#This Row],[FromSite-UPS]],Table1[[#All],[Company or Name]:[FromSite3]],14,FALSE),"")</f>
        <v>0.58333333333333337</v>
      </c>
      <c r="M424" s="13" t="s">
        <v>1011</v>
      </c>
      <c r="N424" s="20" t="s">
        <v>813</v>
      </c>
      <c r="O424" s="20" t="s">
        <v>1913</v>
      </c>
      <c r="P424" s="20"/>
      <c r="Q424" s="20"/>
      <c r="R424" s="20"/>
      <c r="S424" s="20" t="s">
        <v>125</v>
      </c>
      <c r="T424" s="20"/>
      <c r="U424" s="20"/>
      <c r="V424" s="20"/>
      <c r="W424" s="20" t="str">
        <f>TEXT(Table4[[#This Row],[Confirmed Sampling Date]], "yyyy") &amp; "_" &amp; TEXT(Table4[[#This Row],[Confirmed Sampling Date]], "mm") &amp; "_" &amp; TEXT(Table4[[#This Row],[Confirmed Sampling Date]], "dd")</f>
        <v>2025_11_04</v>
      </c>
      <c r="X424" s="20" t="str">
        <f t="shared" si="6"/>
        <v>Vilnius</v>
      </c>
      <c r="Y424" s="20" t="str">
        <f>VLOOKUP(Table4[[#This Row],[FromSite-UPS]],Table1[[Company or Name]:[NOTES]],2,FALSE)</f>
        <v>Lithuania</v>
      </c>
      <c r="Z424" s="20">
        <f>IFERROR(WEEKNUM(Table4[[#This Row],[Confirmed Sampling Date]] - 10, 21), "TBD")</f>
        <v>43</v>
      </c>
      <c r="AA424" s="20" t="str">
        <f>_xlfn.XLOOKUP(Table4[[#This Row],[FromSite-UPS]],sites!D:D,sites!W:W,"",0)</f>
        <v>Zolyno 36 gatve, Vilnius, 10210, Lithuania</v>
      </c>
      <c r="AB424" s="20" t="str">
        <f>_xlfn.XLOOKUP(Table4[[#This Row],[ToLab]],labs!D:D,labs!P:P,"no adres",0)</f>
        <v>Av. Rovisco Pais 1, Laboratorio de Analises de Agua, Lisbon, 1049-001, Portugal</v>
      </c>
      <c r="AC424" s="20">
        <f>_xlfn.XLOOKUP(Table4[[#This Row],[combi]],AREA!E:E,AREA!F:F,"",0)</f>
        <v>89</v>
      </c>
      <c r="AD424" s="20" t="str">
        <f>_xlfn.XLOOKUP(Table4[[#This Row],[combi]],AREA!E:E,AREA!G:G,"",0)</f>
        <v>Pick-up service of hypothetic package as defined in the Tech. Specs. and delivery to lots
2 and 3 contractors according to Scenario 1</v>
      </c>
      <c r="AE424" s="20" t="s">
        <v>126</v>
      </c>
      <c r="AF424" s="20" t="str">
        <f>_xlfn.XLOOKUP(Table4[[#This Row],[FromSite-UPS]],sites!D:D,sites!AB:AB,"",0)&amp;_xlfn.XLOOKUP(Table4[[#This Row],[ToLab]],labs!D:D,labs!Q:Q,"",0)</f>
        <v>EUEU</v>
      </c>
    </row>
    <row r="425" spans="2:32" ht="15.6" hidden="1" customHeight="1" x14ac:dyDescent="0.25">
      <c r="B425" s="13">
        <v>287</v>
      </c>
      <c r="C425" s="14" t="s">
        <v>53</v>
      </c>
      <c r="D425" s="13">
        <v>1</v>
      </c>
      <c r="E425" s="79">
        <v>45965</v>
      </c>
      <c r="F425" s="80">
        <v>45966</v>
      </c>
      <c r="G425" s="20">
        <f>IFERROR(WEEKNUM(Table4[[#This Row],[Confirmed Pick-up Date]]),"TBD")</f>
        <v>45</v>
      </c>
      <c r="H425" s="20" t="str">
        <f>IFERROR(TEXT(Table4[[#This Row],[Confirmed Pick-up Date]],"yy-mm"),"TBD")</f>
        <v>25-11</v>
      </c>
      <c r="I425" s="13" t="s">
        <v>975</v>
      </c>
      <c r="J425" s="20" t="str">
        <f>IFERROR(VLOOKUP(Table4[[#This Row],[FromSite-UPS]],Table1[[#All],[Company or Name]:[FromSite3]],15,FALSE),"")</f>
        <v>Vilnius WWTP</v>
      </c>
      <c r="K425" s="20" t="str">
        <f>IFERROR(VLOOKUP(Table4[[#This Row],[FromSite-UPS]],Table1[[#All],[Company or Name]:[FromSite3]],16,FALSE),"")</f>
        <v>Vilnius Bus Terminal</v>
      </c>
      <c r="L425" s="20">
        <f>IFERROR(VLOOKUP(Table4[[#This Row],[FromSite-UPS]],Table1[[#All],[Company or Name]:[FromSite3]],14,FALSE),"")</f>
        <v>0.58333333333333337</v>
      </c>
      <c r="M425" s="13" t="s">
        <v>1011</v>
      </c>
      <c r="N425" s="20" t="s">
        <v>813</v>
      </c>
      <c r="O425" s="20" t="s">
        <v>1914</v>
      </c>
      <c r="P425" s="20"/>
      <c r="Q425" s="20"/>
      <c r="R425" s="20"/>
      <c r="S425" s="20" t="s">
        <v>125</v>
      </c>
      <c r="T425" s="20"/>
      <c r="U425" s="20"/>
      <c r="V425" s="20"/>
      <c r="W425" s="20" t="str">
        <f>TEXT(Table4[[#This Row],[Confirmed Sampling Date]], "yyyy") &amp; "_" &amp; TEXT(Table4[[#This Row],[Confirmed Sampling Date]], "mm") &amp; "_" &amp; TEXT(Table4[[#This Row],[Confirmed Sampling Date]], "dd")</f>
        <v>2025_11_04</v>
      </c>
      <c r="X425" s="20" t="str">
        <f t="shared" si="6"/>
        <v>Vilnius</v>
      </c>
      <c r="Y425" s="20" t="str">
        <f>VLOOKUP(Table4[[#This Row],[FromSite-UPS]],Table1[[Company or Name]:[NOTES]],2,FALSE)</f>
        <v>Lithuania</v>
      </c>
      <c r="Z425" s="20">
        <f>IFERROR(WEEKNUM(Table4[[#This Row],[Confirmed Sampling Date]] - 10, 21), "TBD")</f>
        <v>43</v>
      </c>
      <c r="AA425" s="20" t="str">
        <f>_xlfn.XLOOKUP(Table4[[#This Row],[FromSite-UPS]],sites!D:D,sites!W:W,"",0)</f>
        <v>Zolyno 36 gatve, Vilnius, 10210, Lithuania</v>
      </c>
      <c r="AB425" s="20" t="str">
        <f>_xlfn.XLOOKUP(Table4[[#This Row],[ToLab]],labs!D:D,labs!P:P,"no adres",0)</f>
        <v>Av. Rovisco Pais 1, Laboratorio de Analises de Agua, Lisbon, 1049-001, Portugal</v>
      </c>
      <c r="AC425" s="20">
        <f>_xlfn.XLOOKUP(Table4[[#This Row],[combi]],AREA!E:E,AREA!F:F,"",0)</f>
        <v>89</v>
      </c>
      <c r="AD425" s="20" t="str">
        <f>_xlfn.XLOOKUP(Table4[[#This Row],[combi]],AREA!E:E,AREA!G:G,"",0)</f>
        <v>Pick-up service of hypothetic package as defined in the Tech. Specs. and delivery to lots
2 and 3 contractors according to Scenario 1</v>
      </c>
      <c r="AE425" s="20" t="s">
        <v>126</v>
      </c>
      <c r="AF425" s="20" t="str">
        <f>_xlfn.XLOOKUP(Table4[[#This Row],[FromSite-UPS]],sites!D:D,sites!AB:AB,"",0)&amp;_xlfn.XLOOKUP(Table4[[#This Row],[ToLab]],labs!D:D,labs!Q:Q,"",0)</f>
        <v>EUEU</v>
      </c>
    </row>
    <row r="426" spans="2:32" ht="15.6" hidden="1" customHeight="1" x14ac:dyDescent="0.25">
      <c r="B426" s="13">
        <v>534</v>
      </c>
      <c r="C426" s="14" t="s">
        <v>53</v>
      </c>
      <c r="D426" s="13">
        <v>1</v>
      </c>
      <c r="E426" s="83">
        <v>45964</v>
      </c>
      <c r="F426" s="83">
        <v>45966</v>
      </c>
      <c r="G426" s="20">
        <f>IFERROR(WEEKNUM(Table4[[#This Row],[Confirmed Pick-up Date]]),"TBD")</f>
        <v>45</v>
      </c>
      <c r="H426" s="20" t="str">
        <f>IFERROR(TEXT(Table4[[#This Row],[Confirmed Pick-up Date]],"yy-mm"),"TBD")</f>
        <v>25-11</v>
      </c>
      <c r="I426" s="78" t="s">
        <v>1187</v>
      </c>
      <c r="J426" s="20" t="str">
        <f>IFERROR(VLOOKUP(Table4[[#This Row],[FromSite-UPS]],Table1[[#All],[Company or Name]:[FromSite3]],15,FALSE),"")</f>
        <v>Aachen WWTP</v>
      </c>
      <c r="K426" s="20" t="str">
        <f>IFERROR(VLOOKUP(Table4[[#This Row],[FromSite-UPS]],Table1[[#All],[Company or Name]:[FromSite3]],16,FALSE),"")</f>
        <v>Aachen Hospital</v>
      </c>
      <c r="L426" s="20">
        <f>IFERROR(VLOOKUP(Table4[[#This Row],[FromSite-UPS]],Table1[[#All],[Company or Name]:[FromSite3]],14,FALSE),"")</f>
        <v>0.66666666666666663</v>
      </c>
      <c r="M426" s="13" t="s">
        <v>1011</v>
      </c>
      <c r="N426" s="20" t="s">
        <v>813</v>
      </c>
      <c r="O426" s="20" t="s">
        <v>1902</v>
      </c>
      <c r="P426" s="20"/>
      <c r="Q426" s="20"/>
      <c r="R426" s="20"/>
      <c r="S426" s="20" t="s">
        <v>125</v>
      </c>
      <c r="T426" s="20"/>
      <c r="U426" s="20"/>
      <c r="V426" s="20"/>
      <c r="W426" s="20" t="str">
        <f>TEXT(Table4[[#This Row],[Confirmed Sampling Date]], "yyyy") &amp; "_" &amp; TEXT(Table4[[#This Row],[Confirmed Sampling Date]], "mm") &amp; "_" &amp; TEXT(Table4[[#This Row],[Confirmed Sampling Date]], "dd")</f>
        <v>2025_11_03</v>
      </c>
      <c r="X426" s="20" t="str">
        <f t="shared" si="6"/>
        <v>Aachen</v>
      </c>
      <c r="Y426" s="20" t="str">
        <f>VLOOKUP(Table4[[#This Row],[FromSite-UPS]],Table1[[Company or Name]:[NOTES]],2,FALSE)</f>
        <v>Germany</v>
      </c>
      <c r="Z426" s="20">
        <f>IFERROR(WEEKNUM(Table4[[#This Row],[Confirmed Sampling Date]] - 10, 21), "TBD")</f>
        <v>43</v>
      </c>
      <c r="AA426" s="20" t="str">
        <f>_xlfn.XLOOKUP(Table4[[#This Row],[FromSite-UPS]],sites!D:D,sites!W:W,"",0)</f>
        <v>Krefelder Str. 299, Aachen, 52070, Germany</v>
      </c>
      <c r="AB426" s="20" t="str">
        <f>_xlfn.XLOOKUP(Table4[[#This Row],[ToLab]],labs!D:D,labs!P:P,"no adres",0)</f>
        <v>Av. Rovisco Pais 1, Laboratorio de Analises de Agua, Lisbon, 1049-001, Portugal</v>
      </c>
      <c r="AC426" s="20">
        <f>_xlfn.XLOOKUP(Table4[[#This Row],[combi]],AREA!E:E,AREA!F:F,"",0)</f>
        <v>89</v>
      </c>
      <c r="AD426" s="20" t="str">
        <f>_xlfn.XLOOKUP(Table4[[#This Row],[combi]],AREA!E:E,AREA!G:G,"",0)</f>
        <v>Pick-up service of hypothetic package as defined in the Tech. Specs. and delivery to lots
2 and 3 contractors according to Scenario 1</v>
      </c>
      <c r="AE426" s="20" t="s">
        <v>126</v>
      </c>
      <c r="AF426" s="20" t="str">
        <f>_xlfn.XLOOKUP(Table4[[#This Row],[FromSite-UPS]],sites!D:D,sites!AB:AB,"",0)&amp;_xlfn.XLOOKUP(Table4[[#This Row],[ToLab]],labs!D:D,labs!Q:Q,"",0)</f>
        <v>EUEU</v>
      </c>
    </row>
    <row r="427" spans="2:32" ht="15.6" hidden="1" customHeight="1" x14ac:dyDescent="0.25">
      <c r="B427" s="13">
        <v>599</v>
      </c>
      <c r="C427" s="14" t="s">
        <v>53</v>
      </c>
      <c r="D427" s="13">
        <v>1</v>
      </c>
      <c r="E427" s="83">
        <v>45964</v>
      </c>
      <c r="F427" s="83">
        <v>45966</v>
      </c>
      <c r="G427" s="20">
        <f>IFERROR(WEEKNUM(Table4[[#This Row],[Confirmed Pick-up Date]]),"TBD")</f>
        <v>45</v>
      </c>
      <c r="H427" s="20" t="str">
        <f>IFERROR(TEXT(Table4[[#This Row],[Confirmed Pick-up Date]],"yy-mm"),"TBD")</f>
        <v>25-11</v>
      </c>
      <c r="I427" s="78" t="s">
        <v>1187</v>
      </c>
      <c r="J427" s="20" t="str">
        <f>IFERROR(VLOOKUP(Table4[[#This Row],[FromSite-UPS]],Table1[[#All],[Company or Name]:[FromSite3]],15,FALSE),"")</f>
        <v>Aachen WWTP</v>
      </c>
      <c r="K427" s="20" t="str">
        <f>IFERROR(VLOOKUP(Table4[[#This Row],[FromSite-UPS]],Table1[[#All],[Company or Name]:[FromSite3]],16,FALSE),"")</f>
        <v>Aachen Hospital</v>
      </c>
      <c r="L427" s="20">
        <f>IFERROR(VLOOKUP(Table4[[#This Row],[FromSite-UPS]],Table1[[#All],[Company or Name]:[FromSite3]],14,FALSE),"")</f>
        <v>0.66666666666666663</v>
      </c>
      <c r="M427" s="13" t="s">
        <v>1011</v>
      </c>
      <c r="N427" s="20" t="s">
        <v>813</v>
      </c>
      <c r="O427" s="20" t="s">
        <v>1903</v>
      </c>
      <c r="P427" s="20"/>
      <c r="Q427" s="20"/>
      <c r="R427" s="20"/>
      <c r="S427" s="20" t="s">
        <v>125</v>
      </c>
      <c r="T427" s="20"/>
      <c r="U427" s="20"/>
      <c r="V427" s="20"/>
      <c r="W427" s="20" t="str">
        <f>TEXT(Table4[[#This Row],[Confirmed Sampling Date]], "yyyy") &amp; "_" &amp; TEXT(Table4[[#This Row],[Confirmed Sampling Date]], "mm") &amp; "_" &amp; TEXT(Table4[[#This Row],[Confirmed Sampling Date]], "dd")</f>
        <v>2025_11_03</v>
      </c>
      <c r="X427" s="20" t="str">
        <f t="shared" si="6"/>
        <v>Aachen</v>
      </c>
      <c r="Y427" s="20" t="str">
        <f>VLOOKUP(Table4[[#This Row],[FromSite-UPS]],Table1[[Company or Name]:[NOTES]],2,FALSE)</f>
        <v>Germany</v>
      </c>
      <c r="Z427" s="20">
        <f>IFERROR(WEEKNUM(Table4[[#This Row],[Confirmed Sampling Date]] - 10, 21), "TBD")</f>
        <v>43</v>
      </c>
      <c r="AA427" s="20" t="str">
        <f>_xlfn.XLOOKUP(Table4[[#This Row],[FromSite-UPS]],sites!D:D,sites!W:W,"",0)</f>
        <v>Krefelder Str. 299, Aachen, 52070, Germany</v>
      </c>
      <c r="AB427" s="20" t="str">
        <f>_xlfn.XLOOKUP(Table4[[#This Row],[ToLab]],labs!D:D,labs!P:P,"no adres",0)</f>
        <v>Av. Rovisco Pais 1, Laboratorio de Analises de Agua, Lisbon, 1049-001, Portugal</v>
      </c>
      <c r="AC427" s="20">
        <f>_xlfn.XLOOKUP(Table4[[#This Row],[combi]],AREA!E:E,AREA!F:F,"",0)</f>
        <v>89</v>
      </c>
      <c r="AD427" s="20" t="str">
        <f>_xlfn.XLOOKUP(Table4[[#This Row],[combi]],AREA!E:E,AREA!G:G,"",0)</f>
        <v>Pick-up service of hypothetic package as defined in the Tech. Specs. and delivery to lots
2 and 3 contractors according to Scenario 1</v>
      </c>
      <c r="AE427" s="20" t="s">
        <v>126</v>
      </c>
      <c r="AF427" s="20" t="str">
        <f>_xlfn.XLOOKUP(Table4[[#This Row],[FromSite-UPS]],sites!D:D,sites!AB:AB,"",0)&amp;_xlfn.XLOOKUP(Table4[[#This Row],[ToLab]],labs!D:D,labs!Q:Q,"",0)</f>
        <v>EUEU</v>
      </c>
    </row>
    <row r="428" spans="2:32" ht="15.6" hidden="1" customHeight="1" x14ac:dyDescent="0.25">
      <c r="B428" s="13">
        <v>637</v>
      </c>
      <c r="C428" s="14" t="s">
        <v>53</v>
      </c>
      <c r="D428" s="13">
        <v>1</v>
      </c>
      <c r="E428" s="83">
        <v>45964</v>
      </c>
      <c r="F428" s="83">
        <v>45966</v>
      </c>
      <c r="G428" s="20">
        <f>IFERROR(WEEKNUM(Table4[[#This Row],[Confirmed Pick-up Date]]),"TBD")</f>
        <v>45</v>
      </c>
      <c r="H428" s="20" t="str">
        <f>IFERROR(TEXT(Table4[[#This Row],[Confirmed Pick-up Date]],"yy-mm"),"TBD")</f>
        <v>25-11</v>
      </c>
      <c r="I428" s="13" t="s">
        <v>1802</v>
      </c>
      <c r="J428" s="20" t="str">
        <f>IFERROR(VLOOKUP(Table4[[#This Row],[FromSite-UPS]],Table1[[#All],[Company or Name]:[FromSite3]],15,FALSE),"")</f>
        <v>Wien WWTP</v>
      </c>
      <c r="K428" s="20" t="str">
        <f>IFERROR(VLOOKUP(Table4[[#This Row],[FromSite-UPS]],Table1[[#All],[Company or Name]:[FromSite3]],16,FALSE),"")</f>
        <v>-</v>
      </c>
      <c r="L428" s="20">
        <f>IFERROR(VLOOKUP(Table4[[#This Row],[FromSite-UPS]],Table1[[#All],[Company or Name]:[FromSite3]],14,FALSE),"")</f>
        <v>0.5</v>
      </c>
      <c r="M428" s="13" t="s">
        <v>1011</v>
      </c>
      <c r="N428" s="20" t="s">
        <v>813</v>
      </c>
      <c r="O428" s="20" t="s">
        <v>1904</v>
      </c>
      <c r="P428" s="20"/>
      <c r="Q428" s="20"/>
      <c r="R428" s="20"/>
      <c r="S428" s="20" t="s">
        <v>125</v>
      </c>
      <c r="T428" s="20"/>
      <c r="U428" s="20"/>
      <c r="V428" s="20"/>
      <c r="W428" s="20" t="str">
        <f>TEXT(Table4[[#This Row],[Confirmed Sampling Date]], "yyyy") &amp; "_" &amp; TEXT(Table4[[#This Row],[Confirmed Sampling Date]], "mm") &amp; "_" &amp; TEXT(Table4[[#This Row],[Confirmed Sampling Date]], "dd")</f>
        <v>2025_11_03</v>
      </c>
      <c r="X428" s="20" t="str">
        <f t="shared" si="6"/>
        <v>Wien</v>
      </c>
      <c r="Y428" s="20" t="str">
        <f>VLOOKUP(Table4[[#This Row],[FromSite-UPS]],Table1[[Company or Name]:[NOTES]],2,FALSE)</f>
        <v>Austria</v>
      </c>
      <c r="Z428" s="20">
        <f>IFERROR(WEEKNUM(Table4[[#This Row],[Confirmed Sampling Date]] - 10, 21), "TBD")</f>
        <v>43</v>
      </c>
      <c r="AA428" s="20" t="str">
        <f>_xlfn.XLOOKUP(Table4[[#This Row],[FromSite-UPS]],sites!D:D,sites!W:W,"",0)</f>
        <v>Währinger Gürtel 18-20, Wien, 1090, Austria</v>
      </c>
      <c r="AB428" s="20" t="str">
        <f>_xlfn.XLOOKUP(Table4[[#This Row],[ToLab]],labs!D:D,labs!P:P,"no adres",0)</f>
        <v>Av. Rovisco Pais 1, Laboratorio de Analises de Agua, Lisbon, 1049-001, Portugal</v>
      </c>
      <c r="AC428" s="20">
        <f>_xlfn.XLOOKUP(Table4[[#This Row],[combi]],AREA!E:E,AREA!F:F,"",0)</f>
        <v>89</v>
      </c>
      <c r="AD428" s="20" t="str">
        <f>_xlfn.XLOOKUP(Table4[[#This Row],[combi]],AREA!E:E,AREA!G:G,"",0)</f>
        <v>Pick-up service of hypothetic package as defined in the Tech. Specs. and delivery to lots
2 and 3 contractors according to Scenario 1</v>
      </c>
      <c r="AE428" s="20" t="s">
        <v>126</v>
      </c>
      <c r="AF428" s="20" t="str">
        <f>_xlfn.XLOOKUP(Table4[[#This Row],[FromSite-UPS]],sites!D:D,sites!AB:AB,"",0)&amp;_xlfn.XLOOKUP(Table4[[#This Row],[ToLab]],labs!D:D,labs!Q:Q,"",0)</f>
        <v>EUEU</v>
      </c>
    </row>
    <row r="429" spans="2:32" ht="15.6" hidden="1" customHeight="1" x14ac:dyDescent="0.25">
      <c r="B429" s="13">
        <v>298</v>
      </c>
      <c r="C429" s="14" t="s">
        <v>53</v>
      </c>
      <c r="D429" s="13">
        <v>1</v>
      </c>
      <c r="E429" s="79">
        <v>45966</v>
      </c>
      <c r="F429" s="80">
        <v>45967</v>
      </c>
      <c r="G429" s="20">
        <f>IFERROR(WEEKNUM(Table4[[#This Row],[Confirmed Pick-up Date]]),"TBD")</f>
        <v>45</v>
      </c>
      <c r="H429" s="20" t="str">
        <f>IFERROR(TEXT(Table4[[#This Row],[Confirmed Pick-up Date]],"yy-mm"),"TBD")</f>
        <v>25-11</v>
      </c>
      <c r="I429" s="13" t="s">
        <v>975</v>
      </c>
      <c r="J429" s="20" t="str">
        <f>IFERROR(VLOOKUP(Table4[[#This Row],[FromSite-UPS]],Table1[[#All],[Company or Name]:[FromSite3]],15,FALSE),"")</f>
        <v>Vilnius WWTP</v>
      </c>
      <c r="K429" s="20" t="str">
        <f>IFERROR(VLOOKUP(Table4[[#This Row],[FromSite-UPS]],Table1[[#All],[Company or Name]:[FromSite3]],16,FALSE),"")</f>
        <v>Vilnius Bus Terminal</v>
      </c>
      <c r="L429" s="20">
        <f>IFERROR(VLOOKUP(Table4[[#This Row],[FromSite-UPS]],Table1[[#All],[Company or Name]:[FromSite3]],14,FALSE),"")</f>
        <v>0.58333333333333337</v>
      </c>
      <c r="M429" s="13" t="s">
        <v>1011</v>
      </c>
      <c r="N429" s="20" t="s">
        <v>813</v>
      </c>
      <c r="O429" s="20" t="s">
        <v>1915</v>
      </c>
      <c r="P429" s="20"/>
      <c r="Q429" s="20"/>
      <c r="R429" s="20"/>
      <c r="S429" s="20" t="s">
        <v>125</v>
      </c>
      <c r="T429" s="20"/>
      <c r="U429" s="20"/>
      <c r="V429" s="20"/>
      <c r="W429" s="20" t="str">
        <f>TEXT(Table4[[#This Row],[Confirmed Sampling Date]], "yyyy") &amp; "_" &amp; TEXT(Table4[[#This Row],[Confirmed Sampling Date]], "mm") &amp; "_" &amp; TEXT(Table4[[#This Row],[Confirmed Sampling Date]], "dd")</f>
        <v>2025_11_05</v>
      </c>
      <c r="X429" s="20" t="str">
        <f t="shared" si="6"/>
        <v>Vilnius</v>
      </c>
      <c r="Y429" s="20" t="str">
        <f>VLOOKUP(Table4[[#This Row],[FromSite-UPS]],Table1[[Company or Name]:[NOTES]],2,FALSE)</f>
        <v>Lithuania</v>
      </c>
      <c r="Z429" s="20">
        <f>IFERROR(WEEKNUM(Table4[[#This Row],[Confirmed Sampling Date]] - 10, 21), "TBD")</f>
        <v>43</v>
      </c>
      <c r="AA429" s="20" t="str">
        <f>_xlfn.XLOOKUP(Table4[[#This Row],[FromSite-UPS]],sites!D:D,sites!W:W,"",0)</f>
        <v>Zolyno 36 gatve, Vilnius, 10210, Lithuania</v>
      </c>
      <c r="AB429" s="20" t="str">
        <f>_xlfn.XLOOKUP(Table4[[#This Row],[ToLab]],labs!D:D,labs!P:P,"no adres",0)</f>
        <v>Av. Rovisco Pais 1, Laboratorio de Analises de Agua, Lisbon, 1049-001, Portugal</v>
      </c>
      <c r="AC429" s="20">
        <f>_xlfn.XLOOKUP(Table4[[#This Row],[combi]],AREA!E:E,AREA!F:F,"",0)</f>
        <v>89</v>
      </c>
      <c r="AD429" s="20" t="str">
        <f>_xlfn.XLOOKUP(Table4[[#This Row],[combi]],AREA!E:E,AREA!G:G,"",0)</f>
        <v>Pick-up service of hypothetic package as defined in the Tech. Specs. and delivery to lots
2 and 3 contractors according to Scenario 1</v>
      </c>
      <c r="AE429" s="20" t="s">
        <v>126</v>
      </c>
      <c r="AF429" s="20" t="str">
        <f>_xlfn.XLOOKUP(Table4[[#This Row],[FromSite-UPS]],sites!D:D,sites!AB:AB,"",0)&amp;_xlfn.XLOOKUP(Table4[[#This Row],[ToLab]],labs!D:D,labs!Q:Q,"",0)</f>
        <v>EUEU</v>
      </c>
    </row>
    <row r="430" spans="2:32" ht="15.6" hidden="1" customHeight="1" x14ac:dyDescent="0.25">
      <c r="B430" s="13">
        <v>308</v>
      </c>
      <c r="C430" s="14" t="s">
        <v>53</v>
      </c>
      <c r="D430" s="13">
        <v>1</v>
      </c>
      <c r="E430" s="79">
        <v>45966</v>
      </c>
      <c r="F430" s="80">
        <v>45967</v>
      </c>
      <c r="G430" s="20">
        <f>IFERROR(WEEKNUM(Table4[[#This Row],[Confirmed Pick-up Date]]),"TBD")</f>
        <v>45</v>
      </c>
      <c r="H430" s="20" t="str">
        <f>IFERROR(TEXT(Table4[[#This Row],[Confirmed Pick-up Date]],"yy-mm"),"TBD")</f>
        <v>25-11</v>
      </c>
      <c r="I430" s="78" t="s">
        <v>1628</v>
      </c>
      <c r="J430" s="20" t="str">
        <f>IFERROR(VLOOKUP(Table4[[#This Row],[FromSite-UPS]],Table1[[#All],[Company or Name]:[FromSite3]],15,FALSE),"")</f>
        <v>Funchal WWTP</v>
      </c>
      <c r="K430" s="20" t="str">
        <f>IFERROR(VLOOKUP(Table4[[#This Row],[FromSite-UPS]],Table1[[#All],[Company or Name]:[FromSite3]],16,FALSE),"")</f>
        <v>Madeira, 10 locations</v>
      </c>
      <c r="L430" s="20">
        <f>IFERROR(VLOOKUP(Table4[[#This Row],[FromSite-UPS]],Table1[[#All],[Company or Name]:[FromSite3]],14,FALSE),"")</f>
        <v>0.70833333333333337</v>
      </c>
      <c r="M430" s="13" t="s">
        <v>1011</v>
      </c>
      <c r="N430" s="20" t="s">
        <v>134</v>
      </c>
      <c r="O430" s="20">
        <v>1010383780</v>
      </c>
      <c r="P430" s="20"/>
      <c r="Q430" s="20"/>
      <c r="R430" s="20"/>
      <c r="S430" s="20" t="s">
        <v>125</v>
      </c>
      <c r="T430" s="20"/>
      <c r="U430" s="20"/>
      <c r="V430" s="20"/>
      <c r="W430" s="20" t="str">
        <f>TEXT(Table4[[#This Row],[Confirmed Sampling Date]], "yyyy") &amp; "_" &amp; TEXT(Table4[[#This Row],[Confirmed Sampling Date]], "mm") &amp; "_" &amp; TEXT(Table4[[#This Row],[Confirmed Sampling Date]], "dd")</f>
        <v>2025_11_05</v>
      </c>
      <c r="X430" s="20" t="str">
        <f t="shared" si="6"/>
        <v>Funchal</v>
      </c>
      <c r="Y430" s="20" t="str">
        <f>VLOOKUP(Table4[[#This Row],[FromSite-UPS]],Table1[[Company or Name]:[NOTES]],2,FALSE)</f>
        <v>Portugal</v>
      </c>
      <c r="Z430" s="20">
        <f>IFERROR(WEEKNUM(Table4[[#This Row],[Confirmed Sampling Date]] - 10, 21), "TBD")</f>
        <v>43</v>
      </c>
      <c r="AA430" s="20" t="str">
        <f>_xlfn.XLOOKUP(Table4[[#This Row],[FromSite-UPS]],sites!D:D,sites!W:W,"",0)</f>
        <v>R. do Matadouro 4, Funchal, 9050-100, Portugal</v>
      </c>
      <c r="AB430" s="20" t="str">
        <f>_xlfn.XLOOKUP(Table4[[#This Row],[ToLab]],labs!D:D,labs!P:P,"no adres",0)</f>
        <v>Av. Rovisco Pais 1, Laboratorio de Analises de Agua, Lisbon, 1049-001, Portugal</v>
      </c>
      <c r="AC430" s="20">
        <f>_xlfn.XLOOKUP(Table4[[#This Row],[combi]],AREA!E:E,AREA!F:F,"",0)</f>
        <v>89</v>
      </c>
      <c r="AD430" s="20" t="str">
        <f>_xlfn.XLOOKUP(Table4[[#This Row],[combi]],AREA!E:E,AREA!G:G,"",0)</f>
        <v>Pick-up service of hypothetic package as defined in the Tech. Specs. and delivery to lots
2 and 3 contractors according to Scenario 1</v>
      </c>
      <c r="AE430" s="20" t="s">
        <v>126</v>
      </c>
      <c r="AF430" s="20" t="str">
        <f>_xlfn.XLOOKUP(Table4[[#This Row],[FromSite-UPS]],sites!D:D,sites!AB:AB,"",0)&amp;_xlfn.XLOOKUP(Table4[[#This Row],[ToLab]],labs!D:D,labs!Q:Q,"",0)</f>
        <v>EUEU</v>
      </c>
    </row>
    <row r="431" spans="2:32" ht="15.6" hidden="1" customHeight="1" x14ac:dyDescent="0.25">
      <c r="B431" s="13">
        <v>318</v>
      </c>
      <c r="C431" s="14" t="s">
        <v>53</v>
      </c>
      <c r="D431" s="13">
        <v>1</v>
      </c>
      <c r="E431" s="79">
        <v>45966</v>
      </c>
      <c r="F431" s="80">
        <v>45967</v>
      </c>
      <c r="G431" s="20">
        <f>IFERROR(WEEKNUM(Table4[[#This Row],[Confirmed Pick-up Date]]),"TBD")</f>
        <v>45</v>
      </c>
      <c r="H431" s="20" t="str">
        <f>IFERROR(TEXT(Table4[[#This Row],[Confirmed Pick-up Date]],"yy-mm"),"TBD")</f>
        <v>25-11</v>
      </c>
      <c r="I431" s="78" t="s">
        <v>1628</v>
      </c>
      <c r="J431" s="20" t="str">
        <f>IFERROR(VLOOKUP(Table4[[#This Row],[FromSite-UPS]],Table1[[#All],[Company or Name]:[FromSite3]],15,FALSE),"")</f>
        <v>Funchal WWTP</v>
      </c>
      <c r="K431" s="20" t="str">
        <f>IFERROR(VLOOKUP(Table4[[#This Row],[FromSite-UPS]],Table1[[#All],[Company or Name]:[FromSite3]],16,FALSE),"")</f>
        <v>Madeira, 10 locations</v>
      </c>
      <c r="L431" s="20">
        <f>IFERROR(VLOOKUP(Table4[[#This Row],[FromSite-UPS]],Table1[[#All],[Company or Name]:[FromSite3]],14,FALSE),"")</f>
        <v>0.70833333333333337</v>
      </c>
      <c r="M431" s="13" t="s">
        <v>1011</v>
      </c>
      <c r="N431" s="20" t="s">
        <v>134</v>
      </c>
      <c r="O431" s="20">
        <v>1010383780</v>
      </c>
      <c r="P431" s="20"/>
      <c r="Q431" s="20"/>
      <c r="R431" s="20"/>
      <c r="S431" s="20" t="s">
        <v>125</v>
      </c>
      <c r="T431" s="20"/>
      <c r="U431" s="20"/>
      <c r="V431" s="20"/>
      <c r="W431" s="20" t="str">
        <f>TEXT(Table4[[#This Row],[Confirmed Sampling Date]], "yyyy") &amp; "_" &amp; TEXT(Table4[[#This Row],[Confirmed Sampling Date]], "mm") &amp; "_" &amp; TEXT(Table4[[#This Row],[Confirmed Sampling Date]], "dd")</f>
        <v>2025_11_05</v>
      </c>
      <c r="X431" s="20" t="str">
        <f t="shared" si="6"/>
        <v>Funchal</v>
      </c>
      <c r="Y431" s="20" t="str">
        <f>VLOOKUP(Table4[[#This Row],[FromSite-UPS]],Table1[[Company or Name]:[NOTES]],2,FALSE)</f>
        <v>Portugal</v>
      </c>
      <c r="Z431" s="20">
        <f>IFERROR(WEEKNUM(Table4[[#This Row],[Confirmed Sampling Date]] - 10, 21), "TBD")</f>
        <v>43</v>
      </c>
      <c r="AA431" s="20" t="str">
        <f>_xlfn.XLOOKUP(Table4[[#This Row],[FromSite-UPS]],sites!D:D,sites!W:W,"",0)</f>
        <v>R. do Matadouro 4, Funchal, 9050-100, Portugal</v>
      </c>
      <c r="AB431" s="20" t="str">
        <f>_xlfn.XLOOKUP(Table4[[#This Row],[ToLab]],labs!D:D,labs!P:P,"no adres",0)</f>
        <v>Av. Rovisco Pais 1, Laboratorio de Analises de Agua, Lisbon, 1049-001, Portugal</v>
      </c>
      <c r="AC431" s="20">
        <f>_xlfn.XLOOKUP(Table4[[#This Row],[combi]],AREA!E:E,AREA!F:F,"",0)</f>
        <v>89</v>
      </c>
      <c r="AD431" s="20" t="str">
        <f>_xlfn.XLOOKUP(Table4[[#This Row],[combi]],AREA!E:E,AREA!G:G,"",0)</f>
        <v>Pick-up service of hypothetic package as defined in the Tech. Specs. and delivery to lots
2 and 3 contractors according to Scenario 1</v>
      </c>
      <c r="AE431" s="20" t="s">
        <v>126</v>
      </c>
      <c r="AF431" s="20" t="str">
        <f>_xlfn.XLOOKUP(Table4[[#This Row],[FromSite-UPS]],sites!D:D,sites!AB:AB,"",0)&amp;_xlfn.XLOOKUP(Table4[[#This Row],[ToLab]],labs!D:D,labs!Q:Q,"",0)</f>
        <v>EUEU</v>
      </c>
    </row>
    <row r="432" spans="2:32" ht="15.6" hidden="1" customHeight="1" x14ac:dyDescent="0.25">
      <c r="B432" s="13">
        <v>328</v>
      </c>
      <c r="C432" s="14" t="s">
        <v>53</v>
      </c>
      <c r="D432" s="13">
        <v>1</v>
      </c>
      <c r="E432" s="79">
        <v>45966</v>
      </c>
      <c r="F432" s="80">
        <v>45967</v>
      </c>
      <c r="G432" s="20">
        <f>IFERROR(WEEKNUM(Table4[[#This Row],[Confirmed Pick-up Date]]),"TBD")</f>
        <v>45</v>
      </c>
      <c r="H432" s="20" t="str">
        <f>IFERROR(TEXT(Table4[[#This Row],[Confirmed Pick-up Date]],"yy-mm"),"TBD")</f>
        <v>25-11</v>
      </c>
      <c r="I432" s="78" t="s">
        <v>1628</v>
      </c>
      <c r="J432" s="20" t="str">
        <f>IFERROR(VLOOKUP(Table4[[#This Row],[FromSite-UPS]],Table1[[#All],[Company or Name]:[FromSite3]],15,FALSE),"")</f>
        <v>Funchal WWTP</v>
      </c>
      <c r="K432" s="20" t="str">
        <f>IFERROR(VLOOKUP(Table4[[#This Row],[FromSite-UPS]],Table1[[#All],[Company or Name]:[FromSite3]],16,FALSE),"")</f>
        <v>Madeira, 10 locations</v>
      </c>
      <c r="L432" s="20">
        <f>IFERROR(VLOOKUP(Table4[[#This Row],[FromSite-UPS]],Table1[[#All],[Company or Name]:[FromSite3]],14,FALSE),"")</f>
        <v>0.70833333333333337</v>
      </c>
      <c r="M432" s="13" t="s">
        <v>1011</v>
      </c>
      <c r="N432" s="20" t="s">
        <v>134</v>
      </c>
      <c r="O432" s="20">
        <v>1010383780</v>
      </c>
      <c r="P432" s="20"/>
      <c r="Q432" s="20"/>
      <c r="R432" s="20"/>
      <c r="S432" s="20" t="s">
        <v>125</v>
      </c>
      <c r="T432" s="20"/>
      <c r="U432" s="20"/>
      <c r="V432" s="20"/>
      <c r="W432" s="20" t="str">
        <f>TEXT(Table4[[#This Row],[Confirmed Sampling Date]], "yyyy") &amp; "_" &amp; TEXT(Table4[[#This Row],[Confirmed Sampling Date]], "mm") &amp; "_" &amp; TEXT(Table4[[#This Row],[Confirmed Sampling Date]], "dd")</f>
        <v>2025_11_05</v>
      </c>
      <c r="X432" s="20" t="str">
        <f t="shared" si="6"/>
        <v>Funchal</v>
      </c>
      <c r="Y432" s="20" t="str">
        <f>VLOOKUP(Table4[[#This Row],[FromSite-UPS]],Table1[[Company or Name]:[NOTES]],2,FALSE)</f>
        <v>Portugal</v>
      </c>
      <c r="Z432" s="20">
        <f>IFERROR(WEEKNUM(Table4[[#This Row],[Confirmed Sampling Date]] - 10, 21), "TBD")</f>
        <v>43</v>
      </c>
      <c r="AA432" s="20" t="str">
        <f>_xlfn.XLOOKUP(Table4[[#This Row],[FromSite-UPS]],sites!D:D,sites!W:W,"",0)</f>
        <v>R. do Matadouro 4, Funchal, 9050-100, Portugal</v>
      </c>
      <c r="AB432" s="20" t="str">
        <f>_xlfn.XLOOKUP(Table4[[#This Row],[ToLab]],labs!D:D,labs!P:P,"no adres",0)</f>
        <v>Av. Rovisco Pais 1, Laboratorio de Analises de Agua, Lisbon, 1049-001, Portugal</v>
      </c>
      <c r="AC432" s="20">
        <f>_xlfn.XLOOKUP(Table4[[#This Row],[combi]],AREA!E:E,AREA!F:F,"",0)</f>
        <v>89</v>
      </c>
      <c r="AD432" s="20" t="str">
        <f>_xlfn.XLOOKUP(Table4[[#This Row],[combi]],AREA!E:E,AREA!G:G,"",0)</f>
        <v>Pick-up service of hypothetic package as defined in the Tech. Specs. and delivery to lots
2 and 3 contractors according to Scenario 1</v>
      </c>
      <c r="AE432" s="20" t="s">
        <v>126</v>
      </c>
      <c r="AF432" s="20" t="str">
        <f>_xlfn.XLOOKUP(Table4[[#This Row],[FromSite-UPS]],sites!D:D,sites!AB:AB,"",0)&amp;_xlfn.XLOOKUP(Table4[[#This Row],[ToLab]],labs!D:D,labs!Q:Q,"",0)</f>
        <v>EUEU</v>
      </c>
    </row>
    <row r="433" spans="2:32" ht="15.6" hidden="1" customHeight="1" x14ac:dyDescent="0.25">
      <c r="B433" s="13">
        <v>338</v>
      </c>
      <c r="C433" s="14" t="s">
        <v>53</v>
      </c>
      <c r="D433" s="13">
        <v>1</v>
      </c>
      <c r="E433" s="79">
        <v>45966</v>
      </c>
      <c r="F433" s="80">
        <v>45967</v>
      </c>
      <c r="G433" s="20">
        <f>IFERROR(WEEKNUM(Table4[[#This Row],[Confirmed Pick-up Date]]),"TBD")</f>
        <v>45</v>
      </c>
      <c r="H433" s="20" t="str">
        <f>IFERROR(TEXT(Table4[[#This Row],[Confirmed Pick-up Date]],"yy-mm"),"TBD")</f>
        <v>25-11</v>
      </c>
      <c r="I433" s="78" t="s">
        <v>1628</v>
      </c>
      <c r="J433" s="20" t="str">
        <f>IFERROR(VLOOKUP(Table4[[#This Row],[FromSite-UPS]],Table1[[#All],[Company or Name]:[FromSite3]],15,FALSE),"")</f>
        <v>Funchal WWTP</v>
      </c>
      <c r="K433" s="20" t="str">
        <f>IFERROR(VLOOKUP(Table4[[#This Row],[FromSite-UPS]],Table1[[#All],[Company or Name]:[FromSite3]],16,FALSE),"")</f>
        <v>Madeira, 10 locations</v>
      </c>
      <c r="L433" s="20">
        <f>IFERROR(VLOOKUP(Table4[[#This Row],[FromSite-UPS]],Table1[[#All],[Company or Name]:[FromSite3]],14,FALSE),"")</f>
        <v>0.70833333333333337</v>
      </c>
      <c r="M433" s="13" t="s">
        <v>1011</v>
      </c>
      <c r="N433" s="20" t="s">
        <v>134</v>
      </c>
      <c r="O433" s="20">
        <v>1010383780</v>
      </c>
      <c r="P433" s="20"/>
      <c r="Q433" s="20"/>
      <c r="R433" s="20"/>
      <c r="S433" s="20" t="s">
        <v>125</v>
      </c>
      <c r="T433" s="20"/>
      <c r="U433" s="20"/>
      <c r="V433" s="20"/>
      <c r="W433" s="20" t="str">
        <f>TEXT(Table4[[#This Row],[Confirmed Sampling Date]], "yyyy") &amp; "_" &amp; TEXT(Table4[[#This Row],[Confirmed Sampling Date]], "mm") &amp; "_" &amp; TEXT(Table4[[#This Row],[Confirmed Sampling Date]], "dd")</f>
        <v>2025_11_05</v>
      </c>
      <c r="X433" s="20" t="str">
        <f t="shared" si="6"/>
        <v>Funchal</v>
      </c>
      <c r="Y433" s="20" t="str">
        <f>VLOOKUP(Table4[[#This Row],[FromSite-UPS]],Table1[[Company or Name]:[NOTES]],2,FALSE)</f>
        <v>Portugal</v>
      </c>
      <c r="Z433" s="20">
        <f>IFERROR(WEEKNUM(Table4[[#This Row],[Confirmed Sampling Date]] - 10, 21), "TBD")</f>
        <v>43</v>
      </c>
      <c r="AA433" s="20" t="str">
        <f>_xlfn.XLOOKUP(Table4[[#This Row],[FromSite-UPS]],sites!D:D,sites!W:W,"",0)</f>
        <v>R. do Matadouro 4, Funchal, 9050-100, Portugal</v>
      </c>
      <c r="AB433" s="20" t="str">
        <f>_xlfn.XLOOKUP(Table4[[#This Row],[ToLab]],labs!D:D,labs!P:P,"no adres",0)</f>
        <v>Av. Rovisco Pais 1, Laboratorio de Analises de Agua, Lisbon, 1049-001, Portugal</v>
      </c>
      <c r="AC433" s="20">
        <f>_xlfn.XLOOKUP(Table4[[#This Row],[combi]],AREA!E:E,AREA!F:F,"",0)</f>
        <v>89</v>
      </c>
      <c r="AD433" s="20" t="str">
        <f>_xlfn.XLOOKUP(Table4[[#This Row],[combi]],AREA!E:E,AREA!G:G,"",0)</f>
        <v>Pick-up service of hypothetic package as defined in the Tech. Specs. and delivery to lots
2 and 3 contractors according to Scenario 1</v>
      </c>
      <c r="AE433" s="20" t="s">
        <v>126</v>
      </c>
      <c r="AF433" s="20" t="str">
        <f>_xlfn.XLOOKUP(Table4[[#This Row],[FromSite-UPS]],sites!D:D,sites!AB:AB,"",0)&amp;_xlfn.XLOOKUP(Table4[[#This Row],[ToLab]],labs!D:D,labs!Q:Q,"",0)</f>
        <v>EUEU</v>
      </c>
    </row>
    <row r="434" spans="2:32" ht="15.6" hidden="1" customHeight="1" x14ac:dyDescent="0.25">
      <c r="B434" s="13">
        <v>348</v>
      </c>
      <c r="C434" s="14" t="s">
        <v>53</v>
      </c>
      <c r="D434" s="13">
        <v>1</v>
      </c>
      <c r="E434" s="79">
        <v>45966</v>
      </c>
      <c r="F434" s="80">
        <v>45967</v>
      </c>
      <c r="G434" s="20">
        <f>IFERROR(WEEKNUM(Table4[[#This Row],[Confirmed Pick-up Date]]),"TBD")</f>
        <v>45</v>
      </c>
      <c r="H434" s="20" t="str">
        <f>IFERROR(TEXT(Table4[[#This Row],[Confirmed Pick-up Date]],"yy-mm"),"TBD")</f>
        <v>25-11</v>
      </c>
      <c r="I434" s="78" t="s">
        <v>1628</v>
      </c>
      <c r="J434" s="20" t="str">
        <f>IFERROR(VLOOKUP(Table4[[#This Row],[FromSite-UPS]],Table1[[#All],[Company or Name]:[FromSite3]],15,FALSE),"")</f>
        <v>Funchal WWTP</v>
      </c>
      <c r="K434" s="20" t="str">
        <f>IFERROR(VLOOKUP(Table4[[#This Row],[FromSite-UPS]],Table1[[#All],[Company or Name]:[FromSite3]],16,FALSE),"")</f>
        <v>Madeira, 10 locations</v>
      </c>
      <c r="L434" s="20">
        <f>IFERROR(VLOOKUP(Table4[[#This Row],[FromSite-UPS]],Table1[[#All],[Company or Name]:[FromSite3]],14,FALSE),"")</f>
        <v>0.70833333333333337</v>
      </c>
      <c r="M434" s="13" t="s">
        <v>1011</v>
      </c>
      <c r="N434" s="20" t="s">
        <v>134</v>
      </c>
      <c r="O434" s="20">
        <v>1010383780</v>
      </c>
      <c r="P434" s="20"/>
      <c r="Q434" s="20"/>
      <c r="R434" s="20"/>
      <c r="S434" s="20" t="s">
        <v>125</v>
      </c>
      <c r="T434" s="20"/>
      <c r="U434" s="20"/>
      <c r="V434" s="20"/>
      <c r="W434" s="20" t="str">
        <f>TEXT(Table4[[#This Row],[Confirmed Sampling Date]], "yyyy") &amp; "_" &amp; TEXT(Table4[[#This Row],[Confirmed Sampling Date]], "mm") &amp; "_" &amp; TEXT(Table4[[#This Row],[Confirmed Sampling Date]], "dd")</f>
        <v>2025_11_05</v>
      </c>
      <c r="X434" s="20" t="str">
        <f t="shared" si="6"/>
        <v>Funchal</v>
      </c>
      <c r="Y434" s="20" t="str">
        <f>VLOOKUP(Table4[[#This Row],[FromSite-UPS]],Table1[[Company or Name]:[NOTES]],2,FALSE)</f>
        <v>Portugal</v>
      </c>
      <c r="Z434" s="20">
        <f>IFERROR(WEEKNUM(Table4[[#This Row],[Confirmed Sampling Date]] - 10, 21), "TBD")</f>
        <v>43</v>
      </c>
      <c r="AA434" s="20" t="str">
        <f>_xlfn.XLOOKUP(Table4[[#This Row],[FromSite-UPS]],sites!D:D,sites!W:W,"",0)</f>
        <v>R. do Matadouro 4, Funchal, 9050-100, Portugal</v>
      </c>
      <c r="AB434" s="20" t="str">
        <f>_xlfn.XLOOKUP(Table4[[#This Row],[ToLab]],labs!D:D,labs!P:P,"no adres",0)</f>
        <v>Av. Rovisco Pais 1, Laboratorio de Analises de Agua, Lisbon, 1049-001, Portugal</v>
      </c>
      <c r="AC434" s="20">
        <f>_xlfn.XLOOKUP(Table4[[#This Row],[combi]],AREA!E:E,AREA!F:F,"",0)</f>
        <v>89</v>
      </c>
      <c r="AD434" s="20" t="str">
        <f>_xlfn.XLOOKUP(Table4[[#This Row],[combi]],AREA!E:E,AREA!G:G,"",0)</f>
        <v>Pick-up service of hypothetic package as defined in the Tech. Specs. and delivery to lots
2 and 3 contractors according to Scenario 1</v>
      </c>
      <c r="AE434" s="20" t="s">
        <v>126</v>
      </c>
      <c r="AF434" s="20" t="str">
        <f>_xlfn.XLOOKUP(Table4[[#This Row],[FromSite-UPS]],sites!D:D,sites!AB:AB,"",0)&amp;_xlfn.XLOOKUP(Table4[[#This Row],[ToLab]],labs!D:D,labs!Q:Q,"",0)</f>
        <v>EUEU</v>
      </c>
    </row>
    <row r="435" spans="2:32" ht="15.6" hidden="1" customHeight="1" x14ac:dyDescent="0.25">
      <c r="B435" s="13">
        <v>358</v>
      </c>
      <c r="C435" s="14" t="s">
        <v>53</v>
      </c>
      <c r="D435" s="13">
        <v>1</v>
      </c>
      <c r="E435" s="79">
        <v>45966</v>
      </c>
      <c r="F435" s="80">
        <v>45967</v>
      </c>
      <c r="G435" s="20">
        <f>IFERROR(WEEKNUM(Table4[[#This Row],[Confirmed Pick-up Date]]),"TBD")</f>
        <v>45</v>
      </c>
      <c r="H435" s="20" t="str">
        <f>IFERROR(TEXT(Table4[[#This Row],[Confirmed Pick-up Date]],"yy-mm"),"TBD")</f>
        <v>25-11</v>
      </c>
      <c r="I435" s="78" t="s">
        <v>1628</v>
      </c>
      <c r="J435" s="20" t="str">
        <f>IFERROR(VLOOKUP(Table4[[#This Row],[FromSite-UPS]],Table1[[#All],[Company or Name]:[FromSite3]],15,FALSE),"")</f>
        <v>Funchal WWTP</v>
      </c>
      <c r="K435" s="20" t="str">
        <f>IFERROR(VLOOKUP(Table4[[#This Row],[FromSite-UPS]],Table1[[#All],[Company or Name]:[FromSite3]],16,FALSE),"")</f>
        <v>Madeira, 10 locations</v>
      </c>
      <c r="L435" s="20">
        <f>IFERROR(VLOOKUP(Table4[[#This Row],[FromSite-UPS]],Table1[[#All],[Company or Name]:[FromSite3]],14,FALSE),"")</f>
        <v>0.70833333333333337</v>
      </c>
      <c r="M435" s="13" t="s">
        <v>1011</v>
      </c>
      <c r="N435" s="20" t="s">
        <v>134</v>
      </c>
      <c r="O435" s="20">
        <v>1010383780</v>
      </c>
      <c r="P435" s="20"/>
      <c r="Q435" s="20"/>
      <c r="R435" s="20"/>
      <c r="S435" s="20" t="s">
        <v>125</v>
      </c>
      <c r="T435" s="20"/>
      <c r="U435" s="20"/>
      <c r="V435" s="20"/>
      <c r="W435" s="20" t="str">
        <f>TEXT(Table4[[#This Row],[Confirmed Sampling Date]], "yyyy") &amp; "_" &amp; TEXT(Table4[[#This Row],[Confirmed Sampling Date]], "mm") &amp; "_" &amp; TEXT(Table4[[#This Row],[Confirmed Sampling Date]], "dd")</f>
        <v>2025_11_05</v>
      </c>
      <c r="X435" s="20" t="str">
        <f t="shared" si="6"/>
        <v>Funchal</v>
      </c>
      <c r="Y435" s="20" t="str">
        <f>VLOOKUP(Table4[[#This Row],[FromSite-UPS]],Table1[[Company or Name]:[NOTES]],2,FALSE)</f>
        <v>Portugal</v>
      </c>
      <c r="Z435" s="20">
        <f>IFERROR(WEEKNUM(Table4[[#This Row],[Confirmed Sampling Date]] - 10, 21), "TBD")</f>
        <v>43</v>
      </c>
      <c r="AA435" s="20" t="str">
        <f>_xlfn.XLOOKUP(Table4[[#This Row],[FromSite-UPS]],sites!D:D,sites!W:W,"",0)</f>
        <v>R. do Matadouro 4, Funchal, 9050-100, Portugal</v>
      </c>
      <c r="AB435" s="20" t="str">
        <f>_xlfn.XLOOKUP(Table4[[#This Row],[ToLab]],labs!D:D,labs!P:P,"no adres",0)</f>
        <v>Av. Rovisco Pais 1, Laboratorio de Analises de Agua, Lisbon, 1049-001, Portugal</v>
      </c>
      <c r="AC435" s="20">
        <f>_xlfn.XLOOKUP(Table4[[#This Row],[combi]],AREA!E:E,AREA!F:F,"",0)</f>
        <v>89</v>
      </c>
      <c r="AD435" s="20" t="str">
        <f>_xlfn.XLOOKUP(Table4[[#This Row],[combi]],AREA!E:E,AREA!G:G,"",0)</f>
        <v>Pick-up service of hypothetic package as defined in the Tech. Specs. and delivery to lots
2 and 3 contractors according to Scenario 1</v>
      </c>
      <c r="AE435" s="20" t="s">
        <v>126</v>
      </c>
      <c r="AF435" s="20" t="str">
        <f>_xlfn.XLOOKUP(Table4[[#This Row],[FromSite-UPS]],sites!D:D,sites!AB:AB,"",0)&amp;_xlfn.XLOOKUP(Table4[[#This Row],[ToLab]],labs!D:D,labs!Q:Q,"",0)</f>
        <v>EUEU</v>
      </c>
    </row>
    <row r="436" spans="2:32" ht="15.6" hidden="1" customHeight="1" x14ac:dyDescent="0.25">
      <c r="B436" s="13">
        <v>368</v>
      </c>
      <c r="C436" s="14" t="s">
        <v>53</v>
      </c>
      <c r="D436" s="13">
        <v>1</v>
      </c>
      <c r="E436" s="79">
        <v>45966</v>
      </c>
      <c r="F436" s="81">
        <v>45967</v>
      </c>
      <c r="G436" s="20">
        <f>IFERROR(WEEKNUM(Table4[[#This Row],[Confirmed Pick-up Date]]),"TBD")</f>
        <v>45</v>
      </c>
      <c r="H436" s="20" t="str">
        <f>IFERROR(TEXT(Table4[[#This Row],[Confirmed Pick-up Date]],"yy-mm"),"TBD")</f>
        <v>25-11</v>
      </c>
      <c r="I436" s="78" t="s">
        <v>1628</v>
      </c>
      <c r="J436" s="20" t="str">
        <f>IFERROR(VLOOKUP(Table4[[#This Row],[FromSite-UPS]],Table1[[#All],[Company or Name]:[FromSite3]],15,FALSE),"")</f>
        <v>Funchal WWTP</v>
      </c>
      <c r="K436" s="20" t="str">
        <f>IFERROR(VLOOKUP(Table4[[#This Row],[FromSite-UPS]],Table1[[#All],[Company or Name]:[FromSite3]],16,FALSE),"")</f>
        <v>Madeira, 10 locations</v>
      </c>
      <c r="L436" s="20">
        <f>IFERROR(VLOOKUP(Table4[[#This Row],[FromSite-UPS]],Table1[[#All],[Company or Name]:[FromSite3]],14,FALSE),"")</f>
        <v>0.70833333333333337</v>
      </c>
      <c r="M436" s="13" t="s">
        <v>1011</v>
      </c>
      <c r="N436" s="20" t="s">
        <v>134</v>
      </c>
      <c r="O436" s="20">
        <v>1010383780</v>
      </c>
      <c r="P436" s="20"/>
      <c r="Q436" s="20"/>
      <c r="R436" s="20"/>
      <c r="S436" s="20" t="s">
        <v>125</v>
      </c>
      <c r="T436" s="20"/>
      <c r="U436" s="20"/>
      <c r="V436" s="20"/>
      <c r="W436" s="20" t="str">
        <f>TEXT(Table4[[#This Row],[Confirmed Sampling Date]], "yyyy") &amp; "_" &amp; TEXT(Table4[[#This Row],[Confirmed Sampling Date]], "mm") &amp; "_" &amp; TEXT(Table4[[#This Row],[Confirmed Sampling Date]], "dd")</f>
        <v>2025_11_05</v>
      </c>
      <c r="X436" s="20" t="str">
        <f t="shared" si="6"/>
        <v>Funchal</v>
      </c>
      <c r="Y436" s="20" t="str">
        <f>VLOOKUP(Table4[[#This Row],[FromSite-UPS]],Table1[[Company or Name]:[NOTES]],2,FALSE)</f>
        <v>Portugal</v>
      </c>
      <c r="Z436" s="20">
        <f>IFERROR(WEEKNUM(Table4[[#This Row],[Confirmed Sampling Date]] - 10, 21), "TBD")</f>
        <v>43</v>
      </c>
      <c r="AA436" s="20" t="str">
        <f>_xlfn.XLOOKUP(Table4[[#This Row],[FromSite-UPS]],sites!D:D,sites!W:W,"",0)</f>
        <v>R. do Matadouro 4, Funchal, 9050-100, Portugal</v>
      </c>
      <c r="AB436" s="20" t="str">
        <f>_xlfn.XLOOKUP(Table4[[#This Row],[ToLab]],labs!D:D,labs!P:P,"no adres",0)</f>
        <v>Av. Rovisco Pais 1, Laboratorio de Analises de Agua, Lisbon, 1049-001, Portugal</v>
      </c>
      <c r="AC436" s="20">
        <f>_xlfn.XLOOKUP(Table4[[#This Row],[combi]],AREA!E:E,AREA!F:F,"",0)</f>
        <v>89</v>
      </c>
      <c r="AD436" s="20" t="str">
        <f>_xlfn.XLOOKUP(Table4[[#This Row],[combi]],AREA!E:E,AREA!G:G,"",0)</f>
        <v>Pick-up service of hypothetic package as defined in the Tech. Specs. and delivery to lots
2 and 3 contractors according to Scenario 1</v>
      </c>
      <c r="AE436" s="20" t="s">
        <v>126</v>
      </c>
      <c r="AF436" s="20" t="str">
        <f>_xlfn.XLOOKUP(Table4[[#This Row],[FromSite-UPS]],sites!D:D,sites!AB:AB,"",0)&amp;_xlfn.XLOOKUP(Table4[[#This Row],[ToLab]],labs!D:D,labs!Q:Q,"",0)</f>
        <v>EUEU</v>
      </c>
    </row>
    <row r="437" spans="2:32" ht="15.6" hidden="1" customHeight="1" x14ac:dyDescent="0.25">
      <c r="B437" s="13">
        <v>378</v>
      </c>
      <c r="C437" s="14" t="s">
        <v>53</v>
      </c>
      <c r="D437" s="13">
        <v>1</v>
      </c>
      <c r="E437" s="79">
        <v>45966</v>
      </c>
      <c r="F437" s="80">
        <v>45967</v>
      </c>
      <c r="G437" s="20">
        <f>IFERROR(WEEKNUM(Table4[[#This Row],[Confirmed Pick-up Date]]),"TBD")</f>
        <v>45</v>
      </c>
      <c r="H437" s="20" t="str">
        <f>IFERROR(TEXT(Table4[[#This Row],[Confirmed Pick-up Date]],"yy-mm"),"TBD")</f>
        <v>25-11</v>
      </c>
      <c r="I437" s="78" t="s">
        <v>1628</v>
      </c>
      <c r="J437" s="20" t="str">
        <f>IFERROR(VLOOKUP(Table4[[#This Row],[FromSite-UPS]],Table1[[#All],[Company or Name]:[FromSite3]],15,FALSE),"")</f>
        <v>Funchal WWTP</v>
      </c>
      <c r="K437" s="20" t="str">
        <f>IFERROR(VLOOKUP(Table4[[#This Row],[FromSite-UPS]],Table1[[#All],[Company or Name]:[FromSite3]],16,FALSE),"")</f>
        <v>Madeira, 10 locations</v>
      </c>
      <c r="L437" s="20">
        <f>IFERROR(VLOOKUP(Table4[[#This Row],[FromSite-UPS]],Table1[[#All],[Company or Name]:[FromSite3]],14,FALSE),"")</f>
        <v>0.70833333333333337</v>
      </c>
      <c r="M437" s="13" t="s">
        <v>1011</v>
      </c>
      <c r="N437" s="20" t="s">
        <v>134</v>
      </c>
      <c r="O437" s="20">
        <v>1010383780</v>
      </c>
      <c r="P437" s="20"/>
      <c r="Q437" s="20"/>
      <c r="R437" s="20"/>
      <c r="S437" s="20" t="s">
        <v>125</v>
      </c>
      <c r="T437" s="20"/>
      <c r="U437" s="20"/>
      <c r="V437" s="20"/>
      <c r="W437" s="20" t="str">
        <f>TEXT(Table4[[#This Row],[Confirmed Sampling Date]], "yyyy") &amp; "_" &amp; TEXT(Table4[[#This Row],[Confirmed Sampling Date]], "mm") &amp; "_" &amp; TEXT(Table4[[#This Row],[Confirmed Sampling Date]], "dd")</f>
        <v>2025_11_05</v>
      </c>
      <c r="X437" s="20" t="str">
        <f t="shared" si="6"/>
        <v>Funchal</v>
      </c>
      <c r="Y437" s="20" t="str">
        <f>VLOOKUP(Table4[[#This Row],[FromSite-UPS]],Table1[[Company or Name]:[NOTES]],2,FALSE)</f>
        <v>Portugal</v>
      </c>
      <c r="Z437" s="20">
        <f>IFERROR(WEEKNUM(Table4[[#This Row],[Confirmed Sampling Date]] - 10, 21), "TBD")</f>
        <v>43</v>
      </c>
      <c r="AA437" s="20" t="str">
        <f>_xlfn.XLOOKUP(Table4[[#This Row],[FromSite-UPS]],sites!D:D,sites!W:W,"",0)</f>
        <v>R. do Matadouro 4, Funchal, 9050-100, Portugal</v>
      </c>
      <c r="AB437" s="20" t="str">
        <f>_xlfn.XLOOKUP(Table4[[#This Row],[ToLab]],labs!D:D,labs!P:P,"no adres",0)</f>
        <v>Av. Rovisco Pais 1, Laboratorio de Analises de Agua, Lisbon, 1049-001, Portugal</v>
      </c>
      <c r="AC437" s="20">
        <f>_xlfn.XLOOKUP(Table4[[#This Row],[combi]],AREA!E:E,AREA!F:F,"",0)</f>
        <v>89</v>
      </c>
      <c r="AD437" s="20" t="str">
        <f>_xlfn.XLOOKUP(Table4[[#This Row],[combi]],AREA!E:E,AREA!G:G,"",0)</f>
        <v>Pick-up service of hypothetic package as defined in the Tech. Specs. and delivery to lots
2 and 3 contractors according to Scenario 1</v>
      </c>
      <c r="AE437" s="20" t="s">
        <v>126</v>
      </c>
      <c r="AF437" s="20" t="str">
        <f>_xlfn.XLOOKUP(Table4[[#This Row],[FromSite-UPS]],sites!D:D,sites!AB:AB,"",0)&amp;_xlfn.XLOOKUP(Table4[[#This Row],[ToLab]],labs!D:D,labs!Q:Q,"",0)</f>
        <v>EUEU</v>
      </c>
    </row>
    <row r="438" spans="2:32" ht="15.6" hidden="1" customHeight="1" x14ac:dyDescent="0.25">
      <c r="B438" s="13">
        <v>388</v>
      </c>
      <c r="C438" s="14" t="s">
        <v>53</v>
      </c>
      <c r="D438" s="13">
        <v>1</v>
      </c>
      <c r="E438" s="79">
        <v>45966</v>
      </c>
      <c r="F438" s="80">
        <v>45967</v>
      </c>
      <c r="G438" s="20">
        <f>IFERROR(WEEKNUM(Table4[[#This Row],[Confirmed Pick-up Date]]),"TBD")</f>
        <v>45</v>
      </c>
      <c r="H438" s="20" t="str">
        <f>IFERROR(TEXT(Table4[[#This Row],[Confirmed Pick-up Date]],"yy-mm"),"TBD")</f>
        <v>25-11</v>
      </c>
      <c r="I438" s="78" t="s">
        <v>1628</v>
      </c>
      <c r="J438" s="20" t="str">
        <f>IFERROR(VLOOKUP(Table4[[#This Row],[FromSite-UPS]],Table1[[#All],[Company or Name]:[FromSite3]],15,FALSE),"")</f>
        <v>Funchal WWTP</v>
      </c>
      <c r="K438" s="20" t="str">
        <f>IFERROR(VLOOKUP(Table4[[#This Row],[FromSite-UPS]],Table1[[#All],[Company or Name]:[FromSite3]],16,FALSE),"")</f>
        <v>Madeira, 10 locations</v>
      </c>
      <c r="L438" s="20">
        <f>IFERROR(VLOOKUP(Table4[[#This Row],[FromSite-UPS]],Table1[[#All],[Company or Name]:[FromSite3]],14,FALSE),"")</f>
        <v>0.70833333333333337</v>
      </c>
      <c r="M438" s="13" t="s">
        <v>1011</v>
      </c>
      <c r="N438" s="20" t="s">
        <v>134</v>
      </c>
      <c r="O438" s="20">
        <v>1010383780</v>
      </c>
      <c r="P438" s="20"/>
      <c r="Q438" s="20"/>
      <c r="R438" s="20"/>
      <c r="S438" s="20" t="s">
        <v>125</v>
      </c>
      <c r="T438" s="20"/>
      <c r="U438" s="20"/>
      <c r="V438" s="20"/>
      <c r="W438" s="20" t="str">
        <f>TEXT(Table4[[#This Row],[Confirmed Sampling Date]], "yyyy") &amp; "_" &amp; TEXT(Table4[[#This Row],[Confirmed Sampling Date]], "mm") &amp; "_" &amp; TEXT(Table4[[#This Row],[Confirmed Sampling Date]], "dd")</f>
        <v>2025_11_05</v>
      </c>
      <c r="X438" s="20" t="str">
        <f t="shared" si="6"/>
        <v>Funchal</v>
      </c>
      <c r="Y438" s="20" t="str">
        <f>VLOOKUP(Table4[[#This Row],[FromSite-UPS]],Table1[[Company or Name]:[NOTES]],2,FALSE)</f>
        <v>Portugal</v>
      </c>
      <c r="Z438" s="20">
        <f>IFERROR(WEEKNUM(Table4[[#This Row],[Confirmed Sampling Date]] - 10, 21), "TBD")</f>
        <v>43</v>
      </c>
      <c r="AA438" s="20" t="str">
        <f>_xlfn.XLOOKUP(Table4[[#This Row],[FromSite-UPS]],sites!D:D,sites!W:W,"",0)</f>
        <v>R. do Matadouro 4, Funchal, 9050-100, Portugal</v>
      </c>
      <c r="AB438" s="20" t="str">
        <f>_xlfn.XLOOKUP(Table4[[#This Row],[ToLab]],labs!D:D,labs!P:P,"no adres",0)</f>
        <v>Av. Rovisco Pais 1, Laboratorio de Analises de Agua, Lisbon, 1049-001, Portugal</v>
      </c>
      <c r="AC438" s="20">
        <f>_xlfn.XLOOKUP(Table4[[#This Row],[combi]],AREA!E:E,AREA!F:F,"",0)</f>
        <v>89</v>
      </c>
      <c r="AD438" s="20" t="str">
        <f>_xlfn.XLOOKUP(Table4[[#This Row],[combi]],AREA!E:E,AREA!G:G,"",0)</f>
        <v>Pick-up service of hypothetic package as defined in the Tech. Specs. and delivery to lots
2 and 3 contractors according to Scenario 1</v>
      </c>
      <c r="AE438" s="20" t="s">
        <v>126</v>
      </c>
      <c r="AF438" s="20" t="str">
        <f>_xlfn.XLOOKUP(Table4[[#This Row],[FromSite-UPS]],sites!D:D,sites!AB:AB,"",0)&amp;_xlfn.XLOOKUP(Table4[[#This Row],[ToLab]],labs!D:D,labs!Q:Q,"",0)</f>
        <v>EUEU</v>
      </c>
    </row>
    <row r="439" spans="2:32" ht="15.6" hidden="1" customHeight="1" x14ac:dyDescent="0.25">
      <c r="B439" s="13">
        <v>398</v>
      </c>
      <c r="C439" s="14" t="s">
        <v>53</v>
      </c>
      <c r="D439" s="13">
        <v>1</v>
      </c>
      <c r="E439" s="79">
        <v>45966</v>
      </c>
      <c r="F439" s="81">
        <v>45967</v>
      </c>
      <c r="G439" s="20">
        <f>IFERROR(WEEKNUM(Table4[[#This Row],[Confirmed Pick-up Date]]),"TBD")</f>
        <v>45</v>
      </c>
      <c r="H439" s="20" t="str">
        <f>IFERROR(TEXT(Table4[[#This Row],[Confirmed Pick-up Date]],"yy-mm"),"TBD")</f>
        <v>25-11</v>
      </c>
      <c r="I439" s="78" t="s">
        <v>1628</v>
      </c>
      <c r="J439" s="20" t="str">
        <f>IFERROR(VLOOKUP(Table4[[#This Row],[FromSite-UPS]],Table1[[#All],[Company or Name]:[FromSite3]],15,FALSE),"")</f>
        <v>Funchal WWTP</v>
      </c>
      <c r="K439" s="20" t="str">
        <f>IFERROR(VLOOKUP(Table4[[#This Row],[FromSite-UPS]],Table1[[#All],[Company or Name]:[FromSite3]],16,FALSE),"")</f>
        <v>Madeira, 10 locations</v>
      </c>
      <c r="L439" s="20">
        <f>IFERROR(VLOOKUP(Table4[[#This Row],[FromSite-UPS]],Table1[[#All],[Company or Name]:[FromSite3]],14,FALSE),"")</f>
        <v>0.70833333333333337</v>
      </c>
      <c r="M439" s="13" t="s">
        <v>1011</v>
      </c>
      <c r="N439" s="20" t="s">
        <v>134</v>
      </c>
      <c r="O439" s="20">
        <v>1010383780</v>
      </c>
      <c r="P439" s="20"/>
      <c r="Q439" s="20"/>
      <c r="R439" s="20"/>
      <c r="S439" s="20" t="s">
        <v>125</v>
      </c>
      <c r="T439" s="20"/>
      <c r="U439" s="20"/>
      <c r="V439" s="20"/>
      <c r="W439" s="20" t="str">
        <f>TEXT(Table4[[#This Row],[Confirmed Sampling Date]], "yyyy") &amp; "_" &amp; TEXT(Table4[[#This Row],[Confirmed Sampling Date]], "mm") &amp; "_" &amp; TEXT(Table4[[#This Row],[Confirmed Sampling Date]], "dd")</f>
        <v>2025_11_05</v>
      </c>
      <c r="X439" s="20" t="str">
        <f t="shared" si="6"/>
        <v>Funchal</v>
      </c>
      <c r="Y439" s="20" t="str">
        <f>VLOOKUP(Table4[[#This Row],[FromSite-UPS]],Table1[[Company or Name]:[NOTES]],2,FALSE)</f>
        <v>Portugal</v>
      </c>
      <c r="Z439" s="20">
        <f>IFERROR(WEEKNUM(Table4[[#This Row],[Confirmed Sampling Date]] - 10, 21), "TBD")</f>
        <v>43</v>
      </c>
      <c r="AA439" s="20" t="str">
        <f>_xlfn.XLOOKUP(Table4[[#This Row],[FromSite-UPS]],sites!D:D,sites!W:W,"",0)</f>
        <v>R. do Matadouro 4, Funchal, 9050-100, Portugal</v>
      </c>
      <c r="AB439" s="20" t="str">
        <f>_xlfn.XLOOKUP(Table4[[#This Row],[ToLab]],labs!D:D,labs!P:P,"no adres",0)</f>
        <v>Av. Rovisco Pais 1, Laboratorio de Analises de Agua, Lisbon, 1049-001, Portugal</v>
      </c>
      <c r="AC439" s="20">
        <f>_xlfn.XLOOKUP(Table4[[#This Row],[combi]],AREA!E:E,AREA!F:F,"",0)</f>
        <v>89</v>
      </c>
      <c r="AD439" s="20" t="str">
        <f>_xlfn.XLOOKUP(Table4[[#This Row],[combi]],AREA!E:E,AREA!G:G,"",0)</f>
        <v>Pick-up service of hypothetic package as defined in the Tech. Specs. and delivery to lots
2 and 3 contractors according to Scenario 1</v>
      </c>
      <c r="AE439" s="20" t="s">
        <v>126</v>
      </c>
      <c r="AF439" s="20" t="str">
        <f>_xlfn.XLOOKUP(Table4[[#This Row],[FromSite-UPS]],sites!D:D,sites!AB:AB,"",0)&amp;_xlfn.XLOOKUP(Table4[[#This Row],[ToLab]],labs!D:D,labs!Q:Q,"",0)</f>
        <v>EUEU</v>
      </c>
    </row>
    <row r="440" spans="2:32" ht="15.6" hidden="1" customHeight="1" x14ac:dyDescent="0.25">
      <c r="B440" s="13">
        <v>408</v>
      </c>
      <c r="C440" s="14" t="s">
        <v>53</v>
      </c>
      <c r="D440" s="13">
        <v>1</v>
      </c>
      <c r="E440" s="79">
        <v>45966</v>
      </c>
      <c r="F440" s="80">
        <v>45967</v>
      </c>
      <c r="G440" s="20">
        <f>IFERROR(WEEKNUM(Table4[[#This Row],[Confirmed Pick-up Date]]),"TBD")</f>
        <v>45</v>
      </c>
      <c r="H440" s="20" t="str">
        <f>IFERROR(TEXT(Table4[[#This Row],[Confirmed Pick-up Date]],"yy-mm"),"TBD")</f>
        <v>25-11</v>
      </c>
      <c r="I440" s="78" t="s">
        <v>1628</v>
      </c>
      <c r="J440" s="20" t="str">
        <f>IFERROR(VLOOKUP(Table4[[#This Row],[FromSite-UPS]],Table1[[#All],[Company or Name]:[FromSite3]],15,FALSE),"")</f>
        <v>Funchal WWTP</v>
      </c>
      <c r="K440" s="20" t="str">
        <f>IFERROR(VLOOKUP(Table4[[#This Row],[FromSite-UPS]],Table1[[#All],[Company or Name]:[FromSite3]],16,FALSE),"")</f>
        <v>Madeira, 10 locations</v>
      </c>
      <c r="L440" s="20">
        <f>IFERROR(VLOOKUP(Table4[[#This Row],[FromSite-UPS]],Table1[[#All],[Company or Name]:[FromSite3]],14,FALSE),"")</f>
        <v>0.70833333333333337</v>
      </c>
      <c r="M440" s="13" t="s">
        <v>1011</v>
      </c>
      <c r="N440" s="20" t="s">
        <v>134</v>
      </c>
      <c r="O440" s="20">
        <v>1010383780</v>
      </c>
      <c r="P440" s="20"/>
      <c r="Q440" s="20"/>
      <c r="R440" s="20"/>
      <c r="S440" s="20" t="s">
        <v>125</v>
      </c>
      <c r="T440" s="20"/>
      <c r="U440" s="20"/>
      <c r="V440" s="20"/>
      <c r="W440" s="20" t="str">
        <f>TEXT(Table4[[#This Row],[Confirmed Sampling Date]], "yyyy") &amp; "_" &amp; TEXT(Table4[[#This Row],[Confirmed Sampling Date]], "mm") &amp; "_" &amp; TEXT(Table4[[#This Row],[Confirmed Sampling Date]], "dd")</f>
        <v>2025_11_05</v>
      </c>
      <c r="X440" s="20" t="str">
        <f t="shared" si="6"/>
        <v>Funchal</v>
      </c>
      <c r="Y440" s="20" t="str">
        <f>VLOOKUP(Table4[[#This Row],[FromSite-UPS]],Table1[[Company or Name]:[NOTES]],2,FALSE)</f>
        <v>Portugal</v>
      </c>
      <c r="Z440" s="20">
        <f>IFERROR(WEEKNUM(Table4[[#This Row],[Confirmed Sampling Date]] - 10, 21), "TBD")</f>
        <v>43</v>
      </c>
      <c r="AA440" s="20" t="str">
        <f>_xlfn.XLOOKUP(Table4[[#This Row],[FromSite-UPS]],sites!D:D,sites!W:W,"",0)</f>
        <v>R. do Matadouro 4, Funchal, 9050-100, Portugal</v>
      </c>
      <c r="AB440" s="20" t="str">
        <f>_xlfn.XLOOKUP(Table4[[#This Row],[ToLab]],labs!D:D,labs!P:P,"no adres",0)</f>
        <v>Av. Rovisco Pais 1, Laboratorio de Analises de Agua, Lisbon, 1049-001, Portugal</v>
      </c>
      <c r="AC440" s="20">
        <f>_xlfn.XLOOKUP(Table4[[#This Row],[combi]],AREA!E:E,AREA!F:F,"",0)</f>
        <v>89</v>
      </c>
      <c r="AD440" s="20" t="str">
        <f>_xlfn.XLOOKUP(Table4[[#This Row],[combi]],AREA!E:E,AREA!G:G,"",0)</f>
        <v>Pick-up service of hypothetic package as defined in the Tech. Specs. and delivery to lots
2 and 3 contractors according to Scenario 1</v>
      </c>
      <c r="AE440" s="20" t="s">
        <v>126</v>
      </c>
      <c r="AF440" s="20" t="str">
        <f>_xlfn.XLOOKUP(Table4[[#This Row],[FromSite-UPS]],sites!D:D,sites!AB:AB,"",0)&amp;_xlfn.XLOOKUP(Table4[[#This Row],[ToLab]],labs!D:D,labs!Q:Q,"",0)</f>
        <v>EUEU</v>
      </c>
    </row>
    <row r="441" spans="2:32" ht="15.6" hidden="1" customHeight="1" x14ac:dyDescent="0.25">
      <c r="B441" s="13">
        <v>418</v>
      </c>
      <c r="C441" s="14" t="s">
        <v>53</v>
      </c>
      <c r="D441" s="13">
        <v>1</v>
      </c>
      <c r="E441" s="79">
        <v>45966</v>
      </c>
      <c r="F441" s="80">
        <v>45967</v>
      </c>
      <c r="G441" s="20">
        <f>IFERROR(WEEKNUM(Table4[[#This Row],[Confirmed Pick-up Date]]),"TBD")</f>
        <v>45</v>
      </c>
      <c r="H441" s="20" t="str">
        <f>IFERROR(TEXT(Table4[[#This Row],[Confirmed Pick-up Date]],"yy-mm"),"TBD")</f>
        <v>25-11</v>
      </c>
      <c r="I441" s="78" t="s">
        <v>1628</v>
      </c>
      <c r="J441" s="20" t="str">
        <f>IFERROR(VLOOKUP(Table4[[#This Row],[FromSite-UPS]],Table1[[#All],[Company or Name]:[FromSite3]],15,FALSE),"")</f>
        <v>Funchal WWTP</v>
      </c>
      <c r="K441" s="20" t="str">
        <f>IFERROR(VLOOKUP(Table4[[#This Row],[FromSite-UPS]],Table1[[#All],[Company or Name]:[FromSite3]],16,FALSE),"")</f>
        <v>Madeira, 10 locations</v>
      </c>
      <c r="L441" s="20">
        <f>IFERROR(VLOOKUP(Table4[[#This Row],[FromSite-UPS]],Table1[[#All],[Company or Name]:[FromSite3]],14,FALSE),"")</f>
        <v>0.70833333333333337</v>
      </c>
      <c r="M441" s="13" t="s">
        <v>1011</v>
      </c>
      <c r="N441" s="20" t="s">
        <v>134</v>
      </c>
      <c r="O441" s="20">
        <v>1010383780</v>
      </c>
      <c r="P441" s="20"/>
      <c r="Q441" s="20"/>
      <c r="R441" s="20"/>
      <c r="S441" s="20" t="s">
        <v>125</v>
      </c>
      <c r="T441" s="20"/>
      <c r="U441" s="20"/>
      <c r="V441" s="20"/>
      <c r="W441" s="20" t="str">
        <f>TEXT(Table4[[#This Row],[Confirmed Sampling Date]], "yyyy") &amp; "_" &amp; TEXT(Table4[[#This Row],[Confirmed Sampling Date]], "mm") &amp; "_" &amp; TEXT(Table4[[#This Row],[Confirmed Sampling Date]], "dd")</f>
        <v>2025_11_05</v>
      </c>
      <c r="X441" s="20" t="str">
        <f t="shared" si="6"/>
        <v>Funchal</v>
      </c>
      <c r="Y441" s="20" t="str">
        <f>VLOOKUP(Table4[[#This Row],[FromSite-UPS]],Table1[[Company or Name]:[NOTES]],2,FALSE)</f>
        <v>Portugal</v>
      </c>
      <c r="Z441" s="20">
        <f>IFERROR(WEEKNUM(Table4[[#This Row],[Confirmed Sampling Date]] - 10, 21), "TBD")</f>
        <v>43</v>
      </c>
      <c r="AA441" s="20" t="str">
        <f>_xlfn.XLOOKUP(Table4[[#This Row],[FromSite-UPS]],sites!D:D,sites!W:W,"",0)</f>
        <v>R. do Matadouro 4, Funchal, 9050-100, Portugal</v>
      </c>
      <c r="AB441" s="20" t="str">
        <f>_xlfn.XLOOKUP(Table4[[#This Row],[ToLab]],labs!D:D,labs!P:P,"no adres",0)</f>
        <v>Av. Rovisco Pais 1, Laboratorio de Analises de Agua, Lisbon, 1049-001, Portugal</v>
      </c>
      <c r="AC441" s="20">
        <f>_xlfn.XLOOKUP(Table4[[#This Row],[combi]],AREA!E:E,AREA!F:F,"",0)</f>
        <v>89</v>
      </c>
      <c r="AD441" s="20" t="str">
        <f>_xlfn.XLOOKUP(Table4[[#This Row],[combi]],AREA!E:E,AREA!G:G,"",0)</f>
        <v>Pick-up service of hypothetic package as defined in the Tech. Specs. and delivery to lots
2 and 3 contractors according to Scenario 1</v>
      </c>
      <c r="AE441" s="20" t="s">
        <v>126</v>
      </c>
      <c r="AF441" s="20" t="str">
        <f>_xlfn.XLOOKUP(Table4[[#This Row],[FromSite-UPS]],sites!D:D,sites!AB:AB,"",0)&amp;_xlfn.XLOOKUP(Table4[[#This Row],[ToLab]],labs!D:D,labs!Q:Q,"",0)</f>
        <v>EUEU</v>
      </c>
    </row>
    <row r="442" spans="2:32" ht="15.6" hidden="1" customHeight="1" x14ac:dyDescent="0.25">
      <c r="B442" s="13">
        <v>428</v>
      </c>
      <c r="C442" s="14" t="s">
        <v>53</v>
      </c>
      <c r="D442" s="13">
        <v>1</v>
      </c>
      <c r="E442" s="79">
        <v>45966</v>
      </c>
      <c r="F442" s="80">
        <v>45967</v>
      </c>
      <c r="G442" s="20">
        <f>IFERROR(WEEKNUM(Table4[[#This Row],[Confirmed Pick-up Date]]),"TBD")</f>
        <v>45</v>
      </c>
      <c r="H442" s="20" t="str">
        <f>IFERROR(TEXT(Table4[[#This Row],[Confirmed Pick-up Date]],"yy-mm"),"TBD")</f>
        <v>25-11</v>
      </c>
      <c r="I442" s="78" t="s">
        <v>1628</v>
      </c>
      <c r="J442" s="20" t="str">
        <f>IFERROR(VLOOKUP(Table4[[#This Row],[FromSite-UPS]],Table1[[#All],[Company or Name]:[FromSite3]],15,FALSE),"")</f>
        <v>Funchal WWTP</v>
      </c>
      <c r="K442" s="20" t="str">
        <f>IFERROR(VLOOKUP(Table4[[#This Row],[FromSite-UPS]],Table1[[#All],[Company or Name]:[FromSite3]],16,FALSE),"")</f>
        <v>Madeira, 10 locations</v>
      </c>
      <c r="L442" s="20">
        <f>IFERROR(VLOOKUP(Table4[[#This Row],[FromSite-UPS]],Table1[[#All],[Company or Name]:[FromSite3]],14,FALSE),"")</f>
        <v>0.70833333333333337</v>
      </c>
      <c r="M442" s="13" t="s">
        <v>1011</v>
      </c>
      <c r="N442" s="20" t="s">
        <v>134</v>
      </c>
      <c r="O442" s="20">
        <v>1010383780</v>
      </c>
      <c r="P442" s="20"/>
      <c r="Q442" s="20"/>
      <c r="R442" s="20"/>
      <c r="S442" s="20" t="s">
        <v>125</v>
      </c>
      <c r="T442" s="20"/>
      <c r="U442" s="20"/>
      <c r="V442" s="20"/>
      <c r="W442" s="20" t="str">
        <f>TEXT(Table4[[#This Row],[Confirmed Sampling Date]], "yyyy") &amp; "_" &amp; TEXT(Table4[[#This Row],[Confirmed Sampling Date]], "mm") &amp; "_" &amp; TEXT(Table4[[#This Row],[Confirmed Sampling Date]], "dd")</f>
        <v>2025_11_05</v>
      </c>
      <c r="X442" s="20" t="str">
        <f t="shared" si="6"/>
        <v>Funchal</v>
      </c>
      <c r="Y442" s="20" t="str">
        <f>VLOOKUP(Table4[[#This Row],[FromSite-UPS]],Table1[[Company or Name]:[NOTES]],2,FALSE)</f>
        <v>Portugal</v>
      </c>
      <c r="Z442" s="20">
        <f>IFERROR(WEEKNUM(Table4[[#This Row],[Confirmed Sampling Date]] - 10, 21), "TBD")</f>
        <v>43</v>
      </c>
      <c r="AA442" s="20" t="str">
        <f>_xlfn.XLOOKUP(Table4[[#This Row],[FromSite-UPS]],sites!D:D,sites!W:W,"",0)</f>
        <v>R. do Matadouro 4, Funchal, 9050-100, Portugal</v>
      </c>
      <c r="AB442" s="20" t="str">
        <f>_xlfn.XLOOKUP(Table4[[#This Row],[ToLab]],labs!D:D,labs!P:P,"no adres",0)</f>
        <v>Av. Rovisco Pais 1, Laboratorio de Analises de Agua, Lisbon, 1049-001, Portugal</v>
      </c>
      <c r="AC442" s="20">
        <f>_xlfn.XLOOKUP(Table4[[#This Row],[combi]],AREA!E:E,AREA!F:F,"",0)</f>
        <v>89</v>
      </c>
      <c r="AD442" s="20" t="str">
        <f>_xlfn.XLOOKUP(Table4[[#This Row],[combi]],AREA!E:E,AREA!G:G,"",0)</f>
        <v>Pick-up service of hypothetic package as defined in the Tech. Specs. and delivery to lots
2 and 3 contractors according to Scenario 1</v>
      </c>
      <c r="AE442" s="20" t="s">
        <v>126</v>
      </c>
      <c r="AF442" s="20" t="str">
        <f>_xlfn.XLOOKUP(Table4[[#This Row],[FromSite-UPS]],sites!D:D,sites!AB:AB,"",0)&amp;_xlfn.XLOOKUP(Table4[[#This Row],[ToLab]],labs!D:D,labs!Q:Q,"",0)</f>
        <v>EUEU</v>
      </c>
    </row>
    <row r="443" spans="2:32" ht="15.6" hidden="1" customHeight="1" x14ac:dyDescent="0.25">
      <c r="B443" s="13">
        <v>438</v>
      </c>
      <c r="C443" s="14" t="s">
        <v>53</v>
      </c>
      <c r="D443" s="13">
        <v>1</v>
      </c>
      <c r="E443" s="79">
        <v>45966</v>
      </c>
      <c r="F443" s="80">
        <v>45967</v>
      </c>
      <c r="G443" s="20">
        <f>IFERROR(WEEKNUM(Table4[[#This Row],[Confirmed Pick-up Date]]),"TBD")</f>
        <v>45</v>
      </c>
      <c r="H443" s="20" t="str">
        <f>IFERROR(TEXT(Table4[[#This Row],[Confirmed Pick-up Date]],"yy-mm"),"TBD")</f>
        <v>25-11</v>
      </c>
      <c r="I443" s="78" t="s">
        <v>1628</v>
      </c>
      <c r="J443" s="20" t="str">
        <f>IFERROR(VLOOKUP(Table4[[#This Row],[FromSite-UPS]],Table1[[#All],[Company or Name]:[FromSite3]],15,FALSE),"")</f>
        <v>Funchal WWTP</v>
      </c>
      <c r="K443" s="20" t="str">
        <f>IFERROR(VLOOKUP(Table4[[#This Row],[FromSite-UPS]],Table1[[#All],[Company or Name]:[FromSite3]],16,FALSE),"")</f>
        <v>Madeira, 10 locations</v>
      </c>
      <c r="L443" s="20">
        <f>IFERROR(VLOOKUP(Table4[[#This Row],[FromSite-UPS]],Table1[[#All],[Company or Name]:[FromSite3]],14,FALSE),"")</f>
        <v>0.70833333333333337</v>
      </c>
      <c r="M443" s="13" t="s">
        <v>1011</v>
      </c>
      <c r="N443" s="20" t="s">
        <v>134</v>
      </c>
      <c r="O443" s="20">
        <v>1010383780</v>
      </c>
      <c r="P443" s="20"/>
      <c r="Q443" s="20"/>
      <c r="R443" s="20"/>
      <c r="S443" s="20" t="s">
        <v>125</v>
      </c>
      <c r="T443" s="20"/>
      <c r="U443" s="20"/>
      <c r="V443" s="20"/>
      <c r="W443" s="20" t="str">
        <f>TEXT(Table4[[#This Row],[Confirmed Sampling Date]], "yyyy") &amp; "_" &amp; TEXT(Table4[[#This Row],[Confirmed Sampling Date]], "mm") &amp; "_" &amp; TEXT(Table4[[#This Row],[Confirmed Sampling Date]], "dd")</f>
        <v>2025_11_05</v>
      </c>
      <c r="X443" s="20" t="str">
        <f t="shared" si="6"/>
        <v>Funchal</v>
      </c>
      <c r="Y443" s="20" t="str">
        <f>VLOOKUP(Table4[[#This Row],[FromSite-UPS]],Table1[[Company or Name]:[NOTES]],2,FALSE)</f>
        <v>Portugal</v>
      </c>
      <c r="Z443" s="20">
        <f>IFERROR(WEEKNUM(Table4[[#This Row],[Confirmed Sampling Date]] - 10, 21), "TBD")</f>
        <v>43</v>
      </c>
      <c r="AA443" s="20" t="str">
        <f>_xlfn.XLOOKUP(Table4[[#This Row],[FromSite-UPS]],sites!D:D,sites!W:W,"",0)</f>
        <v>R. do Matadouro 4, Funchal, 9050-100, Portugal</v>
      </c>
      <c r="AB443" s="20" t="str">
        <f>_xlfn.XLOOKUP(Table4[[#This Row],[ToLab]],labs!D:D,labs!P:P,"no adres",0)</f>
        <v>Av. Rovisco Pais 1, Laboratorio de Analises de Agua, Lisbon, 1049-001, Portugal</v>
      </c>
      <c r="AC443" s="20">
        <f>_xlfn.XLOOKUP(Table4[[#This Row],[combi]],AREA!E:E,AREA!F:F,"",0)</f>
        <v>89</v>
      </c>
      <c r="AD443" s="20" t="str">
        <f>_xlfn.XLOOKUP(Table4[[#This Row],[combi]],AREA!E:E,AREA!G:G,"",0)</f>
        <v>Pick-up service of hypothetic package as defined in the Tech. Specs. and delivery to lots
2 and 3 contractors according to Scenario 1</v>
      </c>
      <c r="AE443" s="20" t="s">
        <v>126</v>
      </c>
      <c r="AF443" s="20" t="str">
        <f>_xlfn.XLOOKUP(Table4[[#This Row],[FromSite-UPS]],sites!D:D,sites!AB:AB,"",0)&amp;_xlfn.XLOOKUP(Table4[[#This Row],[ToLab]],labs!D:D,labs!Q:Q,"",0)</f>
        <v>EUEU</v>
      </c>
    </row>
    <row r="444" spans="2:32" ht="15.6" hidden="1" customHeight="1" x14ac:dyDescent="0.25">
      <c r="B444" s="13">
        <v>448</v>
      </c>
      <c r="C444" s="14" t="s">
        <v>53</v>
      </c>
      <c r="D444" s="13">
        <v>1</v>
      </c>
      <c r="E444" s="79">
        <v>45966</v>
      </c>
      <c r="F444" s="80">
        <v>45967</v>
      </c>
      <c r="G444" s="20">
        <f>IFERROR(WEEKNUM(Table4[[#This Row],[Confirmed Pick-up Date]]),"TBD")</f>
        <v>45</v>
      </c>
      <c r="H444" s="20" t="str">
        <f>IFERROR(TEXT(Table4[[#This Row],[Confirmed Pick-up Date]],"yy-mm"),"TBD")</f>
        <v>25-11</v>
      </c>
      <c r="I444" s="78" t="s">
        <v>1628</v>
      </c>
      <c r="J444" s="20" t="str">
        <f>IFERROR(VLOOKUP(Table4[[#This Row],[FromSite-UPS]],Table1[[#All],[Company or Name]:[FromSite3]],15,FALSE),"")</f>
        <v>Funchal WWTP</v>
      </c>
      <c r="K444" s="20" t="str">
        <f>IFERROR(VLOOKUP(Table4[[#This Row],[FromSite-UPS]],Table1[[#All],[Company or Name]:[FromSite3]],16,FALSE),"")</f>
        <v>Madeira, 10 locations</v>
      </c>
      <c r="L444" s="20">
        <f>IFERROR(VLOOKUP(Table4[[#This Row],[FromSite-UPS]],Table1[[#All],[Company or Name]:[FromSite3]],14,FALSE),"")</f>
        <v>0.70833333333333337</v>
      </c>
      <c r="M444" s="13" t="s">
        <v>1011</v>
      </c>
      <c r="N444" s="20" t="s">
        <v>134</v>
      </c>
      <c r="O444" s="20">
        <v>1010383780</v>
      </c>
      <c r="P444" s="20"/>
      <c r="Q444" s="20"/>
      <c r="R444" s="20"/>
      <c r="S444" s="20" t="s">
        <v>125</v>
      </c>
      <c r="T444" s="20"/>
      <c r="U444" s="20"/>
      <c r="V444" s="20"/>
      <c r="W444" s="20" t="str">
        <f>TEXT(Table4[[#This Row],[Confirmed Sampling Date]], "yyyy") &amp; "_" &amp; TEXT(Table4[[#This Row],[Confirmed Sampling Date]], "mm") &amp; "_" &amp; TEXT(Table4[[#This Row],[Confirmed Sampling Date]], "dd")</f>
        <v>2025_11_05</v>
      </c>
      <c r="X444" s="20" t="str">
        <f t="shared" si="6"/>
        <v>Funchal</v>
      </c>
      <c r="Y444" s="20" t="str">
        <f>VLOOKUP(Table4[[#This Row],[FromSite-UPS]],Table1[[Company or Name]:[NOTES]],2,FALSE)</f>
        <v>Portugal</v>
      </c>
      <c r="Z444" s="20">
        <f>IFERROR(WEEKNUM(Table4[[#This Row],[Confirmed Sampling Date]] - 10, 21), "TBD")</f>
        <v>43</v>
      </c>
      <c r="AA444" s="20" t="str">
        <f>_xlfn.XLOOKUP(Table4[[#This Row],[FromSite-UPS]],sites!D:D,sites!W:W,"",0)</f>
        <v>R. do Matadouro 4, Funchal, 9050-100, Portugal</v>
      </c>
      <c r="AB444" s="20" t="str">
        <f>_xlfn.XLOOKUP(Table4[[#This Row],[ToLab]],labs!D:D,labs!P:P,"no adres",0)</f>
        <v>Av. Rovisco Pais 1, Laboratorio de Analises de Agua, Lisbon, 1049-001, Portugal</v>
      </c>
      <c r="AC444" s="20">
        <f>_xlfn.XLOOKUP(Table4[[#This Row],[combi]],AREA!E:E,AREA!F:F,"",0)</f>
        <v>89</v>
      </c>
      <c r="AD444" s="20" t="str">
        <f>_xlfn.XLOOKUP(Table4[[#This Row],[combi]],AREA!E:E,AREA!G:G,"",0)</f>
        <v>Pick-up service of hypothetic package as defined in the Tech. Specs. and delivery to lots
2 and 3 contractors according to Scenario 1</v>
      </c>
      <c r="AE444" s="20" t="s">
        <v>126</v>
      </c>
      <c r="AF444" s="20" t="str">
        <f>_xlfn.XLOOKUP(Table4[[#This Row],[FromSite-UPS]],sites!D:D,sites!AB:AB,"",0)&amp;_xlfn.XLOOKUP(Table4[[#This Row],[ToLab]],labs!D:D,labs!Q:Q,"",0)</f>
        <v>EUEU</v>
      </c>
    </row>
    <row r="445" spans="2:32" ht="15.6" hidden="1" customHeight="1" x14ac:dyDescent="0.25">
      <c r="B445" s="13">
        <v>458</v>
      </c>
      <c r="C445" s="14" t="s">
        <v>53</v>
      </c>
      <c r="D445" s="13">
        <v>1</v>
      </c>
      <c r="E445" s="79">
        <v>45966</v>
      </c>
      <c r="F445" s="80">
        <v>45967</v>
      </c>
      <c r="G445" s="20">
        <f>IFERROR(WEEKNUM(Table4[[#This Row],[Confirmed Pick-up Date]]),"TBD")</f>
        <v>45</v>
      </c>
      <c r="H445" s="20" t="str">
        <f>IFERROR(TEXT(Table4[[#This Row],[Confirmed Pick-up Date]],"yy-mm"),"TBD")</f>
        <v>25-11</v>
      </c>
      <c r="I445" s="78" t="s">
        <v>1628</v>
      </c>
      <c r="J445" s="20" t="str">
        <f>IFERROR(VLOOKUP(Table4[[#This Row],[FromSite-UPS]],Table1[[#All],[Company or Name]:[FromSite3]],15,FALSE),"")</f>
        <v>Funchal WWTP</v>
      </c>
      <c r="K445" s="20" t="str">
        <f>IFERROR(VLOOKUP(Table4[[#This Row],[FromSite-UPS]],Table1[[#All],[Company or Name]:[FromSite3]],16,FALSE),"")</f>
        <v>Madeira, 10 locations</v>
      </c>
      <c r="L445" s="20">
        <f>IFERROR(VLOOKUP(Table4[[#This Row],[FromSite-UPS]],Table1[[#All],[Company or Name]:[FromSite3]],14,FALSE),"")</f>
        <v>0.70833333333333337</v>
      </c>
      <c r="M445" s="13" t="s">
        <v>1011</v>
      </c>
      <c r="N445" s="20" t="s">
        <v>134</v>
      </c>
      <c r="O445" s="20">
        <v>1010383780</v>
      </c>
      <c r="P445" s="20"/>
      <c r="Q445" s="65"/>
      <c r="R445" s="20"/>
      <c r="S445" s="20" t="s">
        <v>125</v>
      </c>
      <c r="T445" s="20"/>
      <c r="U445" s="20"/>
      <c r="V445" s="20"/>
      <c r="W445" s="20" t="str">
        <f>TEXT(Table4[[#This Row],[Confirmed Sampling Date]], "yyyy") &amp; "_" &amp; TEXT(Table4[[#This Row],[Confirmed Sampling Date]], "mm") &amp; "_" &amp; TEXT(Table4[[#This Row],[Confirmed Sampling Date]], "dd")</f>
        <v>2025_11_05</v>
      </c>
      <c r="X445" s="20" t="str">
        <f t="shared" si="6"/>
        <v>Funchal</v>
      </c>
      <c r="Y445" s="20" t="str">
        <f>VLOOKUP(Table4[[#This Row],[FromSite-UPS]],Table1[[Company or Name]:[NOTES]],2,FALSE)</f>
        <v>Portugal</v>
      </c>
      <c r="Z445" s="20">
        <f>IFERROR(WEEKNUM(Table4[[#This Row],[Confirmed Sampling Date]] - 10, 21), "TBD")</f>
        <v>43</v>
      </c>
      <c r="AA445" s="20" t="str">
        <f>_xlfn.XLOOKUP(Table4[[#This Row],[FromSite-UPS]],sites!D:D,sites!W:W,"",0)</f>
        <v>R. do Matadouro 4, Funchal, 9050-100, Portugal</v>
      </c>
      <c r="AB445" s="20" t="str">
        <f>_xlfn.XLOOKUP(Table4[[#This Row],[ToLab]],labs!D:D,labs!P:P,"no adres",0)</f>
        <v>Av. Rovisco Pais 1, Laboratorio de Analises de Agua, Lisbon, 1049-001, Portugal</v>
      </c>
      <c r="AC445" s="20">
        <f>_xlfn.XLOOKUP(Table4[[#This Row],[combi]],AREA!E:E,AREA!F:F,"",0)</f>
        <v>89</v>
      </c>
      <c r="AD445" s="20" t="str">
        <f>_xlfn.XLOOKUP(Table4[[#This Row],[combi]],AREA!E:E,AREA!G:G,"",0)</f>
        <v>Pick-up service of hypothetic package as defined in the Tech. Specs. and delivery to lots
2 and 3 contractors according to Scenario 1</v>
      </c>
      <c r="AE445" s="20" t="s">
        <v>126</v>
      </c>
      <c r="AF445" s="20" t="str">
        <f>_xlfn.XLOOKUP(Table4[[#This Row],[FromSite-UPS]],sites!D:D,sites!AB:AB,"",0)&amp;_xlfn.XLOOKUP(Table4[[#This Row],[ToLab]],labs!D:D,labs!Q:Q,"",0)</f>
        <v>EUEU</v>
      </c>
    </row>
    <row r="446" spans="2:32" ht="15.6" hidden="1" customHeight="1" x14ac:dyDescent="0.25">
      <c r="B446" s="13">
        <v>468</v>
      </c>
      <c r="C446" s="14" t="s">
        <v>53</v>
      </c>
      <c r="D446" s="13">
        <v>1</v>
      </c>
      <c r="E446" s="79">
        <v>45966</v>
      </c>
      <c r="F446" s="80">
        <v>45967</v>
      </c>
      <c r="G446" s="20">
        <f>IFERROR(WEEKNUM(Table4[[#This Row],[Confirmed Pick-up Date]]),"TBD")</f>
        <v>45</v>
      </c>
      <c r="H446" s="20" t="str">
        <f>IFERROR(TEXT(Table4[[#This Row],[Confirmed Pick-up Date]],"yy-mm"),"TBD")</f>
        <v>25-11</v>
      </c>
      <c r="I446" s="78" t="s">
        <v>1628</v>
      </c>
      <c r="J446" s="20" t="str">
        <f>IFERROR(VLOOKUP(Table4[[#This Row],[FromSite-UPS]],Table1[[#All],[Company or Name]:[FromSite3]],15,FALSE),"")</f>
        <v>Funchal WWTP</v>
      </c>
      <c r="K446" s="20" t="str">
        <f>IFERROR(VLOOKUP(Table4[[#This Row],[FromSite-UPS]],Table1[[#All],[Company or Name]:[FromSite3]],16,FALSE),"")</f>
        <v>Madeira, 10 locations</v>
      </c>
      <c r="L446" s="20">
        <f>IFERROR(VLOOKUP(Table4[[#This Row],[FromSite-UPS]],Table1[[#All],[Company or Name]:[FromSite3]],14,FALSE),"")</f>
        <v>0.70833333333333337</v>
      </c>
      <c r="M446" s="13" t="s">
        <v>1011</v>
      </c>
      <c r="N446" s="20" t="s">
        <v>134</v>
      </c>
      <c r="O446" s="20">
        <v>1010383780</v>
      </c>
      <c r="P446" s="20"/>
      <c r="Q446" s="20"/>
      <c r="R446" s="20"/>
      <c r="S446" s="20" t="s">
        <v>125</v>
      </c>
      <c r="T446" s="20"/>
      <c r="U446" s="20"/>
      <c r="V446" s="20"/>
      <c r="W446" s="20" t="str">
        <f>TEXT(Table4[[#This Row],[Confirmed Sampling Date]], "yyyy") &amp; "_" &amp; TEXT(Table4[[#This Row],[Confirmed Sampling Date]], "mm") &amp; "_" &amp; TEXT(Table4[[#This Row],[Confirmed Sampling Date]], "dd")</f>
        <v>2025_11_05</v>
      </c>
      <c r="X446" s="20" t="str">
        <f t="shared" si="6"/>
        <v>Funchal</v>
      </c>
      <c r="Y446" s="20" t="str">
        <f>VLOOKUP(Table4[[#This Row],[FromSite-UPS]],Table1[[Company or Name]:[NOTES]],2,FALSE)</f>
        <v>Portugal</v>
      </c>
      <c r="Z446" s="20">
        <f>IFERROR(WEEKNUM(Table4[[#This Row],[Confirmed Sampling Date]] - 10, 21), "TBD")</f>
        <v>43</v>
      </c>
      <c r="AA446" s="20" t="str">
        <f>_xlfn.XLOOKUP(Table4[[#This Row],[FromSite-UPS]],sites!D:D,sites!W:W,"",0)</f>
        <v>R. do Matadouro 4, Funchal, 9050-100, Portugal</v>
      </c>
      <c r="AB446" s="20" t="str">
        <f>_xlfn.XLOOKUP(Table4[[#This Row],[ToLab]],labs!D:D,labs!P:P,"no adres",0)</f>
        <v>Av. Rovisco Pais 1, Laboratorio de Analises de Agua, Lisbon, 1049-001, Portugal</v>
      </c>
      <c r="AC446" s="20">
        <f>_xlfn.XLOOKUP(Table4[[#This Row],[combi]],AREA!E:E,AREA!F:F,"",0)</f>
        <v>89</v>
      </c>
      <c r="AD446" s="20" t="str">
        <f>_xlfn.XLOOKUP(Table4[[#This Row],[combi]],AREA!E:E,AREA!G:G,"",0)</f>
        <v>Pick-up service of hypothetic package as defined in the Tech. Specs. and delivery to lots
2 and 3 contractors according to Scenario 1</v>
      </c>
      <c r="AE446" s="20" t="s">
        <v>126</v>
      </c>
      <c r="AF446" s="20" t="str">
        <f>_xlfn.XLOOKUP(Table4[[#This Row],[FromSite-UPS]],sites!D:D,sites!AB:AB,"",0)&amp;_xlfn.XLOOKUP(Table4[[#This Row],[ToLab]],labs!D:D,labs!Q:Q,"",0)</f>
        <v>EUEU</v>
      </c>
    </row>
    <row r="447" spans="2:32" ht="15.6" hidden="1" customHeight="1" x14ac:dyDescent="0.25">
      <c r="B447" s="13">
        <v>478</v>
      </c>
      <c r="C447" s="14" t="s">
        <v>53</v>
      </c>
      <c r="D447" s="13">
        <v>1</v>
      </c>
      <c r="E447" s="79">
        <v>45966</v>
      </c>
      <c r="F447" s="80">
        <v>45967</v>
      </c>
      <c r="G447" s="20">
        <f>IFERROR(WEEKNUM(Table4[[#This Row],[Confirmed Pick-up Date]]),"TBD")</f>
        <v>45</v>
      </c>
      <c r="H447" s="20" t="str">
        <f>IFERROR(TEXT(Table4[[#This Row],[Confirmed Pick-up Date]],"yy-mm"),"TBD")</f>
        <v>25-11</v>
      </c>
      <c r="I447" s="78" t="s">
        <v>1628</v>
      </c>
      <c r="J447" s="20" t="str">
        <f>IFERROR(VLOOKUP(Table4[[#This Row],[FromSite-UPS]],Table1[[#All],[Company or Name]:[FromSite3]],15,FALSE),"")</f>
        <v>Funchal WWTP</v>
      </c>
      <c r="K447" s="20" t="str">
        <f>IFERROR(VLOOKUP(Table4[[#This Row],[FromSite-UPS]],Table1[[#All],[Company or Name]:[FromSite3]],16,FALSE),"")</f>
        <v>Madeira, 10 locations</v>
      </c>
      <c r="L447" s="20">
        <f>IFERROR(VLOOKUP(Table4[[#This Row],[FromSite-UPS]],Table1[[#All],[Company or Name]:[FromSite3]],14,FALSE),"")</f>
        <v>0.70833333333333337</v>
      </c>
      <c r="M447" s="13" t="s">
        <v>1011</v>
      </c>
      <c r="N447" s="20" t="s">
        <v>134</v>
      </c>
      <c r="O447" s="20">
        <v>1010383780</v>
      </c>
      <c r="P447" s="20"/>
      <c r="Q447" s="20"/>
      <c r="R447" s="20"/>
      <c r="S447" s="20" t="s">
        <v>125</v>
      </c>
      <c r="T447" s="20"/>
      <c r="U447" s="20"/>
      <c r="V447" s="20"/>
      <c r="W447" s="20" t="str">
        <f>TEXT(Table4[[#This Row],[Confirmed Sampling Date]], "yyyy") &amp; "_" &amp; TEXT(Table4[[#This Row],[Confirmed Sampling Date]], "mm") &amp; "_" &amp; TEXT(Table4[[#This Row],[Confirmed Sampling Date]], "dd")</f>
        <v>2025_11_05</v>
      </c>
      <c r="X447" s="20" t="str">
        <f t="shared" si="6"/>
        <v>Funchal</v>
      </c>
      <c r="Y447" s="20" t="str">
        <f>VLOOKUP(Table4[[#This Row],[FromSite-UPS]],Table1[[Company or Name]:[NOTES]],2,FALSE)</f>
        <v>Portugal</v>
      </c>
      <c r="Z447" s="20">
        <f>IFERROR(WEEKNUM(Table4[[#This Row],[Confirmed Sampling Date]] - 10, 21), "TBD")</f>
        <v>43</v>
      </c>
      <c r="AA447" s="20" t="str">
        <f>_xlfn.XLOOKUP(Table4[[#This Row],[FromSite-UPS]],sites!D:D,sites!W:W,"",0)</f>
        <v>R. do Matadouro 4, Funchal, 9050-100, Portugal</v>
      </c>
      <c r="AB447" s="20" t="str">
        <f>_xlfn.XLOOKUP(Table4[[#This Row],[ToLab]],labs!D:D,labs!P:P,"no adres",0)</f>
        <v>Av. Rovisco Pais 1, Laboratorio de Analises de Agua, Lisbon, 1049-001, Portugal</v>
      </c>
      <c r="AC447" s="20">
        <f>_xlfn.XLOOKUP(Table4[[#This Row],[combi]],AREA!E:E,AREA!F:F,"",0)</f>
        <v>89</v>
      </c>
      <c r="AD447" s="20" t="str">
        <f>_xlfn.XLOOKUP(Table4[[#This Row],[combi]],AREA!E:E,AREA!G:G,"",0)</f>
        <v>Pick-up service of hypothetic package as defined in the Tech. Specs. and delivery to lots
2 and 3 contractors according to Scenario 1</v>
      </c>
      <c r="AE447" s="20" t="s">
        <v>126</v>
      </c>
      <c r="AF447" s="20" t="str">
        <f>_xlfn.XLOOKUP(Table4[[#This Row],[FromSite-UPS]],sites!D:D,sites!AB:AB,"",0)&amp;_xlfn.XLOOKUP(Table4[[#This Row],[ToLab]],labs!D:D,labs!Q:Q,"",0)</f>
        <v>EUEU</v>
      </c>
    </row>
    <row r="448" spans="2:32" ht="15.6" hidden="1" customHeight="1" x14ac:dyDescent="0.25">
      <c r="B448" s="13">
        <v>488</v>
      </c>
      <c r="C448" s="14" t="s">
        <v>53</v>
      </c>
      <c r="D448" s="13">
        <v>1</v>
      </c>
      <c r="E448" s="79">
        <v>45966</v>
      </c>
      <c r="F448" s="80">
        <v>45967</v>
      </c>
      <c r="G448" s="20">
        <f>IFERROR(WEEKNUM(Table4[[#This Row],[Confirmed Pick-up Date]]),"TBD")</f>
        <v>45</v>
      </c>
      <c r="H448" s="20" t="str">
        <f>IFERROR(TEXT(Table4[[#This Row],[Confirmed Pick-up Date]],"yy-mm"),"TBD")</f>
        <v>25-11</v>
      </c>
      <c r="I448" s="78" t="s">
        <v>1628</v>
      </c>
      <c r="J448" s="20" t="str">
        <f>IFERROR(VLOOKUP(Table4[[#This Row],[FromSite-UPS]],Table1[[#All],[Company or Name]:[FromSite3]],15,FALSE),"")</f>
        <v>Funchal WWTP</v>
      </c>
      <c r="K448" s="20" t="str">
        <f>IFERROR(VLOOKUP(Table4[[#This Row],[FromSite-UPS]],Table1[[#All],[Company or Name]:[FromSite3]],16,FALSE),"")</f>
        <v>Madeira, 10 locations</v>
      </c>
      <c r="L448" s="20">
        <f>IFERROR(VLOOKUP(Table4[[#This Row],[FromSite-UPS]],Table1[[#All],[Company or Name]:[FromSite3]],14,FALSE),"")</f>
        <v>0.70833333333333337</v>
      </c>
      <c r="M448" s="13" t="s">
        <v>1011</v>
      </c>
      <c r="N448" s="20" t="s">
        <v>134</v>
      </c>
      <c r="O448" s="20">
        <v>1010383780</v>
      </c>
      <c r="P448" s="20"/>
      <c r="Q448" s="20"/>
      <c r="R448" s="20"/>
      <c r="S448" s="20" t="s">
        <v>125</v>
      </c>
      <c r="T448" s="20"/>
      <c r="U448" s="20"/>
      <c r="V448" s="20"/>
      <c r="W448" s="20" t="str">
        <f>TEXT(Table4[[#This Row],[Confirmed Sampling Date]], "yyyy") &amp; "_" &amp; TEXT(Table4[[#This Row],[Confirmed Sampling Date]], "mm") &amp; "_" &amp; TEXT(Table4[[#This Row],[Confirmed Sampling Date]], "dd")</f>
        <v>2025_11_05</v>
      </c>
      <c r="X448" s="20" t="str">
        <f t="shared" si="6"/>
        <v>Funchal</v>
      </c>
      <c r="Y448" s="20" t="str">
        <f>VLOOKUP(Table4[[#This Row],[FromSite-UPS]],Table1[[Company or Name]:[NOTES]],2,FALSE)</f>
        <v>Portugal</v>
      </c>
      <c r="Z448" s="20">
        <f>IFERROR(WEEKNUM(Table4[[#This Row],[Confirmed Sampling Date]] - 10, 21), "TBD")</f>
        <v>43</v>
      </c>
      <c r="AA448" s="20" t="str">
        <f>_xlfn.XLOOKUP(Table4[[#This Row],[FromSite-UPS]],sites!D:D,sites!W:W,"",0)</f>
        <v>R. do Matadouro 4, Funchal, 9050-100, Portugal</v>
      </c>
      <c r="AB448" s="20" t="str">
        <f>_xlfn.XLOOKUP(Table4[[#This Row],[ToLab]],labs!D:D,labs!P:P,"no adres",0)</f>
        <v>Av. Rovisco Pais 1, Laboratorio de Analises de Agua, Lisbon, 1049-001, Portugal</v>
      </c>
      <c r="AC448" s="20">
        <f>_xlfn.XLOOKUP(Table4[[#This Row],[combi]],AREA!E:E,AREA!F:F,"",0)</f>
        <v>89</v>
      </c>
      <c r="AD448" s="20" t="str">
        <f>_xlfn.XLOOKUP(Table4[[#This Row],[combi]],AREA!E:E,AREA!G:G,"",0)</f>
        <v>Pick-up service of hypothetic package as defined in the Tech. Specs. and delivery to lots
2 and 3 contractors according to Scenario 1</v>
      </c>
      <c r="AE448" s="20" t="s">
        <v>126</v>
      </c>
      <c r="AF448" s="20" t="str">
        <f>_xlfn.XLOOKUP(Table4[[#This Row],[FromSite-UPS]],sites!D:D,sites!AB:AB,"",0)&amp;_xlfn.XLOOKUP(Table4[[#This Row],[ToLab]],labs!D:D,labs!Q:Q,"",0)</f>
        <v>EUEU</v>
      </c>
    </row>
    <row r="449" spans="2:32" ht="15.6" hidden="1" customHeight="1" x14ac:dyDescent="0.25">
      <c r="B449" s="13">
        <v>498</v>
      </c>
      <c r="C449" s="14" t="s">
        <v>53</v>
      </c>
      <c r="D449" s="13">
        <v>1</v>
      </c>
      <c r="E449" s="79">
        <v>45966</v>
      </c>
      <c r="F449" s="80">
        <v>45967</v>
      </c>
      <c r="G449" s="20">
        <f>IFERROR(WEEKNUM(Table4[[#This Row],[Confirmed Pick-up Date]]),"TBD")</f>
        <v>45</v>
      </c>
      <c r="H449" s="20" t="str">
        <f>IFERROR(TEXT(Table4[[#This Row],[Confirmed Pick-up Date]],"yy-mm"),"TBD")</f>
        <v>25-11</v>
      </c>
      <c r="I449" s="78" t="s">
        <v>1628</v>
      </c>
      <c r="J449" s="20" t="str">
        <f>IFERROR(VLOOKUP(Table4[[#This Row],[FromSite-UPS]],Table1[[#All],[Company or Name]:[FromSite3]],15,FALSE),"")</f>
        <v>Funchal WWTP</v>
      </c>
      <c r="K449" s="20" t="str">
        <f>IFERROR(VLOOKUP(Table4[[#This Row],[FromSite-UPS]],Table1[[#All],[Company or Name]:[FromSite3]],16,FALSE),"")</f>
        <v>Madeira, 10 locations</v>
      </c>
      <c r="L449" s="20">
        <f>IFERROR(VLOOKUP(Table4[[#This Row],[FromSite-UPS]],Table1[[#All],[Company or Name]:[FromSite3]],14,FALSE),"")</f>
        <v>0.70833333333333337</v>
      </c>
      <c r="M449" s="13" t="s">
        <v>1011</v>
      </c>
      <c r="N449" s="20" t="s">
        <v>134</v>
      </c>
      <c r="O449" s="20">
        <v>1010383780</v>
      </c>
      <c r="P449" s="20"/>
      <c r="Q449" s="65"/>
      <c r="R449" s="20"/>
      <c r="S449" s="20" t="s">
        <v>125</v>
      </c>
      <c r="T449" s="20"/>
      <c r="U449" s="20"/>
      <c r="V449" s="20"/>
      <c r="W449" s="20" t="str">
        <f>TEXT(Table4[[#This Row],[Confirmed Sampling Date]], "yyyy") &amp; "_" &amp; TEXT(Table4[[#This Row],[Confirmed Sampling Date]], "mm") &amp; "_" &amp; TEXT(Table4[[#This Row],[Confirmed Sampling Date]], "dd")</f>
        <v>2025_11_05</v>
      </c>
      <c r="X449" s="20" t="str">
        <f t="shared" si="6"/>
        <v>Funchal</v>
      </c>
      <c r="Y449" s="20" t="str">
        <f>VLOOKUP(Table4[[#This Row],[FromSite-UPS]],Table1[[Company or Name]:[NOTES]],2,FALSE)</f>
        <v>Portugal</v>
      </c>
      <c r="Z449" s="20">
        <f>IFERROR(WEEKNUM(Table4[[#This Row],[Confirmed Sampling Date]] - 10, 21), "TBD")</f>
        <v>43</v>
      </c>
      <c r="AA449" s="20" t="str">
        <f>_xlfn.XLOOKUP(Table4[[#This Row],[FromSite-UPS]],sites!D:D,sites!W:W,"",0)</f>
        <v>R. do Matadouro 4, Funchal, 9050-100, Portugal</v>
      </c>
      <c r="AB449" s="20" t="str">
        <f>_xlfn.XLOOKUP(Table4[[#This Row],[ToLab]],labs!D:D,labs!P:P,"no adres",0)</f>
        <v>Av. Rovisco Pais 1, Laboratorio de Analises de Agua, Lisbon, 1049-001, Portugal</v>
      </c>
      <c r="AC449" s="20">
        <f>_xlfn.XLOOKUP(Table4[[#This Row],[combi]],AREA!E:E,AREA!F:F,"",0)</f>
        <v>89</v>
      </c>
      <c r="AD449" s="20" t="str">
        <f>_xlfn.XLOOKUP(Table4[[#This Row],[combi]],AREA!E:E,AREA!G:G,"",0)</f>
        <v>Pick-up service of hypothetic package as defined in the Tech. Specs. and delivery to lots
2 and 3 contractors according to Scenario 1</v>
      </c>
      <c r="AE449" s="20" t="s">
        <v>126</v>
      </c>
      <c r="AF449" s="20" t="str">
        <f>_xlfn.XLOOKUP(Table4[[#This Row],[FromSite-UPS]],sites!D:D,sites!AB:AB,"",0)&amp;_xlfn.XLOOKUP(Table4[[#This Row],[ToLab]],labs!D:D,labs!Q:Q,"",0)</f>
        <v>EUEU</v>
      </c>
    </row>
    <row r="450" spans="2:32" ht="15.6" hidden="1" customHeight="1" x14ac:dyDescent="0.25">
      <c r="B450" s="13">
        <v>507</v>
      </c>
      <c r="C450" s="14" t="s">
        <v>53</v>
      </c>
      <c r="D450" s="13">
        <v>1</v>
      </c>
      <c r="E450" s="79">
        <v>45964</v>
      </c>
      <c r="F450" s="80">
        <v>45967</v>
      </c>
      <c r="G450" s="20">
        <f>IFERROR(WEEKNUM(Table4[[#This Row],[Confirmed Pick-up Date]]),"TBD")</f>
        <v>45</v>
      </c>
      <c r="H450" s="20" t="str">
        <f>IFERROR(TEXT(Table4[[#This Row],[Confirmed Pick-up Date]],"yy-mm"),"TBD")</f>
        <v>25-11</v>
      </c>
      <c r="I450" s="78" t="s">
        <v>1114</v>
      </c>
      <c r="J450" s="20" t="str">
        <f>IFERROR(VLOOKUP(Table4[[#This Row],[FromSite-UPS]],Table1[[#All],[Company or Name]:[FromSite3]],15,FALSE),"")</f>
        <v>Uppsala WWTP</v>
      </c>
      <c r="K450" s="20" t="str">
        <f>IFERROR(VLOOKUP(Table4[[#This Row],[FromSite-UPS]],Table1[[#All],[Company or Name]:[FromSite3]],16,FALSE),"")</f>
        <v>-</v>
      </c>
      <c r="L450" s="20">
        <f>IFERROR(VLOOKUP(Table4[[#This Row],[FromSite-UPS]],Table1[[#All],[Company or Name]:[FromSite3]],14,FALSE),"")</f>
        <v>0.58333333333333337</v>
      </c>
      <c r="M450" s="13" t="s">
        <v>1011</v>
      </c>
      <c r="N450" s="20" t="s">
        <v>813</v>
      </c>
      <c r="O450" s="20" t="s">
        <v>1905</v>
      </c>
      <c r="P450" s="20"/>
      <c r="Q450" s="20"/>
      <c r="R450" s="20"/>
      <c r="S450" s="20" t="s">
        <v>125</v>
      </c>
      <c r="T450" s="20"/>
      <c r="U450" s="20"/>
      <c r="V450" s="20"/>
      <c r="W450" s="20" t="str">
        <f>TEXT(Table4[[#This Row],[Confirmed Sampling Date]], "yyyy") &amp; "_" &amp; TEXT(Table4[[#This Row],[Confirmed Sampling Date]], "mm") &amp; "_" &amp; TEXT(Table4[[#This Row],[Confirmed Sampling Date]], "dd")</f>
        <v>2025_11_03</v>
      </c>
      <c r="X450" s="20" t="str">
        <f t="shared" si="6"/>
        <v>Uppsala</v>
      </c>
      <c r="Y450" s="20" t="str">
        <f>VLOOKUP(Table4[[#This Row],[FromSite-UPS]],Table1[[Company or Name]:[NOTES]],2,FALSE)</f>
        <v>Sweden</v>
      </c>
      <c r="Z450" s="20">
        <f>IFERROR(WEEKNUM(Table4[[#This Row],[Confirmed Sampling Date]] - 10, 21), "TBD")</f>
        <v>43</v>
      </c>
      <c r="AA450" s="20" t="str">
        <f>_xlfn.XLOOKUP(Table4[[#This Row],[FromSite-UPS]],sites!D:D,sites!W:W,"",0)</f>
        <v>Gerda Nilssons väg 5, Uppsala, 756 51, Sweden</v>
      </c>
      <c r="AB450" s="20" t="str">
        <f>_xlfn.XLOOKUP(Table4[[#This Row],[ToLab]],labs!D:D,labs!P:P,"no adres",0)</f>
        <v>Av. Rovisco Pais 1, Laboratorio de Analises de Agua, Lisbon, 1049-001, Portugal</v>
      </c>
      <c r="AC450" s="20">
        <f>_xlfn.XLOOKUP(Table4[[#This Row],[combi]],AREA!E:E,AREA!F:F,"",0)</f>
        <v>89</v>
      </c>
      <c r="AD450" s="20" t="str">
        <f>_xlfn.XLOOKUP(Table4[[#This Row],[combi]],AREA!E:E,AREA!G:G,"",0)</f>
        <v>Pick-up service of hypothetic package as defined in the Tech. Specs. and delivery to lots
2 and 3 contractors according to Scenario 1</v>
      </c>
      <c r="AE450" s="20" t="s">
        <v>126</v>
      </c>
      <c r="AF450" s="20" t="str">
        <f>_xlfn.XLOOKUP(Table4[[#This Row],[FromSite-UPS]],sites!D:D,sites!AB:AB,"",0)&amp;_xlfn.XLOOKUP(Table4[[#This Row],[ToLab]],labs!D:D,labs!Q:Q,"",0)</f>
        <v>EUEU</v>
      </c>
    </row>
    <row r="451" spans="2:32" ht="15.6" hidden="1" customHeight="1" x14ac:dyDescent="0.25">
      <c r="B451" s="13">
        <v>543</v>
      </c>
      <c r="C451" s="14" t="s">
        <v>53</v>
      </c>
      <c r="D451" s="13">
        <v>1</v>
      </c>
      <c r="E451" s="83">
        <v>45966</v>
      </c>
      <c r="F451" s="83">
        <v>45967</v>
      </c>
      <c r="G451" s="20">
        <f>IFERROR(WEEKNUM(Table4[[#This Row],[Confirmed Pick-up Date]]),"TBD")</f>
        <v>45</v>
      </c>
      <c r="H451" s="20" t="str">
        <f>IFERROR(TEXT(Table4[[#This Row],[Confirmed Pick-up Date]],"yy-mm"),"TBD")</f>
        <v>25-11</v>
      </c>
      <c r="I451" s="13" t="s">
        <v>1628</v>
      </c>
      <c r="J451" s="20" t="str">
        <f>IFERROR(VLOOKUP(Table4[[#This Row],[FromSite-UPS]],Table1[[#All],[Company or Name]:[FromSite3]],15,FALSE),"")</f>
        <v>Funchal WWTP</v>
      </c>
      <c r="K451" s="20" t="str">
        <f>IFERROR(VLOOKUP(Table4[[#This Row],[FromSite-UPS]],Table1[[#All],[Company or Name]:[FromSite3]],16,FALSE),"")</f>
        <v>Madeira, 10 locations</v>
      </c>
      <c r="L451" s="20">
        <f>IFERROR(VLOOKUP(Table4[[#This Row],[FromSite-UPS]],Table1[[#All],[Company or Name]:[FromSite3]],14,FALSE),"")</f>
        <v>0.70833333333333337</v>
      </c>
      <c r="M451" s="13" t="s">
        <v>1283</v>
      </c>
      <c r="N451" s="20" t="s">
        <v>134</v>
      </c>
      <c r="O451" s="20">
        <v>1010383625</v>
      </c>
      <c r="P451" s="20"/>
      <c r="Q451" s="20"/>
      <c r="R451" s="20"/>
      <c r="S451" s="20" t="s">
        <v>125</v>
      </c>
      <c r="T451" s="20"/>
      <c r="U451" s="20"/>
      <c r="V451" s="20"/>
      <c r="W451" s="20" t="str">
        <f>TEXT(Table4[[#This Row],[Confirmed Sampling Date]], "yyyy") &amp; "_" &amp; TEXT(Table4[[#This Row],[Confirmed Sampling Date]], "mm") &amp; "_" &amp; TEXT(Table4[[#This Row],[Confirmed Sampling Date]], "dd")</f>
        <v>2025_11_05</v>
      </c>
      <c r="X451" s="20" t="str">
        <f t="shared" si="6"/>
        <v>Funchal</v>
      </c>
      <c r="Y451" s="20" t="str">
        <f>VLOOKUP(Table4[[#This Row],[FromSite-UPS]],Table1[[Company or Name]:[NOTES]],2,FALSE)</f>
        <v>Portugal</v>
      </c>
      <c r="Z451" s="20">
        <f>IFERROR(WEEKNUM(Table4[[#This Row],[Confirmed Sampling Date]] - 10, 21), "TBD")</f>
        <v>43</v>
      </c>
      <c r="AA451" s="20" t="str">
        <f>_xlfn.XLOOKUP(Table4[[#This Row],[FromSite-UPS]],sites!D:D,sites!W:W,"",0)</f>
        <v>R. do Matadouro 4, Funchal, 9050-100, Portugal</v>
      </c>
      <c r="AB451" s="20" t="str">
        <f>_xlfn.XLOOKUP(Table4[[#This Row],[ToLab]],labs!D:D,labs!P:P,"no adres",0)</f>
        <v>C. del Dracma 16-18, Labaqua SAU - Sede Alicante, Alicante, 03114 , Spain</v>
      </c>
      <c r="AC451" s="20">
        <f>_xlfn.XLOOKUP(Table4[[#This Row],[combi]],AREA!E:E,AREA!F:F,"",0)</f>
        <v>89</v>
      </c>
      <c r="AD451" s="20" t="str">
        <f>_xlfn.XLOOKUP(Table4[[#This Row],[combi]],AREA!E:E,AREA!G:G,"",0)</f>
        <v>Pick-up service of hypothetic package as defined in the Tech. Specs. and delivery to lots
2 and 3 contractors according to Scenario 1</v>
      </c>
      <c r="AE451" s="20" t="s">
        <v>126</v>
      </c>
      <c r="AF451" s="20" t="str">
        <f>_xlfn.XLOOKUP(Table4[[#This Row],[FromSite-UPS]],sites!D:D,sites!AB:AB,"",0)&amp;_xlfn.XLOOKUP(Table4[[#This Row],[ToLab]],labs!D:D,labs!Q:Q,"",0)</f>
        <v>EUEU</v>
      </c>
    </row>
    <row r="452" spans="2:32" ht="15.6" hidden="1" customHeight="1" x14ac:dyDescent="0.25">
      <c r="B452" s="13">
        <v>567</v>
      </c>
      <c r="C452" s="14" t="s">
        <v>53</v>
      </c>
      <c r="D452" s="13">
        <v>1</v>
      </c>
      <c r="E452" s="83">
        <v>45966</v>
      </c>
      <c r="F452" s="83">
        <v>45967</v>
      </c>
      <c r="G452" s="20">
        <f>IFERROR(WEEKNUM(Table4[[#This Row],[Confirmed Pick-up Date]]),"TBD")</f>
        <v>45</v>
      </c>
      <c r="H452" s="20" t="str">
        <f>IFERROR(TEXT(Table4[[#This Row],[Confirmed Pick-up Date]],"yy-mm"),"TBD")</f>
        <v>25-11</v>
      </c>
      <c r="I452" s="13" t="s">
        <v>1628</v>
      </c>
      <c r="J452" s="20" t="str">
        <f>IFERROR(VLOOKUP(Table4[[#This Row],[FromSite-UPS]],Table1[[#All],[Company or Name]:[FromSite3]],15,FALSE),"")</f>
        <v>Funchal WWTP</v>
      </c>
      <c r="K452" s="20" t="str">
        <f>IFERROR(VLOOKUP(Table4[[#This Row],[FromSite-UPS]],Table1[[#All],[Company or Name]:[FromSite3]],16,FALSE),"")</f>
        <v>Madeira, 10 locations</v>
      </c>
      <c r="L452" s="13" t="s">
        <v>1283</v>
      </c>
      <c r="M452" s="13" t="s">
        <v>1283</v>
      </c>
      <c r="N452" s="20" t="s">
        <v>134</v>
      </c>
      <c r="O452" s="20">
        <v>1010383625</v>
      </c>
      <c r="P452" s="20"/>
      <c r="Q452" s="20"/>
      <c r="R452" s="20"/>
      <c r="S452" s="20" t="s">
        <v>125</v>
      </c>
      <c r="T452" s="20"/>
      <c r="U452" s="20"/>
      <c r="V452" s="20"/>
      <c r="W452" s="20" t="str">
        <f>TEXT(Table4[[#This Row],[Confirmed Sampling Date]], "yyyy") &amp; "_" &amp; TEXT(Table4[[#This Row],[Confirmed Sampling Date]], "mm") &amp; "_" &amp; TEXT(Table4[[#This Row],[Confirmed Sampling Date]], "dd")</f>
        <v>2025_11_05</v>
      </c>
      <c r="X452" s="20" t="str">
        <f t="shared" si="6"/>
        <v>Funchal</v>
      </c>
      <c r="Y452" s="20" t="str">
        <f>VLOOKUP(Table4[[#This Row],[FromSite-UPS]],Table1[[Company or Name]:[NOTES]],2,FALSE)</f>
        <v>Portugal</v>
      </c>
      <c r="Z452" s="20">
        <f>IFERROR(WEEKNUM(Table4[[#This Row],[Confirmed Sampling Date]] - 10, 21), "TBD")</f>
        <v>43</v>
      </c>
      <c r="AA452" s="20" t="str">
        <f>_xlfn.XLOOKUP(Table4[[#This Row],[FromSite-UPS]],sites!D:D,sites!W:W,"",0)</f>
        <v>R. do Matadouro 4, Funchal, 9050-100, Portugal</v>
      </c>
      <c r="AB452" s="20" t="str">
        <f>_xlfn.XLOOKUP(Table4[[#This Row],[ToLab]],labs!D:D,labs!P:P,"no adres",0)</f>
        <v>C. del Dracma 16-18, Labaqua SAU - Sede Alicante, Alicante, 03114 , Spain</v>
      </c>
      <c r="AC452" s="20">
        <f>_xlfn.XLOOKUP(Table4[[#This Row],[combi]],AREA!E:E,AREA!F:F,"",0)</f>
        <v>89</v>
      </c>
      <c r="AD452" s="20" t="str">
        <f>_xlfn.XLOOKUP(Table4[[#This Row],[combi]],AREA!E:E,AREA!G:G,"",0)</f>
        <v>Pick-up service of hypothetic package as defined in the Tech. Specs. and delivery to lots
2 and 3 contractors according to Scenario 1</v>
      </c>
      <c r="AE452" s="20" t="s">
        <v>126</v>
      </c>
      <c r="AF452" s="20" t="str">
        <f>_xlfn.XLOOKUP(Table4[[#This Row],[FromSite-UPS]],sites!D:D,sites!AB:AB,"",0)&amp;_xlfn.XLOOKUP(Table4[[#This Row],[ToLab]],labs!D:D,labs!Q:Q,"",0)</f>
        <v>EUEU</v>
      </c>
    </row>
    <row r="453" spans="2:32" ht="15.6" hidden="1" customHeight="1" x14ac:dyDescent="0.25">
      <c r="B453" s="13">
        <v>575</v>
      </c>
      <c r="C453" s="14" t="s">
        <v>53</v>
      </c>
      <c r="D453" s="13">
        <v>1</v>
      </c>
      <c r="E453" s="83">
        <v>45966</v>
      </c>
      <c r="F453" s="83">
        <v>45967</v>
      </c>
      <c r="G453" s="20">
        <f>IFERROR(WEEKNUM(Table4[[#This Row],[Confirmed Pick-up Date]]),"TBD")</f>
        <v>45</v>
      </c>
      <c r="H453" s="20" t="str">
        <f>IFERROR(TEXT(Table4[[#This Row],[Confirmed Pick-up Date]],"yy-mm"),"TBD")</f>
        <v>25-11</v>
      </c>
      <c r="I453" s="13" t="s">
        <v>1628</v>
      </c>
      <c r="J453" s="20" t="str">
        <f>IFERROR(VLOOKUP(Table4[[#This Row],[FromSite-UPS]],Table1[[#All],[Company or Name]:[FromSite3]],15,FALSE),"")</f>
        <v>Funchal WWTP</v>
      </c>
      <c r="K453" s="20" t="str">
        <f>IFERROR(VLOOKUP(Table4[[#This Row],[FromSite-UPS]],Table1[[#All],[Company or Name]:[FromSite3]],16,FALSE),"")</f>
        <v>Madeira, 10 locations</v>
      </c>
      <c r="L453" s="13" t="s">
        <v>1283</v>
      </c>
      <c r="M453" s="13" t="s">
        <v>1283</v>
      </c>
      <c r="N453" s="20" t="s">
        <v>134</v>
      </c>
      <c r="O453" s="20">
        <v>1010383625</v>
      </c>
      <c r="P453" s="20"/>
      <c r="Q453" s="20"/>
      <c r="R453" s="20"/>
      <c r="S453" s="20" t="s">
        <v>125</v>
      </c>
      <c r="T453" s="20"/>
      <c r="U453" s="20"/>
      <c r="V453" s="20"/>
      <c r="W453" s="20" t="str">
        <f>TEXT(Table4[[#This Row],[Confirmed Sampling Date]], "yyyy") &amp; "_" &amp; TEXT(Table4[[#This Row],[Confirmed Sampling Date]], "mm") &amp; "_" &amp; TEXT(Table4[[#This Row],[Confirmed Sampling Date]], "dd")</f>
        <v>2025_11_05</v>
      </c>
      <c r="X453" s="20" t="str">
        <f t="shared" ref="X453:X516" si="7">IFERROR(LEFT(J453, FIND(" ", J453) - 1), J453)</f>
        <v>Funchal</v>
      </c>
      <c r="Y453" s="20" t="str">
        <f>VLOOKUP(Table4[[#This Row],[FromSite-UPS]],Table1[[Company or Name]:[NOTES]],2,FALSE)</f>
        <v>Portugal</v>
      </c>
      <c r="Z453" s="20">
        <f>IFERROR(WEEKNUM(Table4[[#This Row],[Confirmed Sampling Date]] - 10, 21), "TBD")</f>
        <v>43</v>
      </c>
      <c r="AA453" s="20" t="str">
        <f>_xlfn.XLOOKUP(Table4[[#This Row],[FromSite-UPS]],sites!D:D,sites!W:W,"",0)</f>
        <v>R. do Matadouro 4, Funchal, 9050-100, Portugal</v>
      </c>
      <c r="AB453" s="20" t="str">
        <f>_xlfn.XLOOKUP(Table4[[#This Row],[ToLab]],labs!D:D,labs!P:P,"no adres",0)</f>
        <v>C. del Dracma 16-18, Labaqua SAU - Sede Alicante, Alicante, 03114 , Spain</v>
      </c>
      <c r="AC453" s="20">
        <f>_xlfn.XLOOKUP(Table4[[#This Row],[combi]],AREA!E:E,AREA!F:F,"",0)</f>
        <v>89</v>
      </c>
      <c r="AD453" s="20" t="str">
        <f>_xlfn.XLOOKUP(Table4[[#This Row],[combi]],AREA!E:E,AREA!G:G,"",0)</f>
        <v>Pick-up service of hypothetic package as defined in the Tech. Specs. and delivery to lots
2 and 3 contractors according to Scenario 1</v>
      </c>
      <c r="AE453" s="20" t="s">
        <v>126</v>
      </c>
      <c r="AF453" s="20" t="str">
        <f>_xlfn.XLOOKUP(Table4[[#This Row],[FromSite-UPS]],sites!D:D,sites!AB:AB,"",0)&amp;_xlfn.XLOOKUP(Table4[[#This Row],[ToLab]],labs!D:D,labs!Q:Q,"",0)</f>
        <v>EUEU</v>
      </c>
    </row>
    <row r="454" spans="2:32" ht="15.6" hidden="1" customHeight="1" x14ac:dyDescent="0.25">
      <c r="B454" s="13">
        <v>583</v>
      </c>
      <c r="C454" s="14" t="s">
        <v>53</v>
      </c>
      <c r="D454" s="13">
        <v>1</v>
      </c>
      <c r="E454" s="83">
        <v>45966</v>
      </c>
      <c r="F454" s="83">
        <v>45967</v>
      </c>
      <c r="G454" s="20">
        <f>IFERROR(WEEKNUM(Table4[[#This Row],[Confirmed Pick-up Date]]),"TBD")</f>
        <v>45</v>
      </c>
      <c r="H454" s="20" t="str">
        <f>IFERROR(TEXT(Table4[[#This Row],[Confirmed Pick-up Date]],"yy-mm"),"TBD")</f>
        <v>25-11</v>
      </c>
      <c r="I454" s="13" t="s">
        <v>1628</v>
      </c>
      <c r="J454" s="20" t="str">
        <f>IFERROR(VLOOKUP(Table4[[#This Row],[FromSite-UPS]],Table1[[#All],[Company or Name]:[FromSite3]],15,FALSE),"")</f>
        <v>Funchal WWTP</v>
      </c>
      <c r="K454" s="20" t="str">
        <f>IFERROR(VLOOKUP(Table4[[#This Row],[FromSite-UPS]],Table1[[#All],[Company or Name]:[FromSite3]],16,FALSE),"")</f>
        <v>Madeira, 10 locations</v>
      </c>
      <c r="L454" s="13" t="s">
        <v>1283</v>
      </c>
      <c r="M454" s="13" t="s">
        <v>1283</v>
      </c>
      <c r="N454" s="20" t="s">
        <v>134</v>
      </c>
      <c r="O454" s="20">
        <v>1010383625</v>
      </c>
      <c r="P454" s="20"/>
      <c r="Q454" s="20"/>
      <c r="R454" s="20"/>
      <c r="S454" s="20" t="s">
        <v>125</v>
      </c>
      <c r="T454" s="20"/>
      <c r="U454" s="20"/>
      <c r="V454" s="20"/>
      <c r="W454" s="20" t="str">
        <f>TEXT(Table4[[#This Row],[Confirmed Sampling Date]], "yyyy") &amp; "_" &amp; TEXT(Table4[[#This Row],[Confirmed Sampling Date]], "mm") &amp; "_" &amp; TEXT(Table4[[#This Row],[Confirmed Sampling Date]], "dd")</f>
        <v>2025_11_05</v>
      </c>
      <c r="X454" s="20" t="str">
        <f t="shared" si="7"/>
        <v>Funchal</v>
      </c>
      <c r="Y454" s="20" t="str">
        <f>VLOOKUP(Table4[[#This Row],[FromSite-UPS]],Table1[[Company or Name]:[NOTES]],2,FALSE)</f>
        <v>Portugal</v>
      </c>
      <c r="Z454" s="20">
        <f>IFERROR(WEEKNUM(Table4[[#This Row],[Confirmed Sampling Date]] - 10, 21), "TBD")</f>
        <v>43</v>
      </c>
      <c r="AA454" s="20" t="str">
        <f>_xlfn.XLOOKUP(Table4[[#This Row],[FromSite-UPS]],sites!D:D,sites!W:W,"",0)</f>
        <v>R. do Matadouro 4, Funchal, 9050-100, Portugal</v>
      </c>
      <c r="AB454" s="20" t="str">
        <f>_xlfn.XLOOKUP(Table4[[#This Row],[ToLab]],labs!D:D,labs!P:P,"no adres",0)</f>
        <v>C. del Dracma 16-18, Labaqua SAU - Sede Alicante, Alicante, 03114 , Spain</v>
      </c>
      <c r="AC454" s="20">
        <f>_xlfn.XLOOKUP(Table4[[#This Row],[combi]],AREA!E:E,AREA!F:F,"",0)</f>
        <v>89</v>
      </c>
      <c r="AD454" s="20" t="str">
        <f>_xlfn.XLOOKUP(Table4[[#This Row],[combi]],AREA!E:E,AREA!G:G,"",0)</f>
        <v>Pick-up service of hypothetic package as defined in the Tech. Specs. and delivery to lots
2 and 3 contractors according to Scenario 1</v>
      </c>
      <c r="AE454" s="20" t="s">
        <v>126</v>
      </c>
      <c r="AF454" s="20" t="str">
        <f>_xlfn.XLOOKUP(Table4[[#This Row],[FromSite-UPS]],sites!D:D,sites!AB:AB,"",0)&amp;_xlfn.XLOOKUP(Table4[[#This Row],[ToLab]],labs!D:D,labs!Q:Q,"",0)</f>
        <v>EUEU</v>
      </c>
    </row>
    <row r="455" spans="2:32" ht="15.6" hidden="1" customHeight="1" x14ac:dyDescent="0.25">
      <c r="B455" s="13">
        <v>608</v>
      </c>
      <c r="C455" s="14" t="s">
        <v>53</v>
      </c>
      <c r="D455" s="13">
        <v>1</v>
      </c>
      <c r="E455" s="83">
        <v>45966</v>
      </c>
      <c r="F455" s="83">
        <v>45967</v>
      </c>
      <c r="G455" s="20">
        <f>IFERROR(WEEKNUM(Table4[[#This Row],[Confirmed Pick-up Date]]),"TBD")</f>
        <v>45</v>
      </c>
      <c r="H455" s="20" t="str">
        <f>IFERROR(TEXT(Table4[[#This Row],[Confirmed Pick-up Date]],"yy-mm"),"TBD")</f>
        <v>25-11</v>
      </c>
      <c r="I455" s="13" t="s">
        <v>1590</v>
      </c>
      <c r="J455" s="20" t="str">
        <f>IFERROR(VLOOKUP(Table4[[#This Row],[FromSite-UPS]],Table1[[#All],[Company or Name]:[FromSite3]],15,FALSE),"")</f>
        <v>Àthens WWTP</v>
      </c>
      <c r="K455" s="20" t="str">
        <f>IFERROR(VLOOKUP(Table4[[#This Row],[FromSite-UPS]],Table1[[#All],[Company or Name]:[FromSite3]],16,FALSE),"")</f>
        <v>Athens Airport</v>
      </c>
      <c r="L455" s="20">
        <f>IFERROR(VLOOKUP(Table4[[#This Row],[FromSite-UPS]],Table1[[#All],[Company or Name]:[FromSite3]],14,FALSE),"")</f>
        <v>0.66666666666666663</v>
      </c>
      <c r="M455" s="13" t="s">
        <v>1011</v>
      </c>
      <c r="N455" s="20" t="s">
        <v>813</v>
      </c>
      <c r="O455" s="20" t="s">
        <v>1918</v>
      </c>
      <c r="P455" s="20"/>
      <c r="Q455" s="20"/>
      <c r="R455" s="20"/>
      <c r="S455" s="20" t="s">
        <v>125</v>
      </c>
      <c r="T455" s="20"/>
      <c r="U455" s="20"/>
      <c r="V455" s="20"/>
      <c r="W455" s="20" t="str">
        <f>TEXT(Table4[[#This Row],[Confirmed Sampling Date]], "yyyy") &amp; "_" &amp; TEXT(Table4[[#This Row],[Confirmed Sampling Date]], "mm") &amp; "_" &amp; TEXT(Table4[[#This Row],[Confirmed Sampling Date]], "dd")</f>
        <v>2025_11_05</v>
      </c>
      <c r="X455" s="20" t="str">
        <f t="shared" si="7"/>
        <v>Àthens</v>
      </c>
      <c r="Y455" s="20" t="str">
        <f>VLOOKUP(Table4[[#This Row],[FromSite-UPS]],Table1[[Company or Name]:[NOTES]],2,FALSE)</f>
        <v>Greece</v>
      </c>
      <c r="Z455" s="20">
        <f>IFERROR(WEEKNUM(Table4[[#This Row],[Confirmed Sampling Date]] - 10, 21), "TBD")</f>
        <v>43</v>
      </c>
      <c r="AA455" s="20" t="str">
        <f>_xlfn.XLOOKUP(Table4[[#This Row],[FromSite-UPS]],sites!D:D,sites!W:W,"",0)</f>
        <v>Zografou, 4ος όροφος, εργαστήριο αριθμός 8, Athens,  157 71, Greece</v>
      </c>
      <c r="AB455" s="20" t="str">
        <f>_xlfn.XLOOKUP(Table4[[#This Row],[ToLab]],labs!D:D,labs!P:P,"no adres",0)</f>
        <v>Av. Rovisco Pais 1, Laboratorio de Analises de Agua, Lisbon, 1049-001, Portugal</v>
      </c>
      <c r="AC455" s="20">
        <f>_xlfn.XLOOKUP(Table4[[#This Row],[combi]],AREA!E:E,AREA!F:F,"",0)</f>
        <v>89</v>
      </c>
      <c r="AD455" s="20" t="str">
        <f>_xlfn.XLOOKUP(Table4[[#This Row],[combi]],AREA!E:E,AREA!G:G,"",0)</f>
        <v>Pick-up service of hypothetic package as defined in the Tech. Specs. and delivery to lots
2 and 3 contractors according to Scenario 1</v>
      </c>
      <c r="AE455" s="20" t="s">
        <v>126</v>
      </c>
      <c r="AF455" s="20" t="str">
        <f>_xlfn.XLOOKUP(Table4[[#This Row],[FromSite-UPS]],sites!D:D,sites!AB:AB,"",0)&amp;_xlfn.XLOOKUP(Table4[[#This Row],[ToLab]],labs!D:D,labs!Q:Q,"",0)</f>
        <v>EUEU</v>
      </c>
    </row>
    <row r="456" spans="2:32" ht="15.6" hidden="1" customHeight="1" x14ac:dyDescent="0.25">
      <c r="B456" s="13">
        <v>615</v>
      </c>
      <c r="C456" s="14" t="s">
        <v>53</v>
      </c>
      <c r="D456" s="13">
        <v>1</v>
      </c>
      <c r="E456" s="83">
        <v>45967</v>
      </c>
      <c r="F456" s="83">
        <v>45968</v>
      </c>
      <c r="G456" s="20">
        <f>IFERROR(WEEKNUM(Table4[[#This Row],[Confirmed Pick-up Date]]),"TBD")</f>
        <v>45</v>
      </c>
      <c r="H456" s="20" t="str">
        <f>IFERROR(TEXT(Table4[[#This Row],[Confirmed Pick-up Date]],"yy-mm"),"TBD")</f>
        <v>25-11</v>
      </c>
      <c r="I456" s="13" t="s">
        <v>1590</v>
      </c>
      <c r="J456" s="20" t="str">
        <f>IFERROR(VLOOKUP(Table4[[#This Row],[FromSite-UPS]],Table1[[#All],[Company or Name]:[FromSite3]],15,FALSE),"")</f>
        <v>Àthens WWTP</v>
      </c>
      <c r="K456" s="20" t="str">
        <f>IFERROR(VLOOKUP(Table4[[#This Row],[FromSite-UPS]],Table1[[#All],[Company or Name]:[FromSite3]],16,FALSE),"")</f>
        <v>Athens Airport</v>
      </c>
      <c r="L456" s="20">
        <f>IFERROR(VLOOKUP(Table4[[#This Row],[FromSite-UPS]],Table1[[#All],[Company or Name]:[FromSite3]],14,FALSE),"")</f>
        <v>0.66666666666666663</v>
      </c>
      <c r="M456" s="13" t="s">
        <v>1011</v>
      </c>
      <c r="N456" s="20" t="s">
        <v>813</v>
      </c>
      <c r="O456" s="20" t="s">
        <v>1919</v>
      </c>
      <c r="P456" s="20"/>
      <c r="Q456" s="20"/>
      <c r="R456" s="20"/>
      <c r="S456" s="20" t="s">
        <v>125</v>
      </c>
      <c r="T456" s="20"/>
      <c r="U456" s="20"/>
      <c r="V456" s="20"/>
      <c r="W456" s="20" t="str">
        <f>TEXT(Table4[[#This Row],[Confirmed Sampling Date]], "yyyy") &amp; "_" &amp; TEXT(Table4[[#This Row],[Confirmed Sampling Date]], "mm") &amp; "_" &amp; TEXT(Table4[[#This Row],[Confirmed Sampling Date]], "dd")</f>
        <v>2025_11_06</v>
      </c>
      <c r="X456" s="20" t="str">
        <f t="shared" si="7"/>
        <v>Àthens</v>
      </c>
      <c r="Y456" s="20" t="str">
        <f>VLOOKUP(Table4[[#This Row],[FromSite-UPS]],Table1[[Company or Name]:[NOTES]],2,FALSE)</f>
        <v>Greece</v>
      </c>
      <c r="Z456" s="20">
        <f>IFERROR(WEEKNUM(Table4[[#This Row],[Confirmed Sampling Date]] - 10, 21), "TBD")</f>
        <v>44</v>
      </c>
      <c r="AA456" s="20" t="str">
        <f>_xlfn.XLOOKUP(Table4[[#This Row],[FromSite-UPS]],sites!D:D,sites!W:W,"",0)</f>
        <v>Zografou, 4ος όροφος, εργαστήριο αριθμός 8, Athens,  157 71, Greece</v>
      </c>
      <c r="AB456" s="20" t="str">
        <f>_xlfn.XLOOKUP(Table4[[#This Row],[ToLab]],labs!D:D,labs!P:P,"no adres",0)</f>
        <v>Av. Rovisco Pais 1, Laboratorio de Analises de Agua, Lisbon, 1049-001, Portugal</v>
      </c>
      <c r="AC456" s="20">
        <f>_xlfn.XLOOKUP(Table4[[#This Row],[combi]],AREA!E:E,AREA!F:F,"",0)</f>
        <v>89</v>
      </c>
      <c r="AD456" s="20" t="str">
        <f>_xlfn.XLOOKUP(Table4[[#This Row],[combi]],AREA!E:E,AREA!G:G,"",0)</f>
        <v>Pick-up service of hypothetic package as defined in the Tech. Specs. and delivery to lots
2 and 3 contractors according to Scenario 1</v>
      </c>
      <c r="AE456" s="20" t="s">
        <v>126</v>
      </c>
      <c r="AF456" s="20" t="str">
        <f>_xlfn.XLOOKUP(Table4[[#This Row],[FromSite-UPS]],sites!D:D,sites!AB:AB,"",0)&amp;_xlfn.XLOOKUP(Table4[[#This Row],[ToLab]],labs!D:D,labs!Q:Q,"",0)</f>
        <v>EUEU</v>
      </c>
    </row>
    <row r="457" spans="2:32" ht="15.6" hidden="1" customHeight="1" x14ac:dyDescent="0.25">
      <c r="B457" s="13">
        <v>622</v>
      </c>
      <c r="C457" s="14" t="s">
        <v>53</v>
      </c>
      <c r="D457" s="13">
        <v>1</v>
      </c>
      <c r="E457" s="83">
        <v>45967</v>
      </c>
      <c r="F457" s="83">
        <v>45968</v>
      </c>
      <c r="G457" s="20">
        <f>IFERROR(WEEKNUM(Table4[[#This Row],[Confirmed Pick-up Date]]),"TBD")</f>
        <v>45</v>
      </c>
      <c r="H457" s="20" t="str">
        <f>IFERROR(TEXT(Table4[[#This Row],[Confirmed Pick-up Date]],"yy-mm"),"TBD")</f>
        <v>25-11</v>
      </c>
      <c r="I457" s="13" t="s">
        <v>1598</v>
      </c>
      <c r="J457" s="20" t="str">
        <f>IFERROR(VLOOKUP(Table4[[#This Row],[FromSite-UPS]],Table1[[#All],[Company or Name]:[FromSite3]],15,FALSE),"")</f>
        <v>Heraklion WWTP</v>
      </c>
      <c r="K457" s="20" t="str">
        <f>IFERROR(VLOOKUP(Table4[[#This Row],[FromSite-UPS]],Table1[[#All],[Company or Name]:[FromSite3]],16,FALSE),"")</f>
        <v>Heraklion Airport</v>
      </c>
      <c r="L457" s="20">
        <f>IFERROR(VLOOKUP(Table4[[#This Row],[FromSite-UPS]],Table1[[#All],[Company or Name]:[FromSite3]],14,FALSE),"")</f>
        <v>0.5</v>
      </c>
      <c r="M457" s="13" t="s">
        <v>1011</v>
      </c>
      <c r="N457" s="20" t="s">
        <v>813</v>
      </c>
      <c r="O457" s="20">
        <v>1094950920</v>
      </c>
      <c r="P457" s="20"/>
      <c r="Q457" s="20"/>
      <c r="R457" s="20"/>
      <c r="S457" s="20" t="s">
        <v>125</v>
      </c>
      <c r="T457" s="20"/>
      <c r="U457" s="20"/>
      <c r="V457" s="20"/>
      <c r="W457" s="20" t="str">
        <f>TEXT(Table4[[#This Row],[Confirmed Sampling Date]], "yyyy") &amp; "_" &amp; TEXT(Table4[[#This Row],[Confirmed Sampling Date]], "mm") &amp; "_" &amp; TEXT(Table4[[#This Row],[Confirmed Sampling Date]], "dd")</f>
        <v>2025_11_06</v>
      </c>
      <c r="X457" s="20" t="str">
        <f t="shared" si="7"/>
        <v>Heraklion</v>
      </c>
      <c r="Y457" s="20" t="str">
        <f>VLOOKUP(Table4[[#This Row],[FromSite-UPS]],Table1[[Company or Name]:[NOTES]],2,FALSE)</f>
        <v>Greece</v>
      </c>
      <c r="Z457" s="20">
        <f>IFERROR(WEEKNUM(Table4[[#This Row],[Confirmed Sampling Date]] - 10, 21), "TBD")</f>
        <v>44</v>
      </c>
      <c r="AA457" s="20" t="str">
        <f>_xlfn.XLOOKUP(Table4[[#This Row],[FromSite-UPS]],sites!D:D,sites!W:W,"",0)</f>
        <v>Andrea Kalokerinou 13, Pteryga 3D, Giofirakia, 715 00, Greece</v>
      </c>
      <c r="AB457" s="20" t="str">
        <f>_xlfn.XLOOKUP(Table4[[#This Row],[ToLab]],labs!D:D,labs!P:P,"no adres",0)</f>
        <v>Av. Rovisco Pais 1, Laboratorio de Analises de Agua, Lisbon, 1049-001, Portugal</v>
      </c>
      <c r="AC457" s="20">
        <f>_xlfn.XLOOKUP(Table4[[#This Row],[combi]],AREA!E:E,AREA!F:F,"",0)</f>
        <v>89</v>
      </c>
      <c r="AD457" s="20" t="str">
        <f>_xlfn.XLOOKUP(Table4[[#This Row],[combi]],AREA!E:E,AREA!G:G,"",0)</f>
        <v>Pick-up service of hypothetic package as defined in the Tech. Specs. and delivery to lots
2 and 3 contractors according to Scenario 1</v>
      </c>
      <c r="AE457" s="20" t="s">
        <v>126</v>
      </c>
      <c r="AF457" s="20" t="str">
        <f>_xlfn.XLOOKUP(Table4[[#This Row],[FromSite-UPS]],sites!D:D,sites!AB:AB,"",0)&amp;_xlfn.XLOOKUP(Table4[[#This Row],[ToLab]],labs!D:D,labs!Q:Q,"",0)</f>
        <v>EUEU</v>
      </c>
    </row>
    <row r="458" spans="2:32" ht="15.6" hidden="1" customHeight="1" x14ac:dyDescent="0.25">
      <c r="B458" s="13">
        <v>629</v>
      </c>
      <c r="C458" s="14" t="s">
        <v>53</v>
      </c>
      <c r="D458" s="13">
        <v>1</v>
      </c>
      <c r="E458" s="83">
        <v>45967</v>
      </c>
      <c r="F458" s="83">
        <v>45968</v>
      </c>
      <c r="G458" s="20">
        <f>IFERROR(WEEKNUM(Table4[[#This Row],[Confirmed Pick-up Date]]),"TBD")</f>
        <v>45</v>
      </c>
      <c r="H458" s="20" t="str">
        <f>IFERROR(TEXT(Table4[[#This Row],[Confirmed Pick-up Date]],"yy-mm"),"TBD")</f>
        <v>25-11</v>
      </c>
      <c r="I458" s="13" t="s">
        <v>1598</v>
      </c>
      <c r="J458" s="20" t="str">
        <f>IFERROR(VLOOKUP(Table4[[#This Row],[FromSite-UPS]],Table1[[#All],[Company or Name]:[FromSite3]],15,FALSE),"")</f>
        <v>Heraklion WWTP</v>
      </c>
      <c r="K458" s="20" t="str">
        <f>IFERROR(VLOOKUP(Table4[[#This Row],[FromSite-UPS]],Table1[[#All],[Company or Name]:[FromSite3]],16,FALSE),"")</f>
        <v>Heraklion Airport</v>
      </c>
      <c r="L458" s="20">
        <f>IFERROR(VLOOKUP(Table4[[#This Row],[FromSite-UPS]],Table1[[#All],[Company or Name]:[FromSite3]],14,FALSE),"")</f>
        <v>0.5</v>
      </c>
      <c r="M458" s="13" t="s">
        <v>1011</v>
      </c>
      <c r="N458" s="20" t="s">
        <v>813</v>
      </c>
      <c r="O458" s="20">
        <v>1094950920</v>
      </c>
      <c r="P458" s="20"/>
      <c r="Q458" s="20"/>
      <c r="R458" s="20"/>
      <c r="S458" s="20" t="s">
        <v>125</v>
      </c>
      <c r="T458" s="20"/>
      <c r="U458" s="20"/>
      <c r="V458" s="20"/>
      <c r="W458" s="20" t="str">
        <f>TEXT(Table4[[#This Row],[Confirmed Sampling Date]], "yyyy") &amp; "_" &amp; TEXT(Table4[[#This Row],[Confirmed Sampling Date]], "mm") &amp; "_" &amp; TEXT(Table4[[#This Row],[Confirmed Sampling Date]], "dd")</f>
        <v>2025_11_06</v>
      </c>
      <c r="X458" s="20" t="str">
        <f t="shared" si="7"/>
        <v>Heraklion</v>
      </c>
      <c r="Y458" s="20" t="str">
        <f>VLOOKUP(Table4[[#This Row],[FromSite-UPS]],Table1[[Company or Name]:[NOTES]],2,FALSE)</f>
        <v>Greece</v>
      </c>
      <c r="Z458" s="20">
        <f>IFERROR(WEEKNUM(Table4[[#This Row],[Confirmed Sampling Date]] - 10, 21), "TBD")</f>
        <v>44</v>
      </c>
      <c r="AA458" s="20" t="str">
        <f>_xlfn.XLOOKUP(Table4[[#This Row],[FromSite-UPS]],sites!D:D,sites!W:W,"",0)</f>
        <v>Andrea Kalokerinou 13, Pteryga 3D, Giofirakia, 715 00, Greece</v>
      </c>
      <c r="AB458" s="20" t="str">
        <f>_xlfn.XLOOKUP(Table4[[#This Row],[ToLab]],labs!D:D,labs!P:P,"no adres",0)</f>
        <v>Av. Rovisco Pais 1, Laboratorio de Analises de Agua, Lisbon, 1049-001, Portugal</v>
      </c>
      <c r="AC458" s="20">
        <f>_xlfn.XLOOKUP(Table4[[#This Row],[combi]],AREA!E:E,AREA!F:F,"",0)</f>
        <v>89</v>
      </c>
      <c r="AD458" s="20" t="str">
        <f>_xlfn.XLOOKUP(Table4[[#This Row],[combi]],AREA!E:E,AREA!G:G,"",0)</f>
        <v>Pick-up service of hypothetic package as defined in the Tech. Specs. and delivery to lots
2 and 3 contractors according to Scenario 1</v>
      </c>
      <c r="AE458" s="20" t="s">
        <v>126</v>
      </c>
      <c r="AF458" s="20" t="str">
        <f>_xlfn.XLOOKUP(Table4[[#This Row],[FromSite-UPS]],sites!D:D,sites!AB:AB,"",0)&amp;_xlfn.XLOOKUP(Table4[[#This Row],[ToLab]],labs!D:D,labs!Q:Q,"",0)</f>
        <v>EUEU</v>
      </c>
    </row>
    <row r="459" spans="2:32" ht="15.6" hidden="1" customHeight="1" x14ac:dyDescent="0.25">
      <c r="B459" s="13">
        <v>643</v>
      </c>
      <c r="C459" s="14" t="s">
        <v>53</v>
      </c>
      <c r="D459" s="13">
        <v>1</v>
      </c>
      <c r="E459" s="83">
        <v>45967</v>
      </c>
      <c r="F459" s="22">
        <v>45968</v>
      </c>
      <c r="G459" s="20">
        <f>IFERROR(WEEKNUM(Table4[[#This Row],[Confirmed Pick-up Date]]),"TBD")</f>
        <v>45</v>
      </c>
      <c r="H459" s="20" t="str">
        <f>IFERROR(TEXT(Table4[[#This Row],[Confirmed Pick-up Date]],"yy-mm"),"TBD")</f>
        <v>25-11</v>
      </c>
      <c r="I459" s="13" t="s">
        <v>637</v>
      </c>
      <c r="J459" s="20" t="str">
        <f>IFERROR(VLOOKUP(Table4[[#This Row],[FromSite-UPS]],Table1[[#All],[Company or Name]:[FromSite3]],15,FALSE),"")</f>
        <v>Luxembourg (Beggen) WWTP</v>
      </c>
      <c r="K459" s="20" t="str">
        <f>IFERROR(VLOOKUP(Table4[[#This Row],[FromSite-UPS]],Table1[[#All],[Company or Name]:[FromSite3]],16,FALSE),"")</f>
        <v>Luxembourg Airport</v>
      </c>
      <c r="L459" s="20">
        <f>IFERROR(VLOOKUP(Table4[[#This Row],[FromSite-UPS]],Table1[[#All],[Company or Name]:[FromSite3]],14,FALSE),"")</f>
        <v>0.66666666666666663</v>
      </c>
      <c r="M459" s="13" t="s">
        <v>1011</v>
      </c>
      <c r="N459" s="20" t="s">
        <v>813</v>
      </c>
      <c r="O459" s="20" t="s">
        <v>1920</v>
      </c>
      <c r="P459" s="20"/>
      <c r="Q459" s="20"/>
      <c r="R459" s="20"/>
      <c r="S459" s="20" t="s">
        <v>125</v>
      </c>
      <c r="T459" s="20"/>
      <c r="U459" s="20"/>
      <c r="V459" s="20"/>
      <c r="W459" s="20" t="str">
        <f>TEXT(Table4[[#This Row],[Confirmed Sampling Date]], "yyyy") &amp; "_" &amp; TEXT(Table4[[#This Row],[Confirmed Sampling Date]], "mm") &amp; "_" &amp; TEXT(Table4[[#This Row],[Confirmed Sampling Date]], "dd")</f>
        <v>2025_11_06</v>
      </c>
      <c r="X459" s="20" t="str">
        <f t="shared" si="7"/>
        <v>Luxembourg</v>
      </c>
      <c r="Y459" s="20" t="str">
        <f>VLOOKUP(Table4[[#This Row],[FromSite-UPS]],Table1[[Company or Name]:[NOTES]],2,FALSE)</f>
        <v>Luxembourg</v>
      </c>
      <c r="Z459" s="20">
        <f>IFERROR(WEEKNUM(Table4[[#This Row],[Confirmed Sampling Date]] - 10, 21), "TBD")</f>
        <v>44</v>
      </c>
      <c r="AA459" s="20" t="str">
        <f>_xlfn.XLOOKUP(Table4[[#This Row],[FromSite-UPS]],sites!D:D,sites!W:W,"",0)</f>
        <v>41 rue du Brill, Luxembourg, L-4422 , Luxembourg</v>
      </c>
      <c r="AB459" s="20" t="str">
        <f>_xlfn.XLOOKUP(Table4[[#This Row],[ToLab]],labs!D:D,labs!P:P,"no adres",0)</f>
        <v>Av. Rovisco Pais 1, Laboratorio de Analises de Agua, Lisbon, 1049-001, Portugal</v>
      </c>
      <c r="AC459" s="20">
        <f>_xlfn.XLOOKUP(Table4[[#This Row],[combi]],AREA!E:E,AREA!F:F,"",0)</f>
        <v>89</v>
      </c>
      <c r="AD459" s="20" t="str">
        <f>_xlfn.XLOOKUP(Table4[[#This Row],[combi]],AREA!E:E,AREA!G:G,"",0)</f>
        <v>Pick-up service of hypothetic package as defined in the Tech. Specs. and delivery to lots
2 and 3 contractors according to Scenario 1</v>
      </c>
      <c r="AE459" s="20" t="s">
        <v>126</v>
      </c>
      <c r="AF459" s="20" t="str">
        <f>_xlfn.XLOOKUP(Table4[[#This Row],[FromSite-UPS]],sites!D:D,sites!AB:AB,"",0)&amp;_xlfn.XLOOKUP(Table4[[#This Row],[ToLab]],labs!D:D,labs!Q:Q,"",0)</f>
        <v>EUEU</v>
      </c>
    </row>
    <row r="460" spans="2:32" ht="15.6" hidden="1" customHeight="1" x14ac:dyDescent="0.25">
      <c r="B460" s="13">
        <v>649</v>
      </c>
      <c r="C460" s="14" t="s">
        <v>53</v>
      </c>
      <c r="D460" s="13">
        <v>1</v>
      </c>
      <c r="E460" s="83">
        <v>45967</v>
      </c>
      <c r="F460" s="22">
        <v>45968</v>
      </c>
      <c r="G460" s="20">
        <f>IFERROR(WEEKNUM(Table4[[#This Row],[Confirmed Pick-up Date]]),"TBD")</f>
        <v>45</v>
      </c>
      <c r="H460" s="20" t="str">
        <f>IFERROR(TEXT(Table4[[#This Row],[Confirmed Pick-up Date]],"yy-mm"),"TBD")</f>
        <v>25-11</v>
      </c>
      <c r="I460" s="13" t="s">
        <v>637</v>
      </c>
      <c r="J460" s="20" t="str">
        <f>IFERROR(VLOOKUP(Table4[[#This Row],[FromSite-UPS]],Table1[[#All],[Company or Name]:[FromSite3]],15,FALSE),"")</f>
        <v>Luxembourg (Beggen) WWTP</v>
      </c>
      <c r="K460" s="20" t="str">
        <f>IFERROR(VLOOKUP(Table4[[#This Row],[FromSite-UPS]],Table1[[#All],[Company or Name]:[FromSite3]],16,FALSE),"")</f>
        <v>Luxembourg Airport</v>
      </c>
      <c r="L460" s="20">
        <f>IFERROR(VLOOKUP(Table4[[#This Row],[FromSite-UPS]],Table1[[#All],[Company or Name]:[FromSite3]],14,FALSE),"")</f>
        <v>0.66666666666666663</v>
      </c>
      <c r="M460" s="13" t="s">
        <v>1011</v>
      </c>
      <c r="N460" s="20" t="s">
        <v>813</v>
      </c>
      <c r="O460" s="20" t="s">
        <v>1921</v>
      </c>
      <c r="P460" s="20"/>
      <c r="Q460" s="20"/>
      <c r="R460" s="20"/>
      <c r="S460" s="20" t="s">
        <v>125</v>
      </c>
      <c r="T460" s="20"/>
      <c r="U460" s="20"/>
      <c r="V460" s="20"/>
      <c r="W460" s="20" t="str">
        <f>TEXT(Table4[[#This Row],[Confirmed Sampling Date]], "yyyy") &amp; "_" &amp; TEXT(Table4[[#This Row],[Confirmed Sampling Date]], "mm") &amp; "_" &amp; TEXT(Table4[[#This Row],[Confirmed Sampling Date]], "dd")</f>
        <v>2025_11_06</v>
      </c>
      <c r="X460" s="20" t="str">
        <f t="shared" si="7"/>
        <v>Luxembourg</v>
      </c>
      <c r="Y460" s="20" t="str">
        <f>VLOOKUP(Table4[[#This Row],[FromSite-UPS]],Table1[[Company or Name]:[NOTES]],2,FALSE)</f>
        <v>Luxembourg</v>
      </c>
      <c r="Z460" s="20">
        <f>IFERROR(WEEKNUM(Table4[[#This Row],[Confirmed Sampling Date]] - 10, 21), "TBD")</f>
        <v>44</v>
      </c>
      <c r="AA460" s="20" t="str">
        <f>_xlfn.XLOOKUP(Table4[[#This Row],[FromSite-UPS]],sites!D:D,sites!W:W,"",0)</f>
        <v>41 rue du Brill, Luxembourg, L-4422 , Luxembourg</v>
      </c>
      <c r="AB460" s="20" t="str">
        <f>_xlfn.XLOOKUP(Table4[[#This Row],[ToLab]],labs!D:D,labs!P:P,"no adres",0)</f>
        <v>Av. Rovisco Pais 1, Laboratorio de Analises de Agua, Lisbon, 1049-001, Portugal</v>
      </c>
      <c r="AC460" s="20">
        <f>_xlfn.XLOOKUP(Table4[[#This Row],[combi]],AREA!E:E,AREA!F:F,"",0)</f>
        <v>89</v>
      </c>
      <c r="AD460" s="20" t="str">
        <f>_xlfn.XLOOKUP(Table4[[#This Row],[combi]],AREA!E:E,AREA!G:G,"",0)</f>
        <v>Pick-up service of hypothetic package as defined in the Tech. Specs. and delivery to lots
2 and 3 contractors according to Scenario 1</v>
      </c>
      <c r="AE460" s="20" t="s">
        <v>126</v>
      </c>
      <c r="AF460" s="20" t="str">
        <f>_xlfn.XLOOKUP(Table4[[#This Row],[FromSite-UPS]],sites!D:D,sites!AB:AB,"",0)&amp;_xlfn.XLOOKUP(Table4[[#This Row],[ToLab]],labs!D:D,labs!Q:Q,"",0)</f>
        <v>EUEU</v>
      </c>
    </row>
    <row r="461" spans="2:32" ht="15.6" hidden="1" customHeight="1" x14ac:dyDescent="0.25">
      <c r="B461" s="13">
        <v>18</v>
      </c>
      <c r="C461" s="14" t="s">
        <v>53</v>
      </c>
      <c r="D461" s="13">
        <v>1</v>
      </c>
      <c r="E461" s="79">
        <v>45977</v>
      </c>
      <c r="F461" s="80">
        <v>45978</v>
      </c>
      <c r="G461" s="13">
        <f>IFERROR(WEEKNUM(Table4[[#This Row],[Confirmed Pick-up Date]]),"TBD")</f>
        <v>47</v>
      </c>
      <c r="H461" s="13" t="str">
        <f>IFERROR(TEXT(Table4[[#This Row],[Confirmed Pick-up Date]],"yy-mm"),"TBD")</f>
        <v>25-11</v>
      </c>
      <c r="I461" s="13" t="s">
        <v>13</v>
      </c>
      <c r="J461" s="13" t="str">
        <f>IFERROR(VLOOKUP(Table4[[#This Row],[FromSite-UPS]],Table1[[#All],[Company or Name]:[FromSite3]],15,FALSE),"")</f>
        <v>Berlin (Schoenefeld) WWTP</v>
      </c>
      <c r="K461" s="13" t="str">
        <f>IFERROR(VLOOKUP(Table4[[#This Row],[FromSite-UPS]],Table1[[#All],[Company or Name]:[FromSite3]],16,FALSE),"")</f>
        <v>Berlin Airport</v>
      </c>
      <c r="L461" s="13">
        <f>IFERROR(VLOOKUP(Table4[[#This Row],[FromSite-UPS]],Table1[[#All],[Company or Name]:[FromSite3]],14,FALSE),"")</f>
        <v>0.58333333333333337</v>
      </c>
      <c r="M461" s="13" t="s">
        <v>1011</v>
      </c>
      <c r="N461" s="20"/>
      <c r="O461" s="13"/>
      <c r="P461" s="13"/>
      <c r="Q461" s="20"/>
      <c r="R461" s="20"/>
      <c r="S461" s="20" t="s">
        <v>126</v>
      </c>
      <c r="T461" s="20"/>
      <c r="U461" s="20"/>
      <c r="V461" s="20"/>
      <c r="W461" s="20" t="str">
        <f>TEXT(Table4[[#This Row],[Confirmed Sampling Date]], "yyyy") &amp; "_" &amp; TEXT(Table4[[#This Row],[Confirmed Sampling Date]], "mm") &amp; "_" &amp; TEXT(Table4[[#This Row],[Confirmed Sampling Date]], "dd")</f>
        <v>2025_11_16</v>
      </c>
      <c r="X461" s="20" t="str">
        <f t="shared" si="7"/>
        <v>Berlin</v>
      </c>
      <c r="Y461" s="20" t="str">
        <f>VLOOKUP(Table4[[#This Row],[FromSite-UPS]],Table1[[Company or Name]:[NOTES]],2,FALSE)</f>
        <v>Germany</v>
      </c>
      <c r="Z461" s="20">
        <f>IFERROR(WEEKNUM(Table4[[#This Row],[Confirmed Sampling Date]] - 10, 21), "TBD")</f>
        <v>45</v>
      </c>
      <c r="AA461" s="20" t="str">
        <f>_xlfn.XLOOKUP(Table4[[#This Row],[FromSite-UPS]],sites!D:D,sites!W:W,"",0)</f>
        <v>Strasse am Klarwerk 4, Klarwerk Wassmannsdorf, Schoenefeld, 12529, Germany</v>
      </c>
      <c r="AB461" s="20" t="str">
        <f>_xlfn.XLOOKUP(Table4[[#This Row],[ToLab]],labs!D:D,labs!P:P,"no adres",0)</f>
        <v>Av. Rovisco Pais 1, Laboratorio de Analises de Agua, Lisbon, 1049-001, Portugal</v>
      </c>
      <c r="AC461" s="20">
        <f>_xlfn.XLOOKUP(Table4[[#This Row],[combi]],AREA!E:E,AREA!F:F,"",0)</f>
        <v>89</v>
      </c>
      <c r="AD461" s="20" t="str">
        <f>_xlfn.XLOOKUP(Table4[[#This Row],[combi]],AREA!E:E,AREA!G:G,"",0)</f>
        <v>Pick-up service of hypothetic package as defined in the Tech. Specs. and delivery to lots
2 and 3 contractors according to Scenario 1</v>
      </c>
      <c r="AE461" s="20" t="s">
        <v>126</v>
      </c>
      <c r="AF461" s="20" t="str">
        <f>_xlfn.XLOOKUP(Table4[[#This Row],[FromSite-UPS]],sites!D:D,sites!AB:AB,"",0)&amp;_xlfn.XLOOKUP(Table4[[#This Row],[ToLab]],labs!D:D,labs!Q:Q,"",0)</f>
        <v>EUEU</v>
      </c>
    </row>
    <row r="462" spans="2:32" ht="15.6" hidden="1" customHeight="1" x14ac:dyDescent="0.25">
      <c r="B462" s="13">
        <v>81</v>
      </c>
      <c r="C462" s="14" t="s">
        <v>53</v>
      </c>
      <c r="D462" s="13">
        <v>1</v>
      </c>
      <c r="E462" s="79">
        <v>45977</v>
      </c>
      <c r="F462" s="80">
        <v>45978</v>
      </c>
      <c r="G462" s="20">
        <f>IFERROR(WEEKNUM(Table4[[#This Row],[Confirmed Pick-up Date]]),"TBD")</f>
        <v>47</v>
      </c>
      <c r="H462" s="20" t="str">
        <f>IFERROR(TEXT(Table4[[#This Row],[Confirmed Pick-up Date]],"yy-mm"),"TBD")</f>
        <v>25-11</v>
      </c>
      <c r="I462" s="13" t="s">
        <v>13</v>
      </c>
      <c r="J462" s="20" t="str">
        <f>IFERROR(VLOOKUP(Table4[[#This Row],[FromSite-UPS]],Table1[[#All],[Company or Name]:[FromSite3]],15,FALSE),"")</f>
        <v>Berlin (Schoenefeld) WWTP</v>
      </c>
      <c r="K462" s="20" t="str">
        <f>IFERROR(VLOOKUP(Table4[[#This Row],[FromSite-UPS]],Table1[[#All],[Company or Name]:[FromSite3]],16,FALSE),"")</f>
        <v>Berlin Airport</v>
      </c>
      <c r="L462" s="20">
        <f>IFERROR(VLOOKUP(Table4[[#This Row],[FromSite-UPS]],Table1[[#All],[Company or Name]:[FromSite3]],14,FALSE),"")</f>
        <v>0.58333333333333337</v>
      </c>
      <c r="M462" s="13" t="s">
        <v>1011</v>
      </c>
      <c r="N462" s="20"/>
      <c r="O462" s="13"/>
      <c r="P462" s="13"/>
      <c r="Q462" s="20"/>
      <c r="R462" s="20"/>
      <c r="S462" s="20" t="s">
        <v>126</v>
      </c>
      <c r="T462" s="20"/>
      <c r="U462" s="20"/>
      <c r="V462" s="20"/>
      <c r="W462" s="20" t="str">
        <f>TEXT(Table4[[#This Row],[Confirmed Sampling Date]], "yyyy") &amp; "_" &amp; TEXT(Table4[[#This Row],[Confirmed Sampling Date]], "mm") &amp; "_" &amp; TEXT(Table4[[#This Row],[Confirmed Sampling Date]], "dd")</f>
        <v>2025_11_16</v>
      </c>
      <c r="X462" s="20" t="str">
        <f t="shared" si="7"/>
        <v>Berlin</v>
      </c>
      <c r="Y462" s="20" t="str">
        <f>VLOOKUP(Table4[[#This Row],[FromSite-UPS]],Table1[[Company or Name]:[NOTES]],2,FALSE)</f>
        <v>Germany</v>
      </c>
      <c r="Z462" s="20">
        <f>IFERROR(WEEKNUM(Table4[[#This Row],[Confirmed Sampling Date]] - 10, 21), "TBD")</f>
        <v>45</v>
      </c>
      <c r="AA462" s="20" t="str">
        <f>_xlfn.XLOOKUP(Table4[[#This Row],[FromSite-UPS]],sites!D:D,sites!W:W,"",0)</f>
        <v>Strasse am Klarwerk 4, Klarwerk Wassmannsdorf, Schoenefeld, 12529, Germany</v>
      </c>
      <c r="AB462" s="20" t="str">
        <f>_xlfn.XLOOKUP(Table4[[#This Row],[ToLab]],labs!D:D,labs!P:P,"no adres",0)</f>
        <v>Av. Rovisco Pais 1, Laboratorio de Analises de Agua, Lisbon, 1049-001, Portugal</v>
      </c>
      <c r="AC462" s="20">
        <f>_xlfn.XLOOKUP(Table4[[#This Row],[combi]],AREA!E:E,AREA!F:F,"",0)</f>
        <v>89</v>
      </c>
      <c r="AD462" s="20" t="str">
        <f>_xlfn.XLOOKUP(Table4[[#This Row],[combi]],AREA!E:E,AREA!G:G,"",0)</f>
        <v>Pick-up service of hypothetic package as defined in the Tech. Specs. and delivery to lots
2 and 3 contractors according to Scenario 1</v>
      </c>
      <c r="AE462" s="20" t="s">
        <v>126</v>
      </c>
      <c r="AF462" s="20" t="str">
        <f>_xlfn.XLOOKUP(Table4[[#This Row],[FromSite-UPS]],sites!D:D,sites!AB:AB,"",0)&amp;_xlfn.XLOOKUP(Table4[[#This Row],[ToLab]],labs!D:D,labs!Q:Q,"",0)</f>
        <v>EUEU</v>
      </c>
    </row>
    <row r="463" spans="2:32" ht="15.6" hidden="1" customHeight="1" x14ac:dyDescent="0.25">
      <c r="B463" s="13">
        <v>552</v>
      </c>
      <c r="C463" s="14" t="s">
        <v>53</v>
      </c>
      <c r="D463" s="13">
        <v>1</v>
      </c>
      <c r="E463" s="83">
        <v>45977</v>
      </c>
      <c r="F463" s="83">
        <v>45978</v>
      </c>
      <c r="G463" s="20">
        <f>IFERROR(WEEKNUM(Table4[[#This Row],[Confirmed Pick-up Date]]),"TBD")</f>
        <v>47</v>
      </c>
      <c r="H463" s="20" t="str">
        <f>IFERROR(TEXT(Table4[[#This Row],[Confirmed Pick-up Date]],"yy-mm"),"TBD")</f>
        <v>25-11</v>
      </c>
      <c r="I463" s="13" t="s">
        <v>13</v>
      </c>
      <c r="J463" s="20" t="str">
        <f>IFERROR(VLOOKUP(Table4[[#This Row],[FromSite-UPS]],Table1[[#All],[Company or Name]:[FromSite3]],15,FALSE),"")</f>
        <v>Berlin (Schoenefeld) WWTP</v>
      </c>
      <c r="K463" s="20" t="str">
        <f>IFERROR(VLOOKUP(Table4[[#This Row],[FromSite-UPS]],Table1[[#All],[Company or Name]:[FromSite3]],16,FALSE),"")</f>
        <v>Berlin Airport</v>
      </c>
      <c r="L463" s="20">
        <f>IFERROR(VLOOKUP(Table4[[#This Row],[FromSite-UPS]],Table1[[#All],[Company or Name]:[FromSite3]],14,FALSE),"")</f>
        <v>0.58333333333333337</v>
      </c>
      <c r="M463" s="13" t="s">
        <v>1283</v>
      </c>
      <c r="N463" s="20"/>
      <c r="O463" s="20"/>
      <c r="P463" s="20"/>
      <c r="Q463" s="20"/>
      <c r="R463" s="20"/>
      <c r="S463" s="20" t="s">
        <v>126</v>
      </c>
      <c r="T463" s="20"/>
      <c r="U463" s="20"/>
      <c r="V463" s="20"/>
      <c r="W463" s="20" t="str">
        <f>TEXT(Table4[[#This Row],[Confirmed Sampling Date]], "yyyy") &amp; "_" &amp; TEXT(Table4[[#This Row],[Confirmed Sampling Date]], "mm") &amp; "_" &amp; TEXT(Table4[[#This Row],[Confirmed Sampling Date]], "dd")</f>
        <v>2025_11_16</v>
      </c>
      <c r="X463" s="20" t="str">
        <f t="shared" si="7"/>
        <v>Berlin</v>
      </c>
      <c r="Y463" s="20" t="str">
        <f>VLOOKUP(Table4[[#This Row],[FromSite-UPS]],Table1[[Company or Name]:[NOTES]],2,FALSE)</f>
        <v>Germany</v>
      </c>
      <c r="Z463" s="20">
        <f>IFERROR(WEEKNUM(Table4[[#This Row],[Confirmed Sampling Date]] - 10, 21), "TBD")</f>
        <v>45</v>
      </c>
      <c r="AA463" s="20" t="str">
        <f>_xlfn.XLOOKUP(Table4[[#This Row],[FromSite-UPS]],sites!D:D,sites!W:W,"",0)</f>
        <v>Strasse am Klarwerk 4, Klarwerk Wassmannsdorf, Schoenefeld, 12529, Germany</v>
      </c>
      <c r="AB463" s="20" t="str">
        <f>_xlfn.XLOOKUP(Table4[[#This Row],[ToLab]],labs!D:D,labs!P:P,"no adres",0)</f>
        <v>C. del Dracma 16-18, Labaqua SAU - Sede Alicante, Alicante, 03114 , Spain</v>
      </c>
      <c r="AC463" s="20">
        <f>_xlfn.XLOOKUP(Table4[[#This Row],[combi]],AREA!E:E,AREA!F:F,"",0)</f>
        <v>89</v>
      </c>
      <c r="AD463" s="20" t="str">
        <f>_xlfn.XLOOKUP(Table4[[#This Row],[combi]],AREA!E:E,AREA!G:G,"",0)</f>
        <v>Pick-up service of hypothetic package as defined in the Tech. Specs. and delivery to lots
2 and 3 contractors according to Scenario 1</v>
      </c>
      <c r="AE463" s="20" t="s">
        <v>126</v>
      </c>
      <c r="AF463" s="20" t="str">
        <f>_xlfn.XLOOKUP(Table4[[#This Row],[FromSite-UPS]],sites!D:D,sites!AB:AB,"",0)&amp;_xlfn.XLOOKUP(Table4[[#This Row],[ToLab]],labs!D:D,labs!Q:Q,"",0)</f>
        <v>EUEU</v>
      </c>
    </row>
    <row r="464" spans="2:32" ht="15.6" hidden="1" customHeight="1" x14ac:dyDescent="0.25">
      <c r="B464" s="13">
        <v>560</v>
      </c>
      <c r="C464" s="14" t="s">
        <v>53</v>
      </c>
      <c r="D464" s="13">
        <v>1</v>
      </c>
      <c r="E464" s="83">
        <v>45977</v>
      </c>
      <c r="F464" s="83">
        <v>45978</v>
      </c>
      <c r="G464" s="20">
        <v>47</v>
      </c>
      <c r="H464" s="20" t="s">
        <v>1288</v>
      </c>
      <c r="I464" s="13" t="s">
        <v>13</v>
      </c>
      <c r="J464" s="20" t="s">
        <v>363</v>
      </c>
      <c r="K464" s="20" t="s">
        <v>58</v>
      </c>
      <c r="L464" s="13" t="s">
        <v>1283</v>
      </c>
      <c r="M464" s="13" t="s">
        <v>1283</v>
      </c>
      <c r="N464" s="20"/>
      <c r="O464" s="20"/>
      <c r="P464" s="20"/>
      <c r="Q464" s="20"/>
      <c r="R464" s="20"/>
      <c r="S464" s="20" t="s">
        <v>126</v>
      </c>
      <c r="T464" s="20"/>
      <c r="U464" s="20"/>
      <c r="V464" s="20"/>
      <c r="W464" s="20" t="str">
        <f>TEXT(Table4[[#This Row],[Confirmed Sampling Date]], "yyyy") &amp; "_" &amp; TEXT(Table4[[#This Row],[Confirmed Sampling Date]], "mm") &amp; "_" &amp; TEXT(Table4[[#This Row],[Confirmed Sampling Date]], "dd")</f>
        <v>2025_11_16</v>
      </c>
      <c r="X464" s="20" t="str">
        <f t="shared" si="7"/>
        <v>Berlin</v>
      </c>
      <c r="Y464" s="20" t="str">
        <f>VLOOKUP(Table4[[#This Row],[FromSite-UPS]],Table1[[Company or Name]:[NOTES]],2,FALSE)</f>
        <v>Germany</v>
      </c>
      <c r="Z464" s="20">
        <f>IFERROR(WEEKNUM(Table4[[#This Row],[Confirmed Sampling Date]] - 10, 21), "TBD")</f>
        <v>45</v>
      </c>
      <c r="AA464" s="20" t="str">
        <f>_xlfn.XLOOKUP(Table4[[#This Row],[FromSite-UPS]],sites!D:D,sites!W:W,"",0)</f>
        <v>Strasse am Klarwerk 4, Klarwerk Wassmannsdorf, Schoenefeld, 12529, Germany</v>
      </c>
      <c r="AB464" s="20" t="str">
        <f>_xlfn.XLOOKUP(Table4[[#This Row],[ToLab]],labs!D:D,labs!P:P,"no adres",0)</f>
        <v>C. del Dracma 16-18, Labaqua SAU - Sede Alicante, Alicante, 03114 , Spain</v>
      </c>
      <c r="AC464" s="20">
        <f>_xlfn.XLOOKUP(Table4[[#This Row],[combi]],AREA!E:E,AREA!F:F,"",0)</f>
        <v>89</v>
      </c>
      <c r="AD464" s="20" t="str">
        <f>_xlfn.XLOOKUP(Table4[[#This Row],[combi]],AREA!E:E,AREA!G:G,"",0)</f>
        <v>Pick-up service of hypothetic package as defined in the Tech. Specs. and delivery to lots
2 and 3 contractors according to Scenario 1</v>
      </c>
      <c r="AE464" s="20" t="s">
        <v>126</v>
      </c>
      <c r="AF464" s="20" t="str">
        <f>_xlfn.XLOOKUP(Table4[[#This Row],[FromSite-UPS]],sites!D:D,sites!AB:AB,"",0)&amp;_xlfn.XLOOKUP(Table4[[#This Row],[ToLab]],labs!D:D,labs!Q:Q,"",0)</f>
        <v>EUEU</v>
      </c>
    </row>
    <row r="465" spans="2:32" ht="15.6" hidden="1" customHeight="1" x14ac:dyDescent="0.25">
      <c r="B465" s="13">
        <v>59</v>
      </c>
      <c r="C465" s="14" t="s">
        <v>53</v>
      </c>
      <c r="D465" s="13">
        <v>1</v>
      </c>
      <c r="E465" s="79">
        <v>45978</v>
      </c>
      <c r="F465" s="80">
        <v>45979</v>
      </c>
      <c r="G465" s="20">
        <f>IFERROR(WEEKNUM(Table4[[#This Row],[Confirmed Pick-up Date]]),"TBD")</f>
        <v>47</v>
      </c>
      <c r="H465" s="20" t="str">
        <f>IFERROR(TEXT(Table4[[#This Row],[Confirmed Pick-up Date]],"yy-mm"),"TBD")</f>
        <v>25-11</v>
      </c>
      <c r="I465" s="13" t="s">
        <v>364</v>
      </c>
      <c r="J465" s="20" t="str">
        <f>IFERROR(VLOOKUP(Table4[[#This Row],[FromSite-UPS]],Table1[[#All],[Company or Name]:[FromSite3]],15,FALSE),"")</f>
        <v>Brussels WWTP</v>
      </c>
      <c r="K465" s="20" t="str">
        <f>IFERROR(VLOOKUP(Table4[[#This Row],[FromSite-UPS]],Table1[[#All],[Company or Name]:[FromSite3]],16,FALSE),"")</f>
        <v>Brussels Airport</v>
      </c>
      <c r="L465" s="20">
        <f>IFERROR(VLOOKUP(Table4[[#This Row],[FromSite-UPS]],Table1[[#All],[Company or Name]:[FromSite3]],14,FALSE),"")</f>
        <v>0.70833333333333337</v>
      </c>
      <c r="M465" s="13" t="s">
        <v>1011</v>
      </c>
      <c r="N465" s="20"/>
      <c r="O465" s="13"/>
      <c r="P465" s="13"/>
      <c r="Q465" s="20"/>
      <c r="R465" s="20"/>
      <c r="S465" s="20" t="s">
        <v>126</v>
      </c>
      <c r="T465" s="20"/>
      <c r="U465" s="20"/>
      <c r="V465" s="20"/>
      <c r="W465" s="20" t="str">
        <f>TEXT(Table4[[#This Row],[Confirmed Sampling Date]], "yyyy") &amp; "_" &amp; TEXT(Table4[[#This Row],[Confirmed Sampling Date]], "mm") &amp; "_" &amp; TEXT(Table4[[#This Row],[Confirmed Sampling Date]], "dd")</f>
        <v>2025_11_17</v>
      </c>
      <c r="X465" s="20" t="str">
        <f t="shared" si="7"/>
        <v>Brussels</v>
      </c>
      <c r="Y465" s="20" t="str">
        <f>VLOOKUP(Table4[[#This Row],[FromSite-UPS]],Table1[[Company or Name]:[NOTES]],2,FALSE)</f>
        <v>Belgium</v>
      </c>
      <c r="Z465" s="20">
        <f>IFERROR(WEEKNUM(Table4[[#This Row],[Confirmed Sampling Date]] - 10, 21), "TBD")</f>
        <v>45</v>
      </c>
      <c r="AA465" s="20" t="str">
        <f>_xlfn.XLOOKUP(Table4[[#This Row],[FromSite-UPS]],sites!D:D,sites!W:W,"",0)</f>
        <v>Rue Juliette Wytsmanstraat 14, Brussels, 1050, Belgium</v>
      </c>
      <c r="AB465" s="20" t="str">
        <f>_xlfn.XLOOKUP(Table4[[#This Row],[ToLab]],labs!D:D,labs!P:P,"no adres",0)</f>
        <v>Av. Rovisco Pais 1, Laboratorio de Analises de Agua, Lisbon, 1049-001, Portugal</v>
      </c>
      <c r="AC465" s="20">
        <f>_xlfn.XLOOKUP(Table4[[#This Row],[combi]],AREA!E:E,AREA!F:F,"",0)</f>
        <v>89</v>
      </c>
      <c r="AD465" s="20" t="str">
        <f>_xlfn.XLOOKUP(Table4[[#This Row],[combi]],AREA!E:E,AREA!G:G,"",0)</f>
        <v>Pick-up service of hypothetic package as defined in the Tech. Specs. and delivery to lots
2 and 3 contractors according to Scenario 1</v>
      </c>
      <c r="AE465" s="20" t="s">
        <v>126</v>
      </c>
      <c r="AF465" s="20" t="str">
        <f>_xlfn.XLOOKUP(Table4[[#This Row],[FromSite-UPS]],sites!D:D,sites!AB:AB,"",0)&amp;_xlfn.XLOOKUP(Table4[[#This Row],[ToLab]],labs!D:D,labs!Q:Q,"",0)</f>
        <v>EUEU</v>
      </c>
    </row>
    <row r="466" spans="2:32" ht="15.6" hidden="1" customHeight="1" x14ac:dyDescent="0.25">
      <c r="B466" s="13">
        <v>122</v>
      </c>
      <c r="C466" s="14" t="s">
        <v>53</v>
      </c>
      <c r="D466" s="13">
        <v>1</v>
      </c>
      <c r="E466" s="79">
        <v>45978</v>
      </c>
      <c r="F466" s="80">
        <v>45979</v>
      </c>
      <c r="G466" s="20">
        <f>IFERROR(WEEKNUM(Table4[[#This Row],[Confirmed Pick-up Date]]),"TBD")</f>
        <v>47</v>
      </c>
      <c r="H466" s="20" t="str">
        <f>IFERROR(TEXT(Table4[[#This Row],[Confirmed Pick-up Date]],"yy-mm"),"TBD")</f>
        <v>25-11</v>
      </c>
      <c r="I466" s="13" t="s">
        <v>364</v>
      </c>
      <c r="J466" s="20" t="str">
        <f>IFERROR(VLOOKUP(Table4[[#This Row],[FromSite-UPS]],Table1[[#All],[Company or Name]:[FromSite3]],15,FALSE),"")</f>
        <v>Brussels WWTP</v>
      </c>
      <c r="K466" s="20" t="str">
        <f>IFERROR(VLOOKUP(Table4[[#This Row],[FromSite-UPS]],Table1[[#All],[Company or Name]:[FromSite3]],16,FALSE),"")</f>
        <v>Brussels Airport</v>
      </c>
      <c r="L466" s="20">
        <f>IFERROR(VLOOKUP(Table4[[#This Row],[FromSite-UPS]],Table1[[#All],[Company or Name]:[FromSite3]],14,FALSE),"")</f>
        <v>0.70833333333333337</v>
      </c>
      <c r="M466" s="13" t="s">
        <v>1011</v>
      </c>
      <c r="N466" s="20"/>
      <c r="O466" s="13"/>
      <c r="P466" s="13"/>
      <c r="Q466" s="20"/>
      <c r="R466" s="20"/>
      <c r="S466" s="20" t="s">
        <v>126</v>
      </c>
      <c r="T466" s="20"/>
      <c r="U466" s="20"/>
      <c r="V466" s="20"/>
      <c r="W466" s="20" t="str">
        <f>TEXT(Table4[[#This Row],[Confirmed Sampling Date]], "yyyy") &amp; "_" &amp; TEXT(Table4[[#This Row],[Confirmed Sampling Date]], "mm") &amp; "_" &amp; TEXT(Table4[[#This Row],[Confirmed Sampling Date]], "dd")</f>
        <v>2025_11_17</v>
      </c>
      <c r="X466" s="20" t="str">
        <f t="shared" si="7"/>
        <v>Brussels</v>
      </c>
      <c r="Y466" s="20" t="str">
        <f>VLOOKUP(Table4[[#This Row],[FromSite-UPS]],Table1[[Company or Name]:[NOTES]],2,FALSE)</f>
        <v>Belgium</v>
      </c>
      <c r="Z466" s="20">
        <f>IFERROR(WEEKNUM(Table4[[#This Row],[Confirmed Sampling Date]] - 10, 21), "TBD")</f>
        <v>45</v>
      </c>
      <c r="AA466" s="20" t="str">
        <f>_xlfn.XLOOKUP(Table4[[#This Row],[FromSite-UPS]],sites!D:D,sites!W:W,"",0)</f>
        <v>Rue Juliette Wytsmanstraat 14, Brussels, 1050, Belgium</v>
      </c>
      <c r="AB466" s="20" t="str">
        <f>_xlfn.XLOOKUP(Table4[[#This Row],[ToLab]],labs!D:D,labs!P:P,"no adres",0)</f>
        <v>Av. Rovisco Pais 1, Laboratorio de Analises de Agua, Lisbon, 1049-001, Portugal</v>
      </c>
      <c r="AC466" s="20">
        <f>_xlfn.XLOOKUP(Table4[[#This Row],[combi]],AREA!E:E,AREA!F:F,"",0)</f>
        <v>89</v>
      </c>
      <c r="AD466" s="20" t="str">
        <f>_xlfn.XLOOKUP(Table4[[#This Row],[combi]],AREA!E:E,AREA!G:G,"",0)</f>
        <v>Pick-up service of hypothetic package as defined in the Tech. Specs. and delivery to lots
2 and 3 contractors according to Scenario 1</v>
      </c>
      <c r="AE466" s="20" t="s">
        <v>126</v>
      </c>
      <c r="AF466" s="20" t="str">
        <f>_xlfn.XLOOKUP(Table4[[#This Row],[FromSite-UPS]],sites!D:D,sites!AB:AB,"",0)&amp;_xlfn.XLOOKUP(Table4[[#This Row],[ToLab]],labs!D:D,labs!Q:Q,"",0)</f>
        <v>EUEU</v>
      </c>
    </row>
    <row r="467" spans="2:32" ht="15.6" hidden="1" customHeight="1" x14ac:dyDescent="0.25">
      <c r="B467" s="13">
        <v>248</v>
      </c>
      <c r="C467" s="14" t="s">
        <v>53</v>
      </c>
      <c r="D467" s="13">
        <v>1</v>
      </c>
      <c r="E467" s="79">
        <v>45979</v>
      </c>
      <c r="F467" s="80">
        <v>45979</v>
      </c>
      <c r="G467" s="20">
        <f>IFERROR(WEEKNUM(Table4[[#This Row],[Confirmed Pick-up Date]]),"TBD")</f>
        <v>47</v>
      </c>
      <c r="H467" s="20" t="str">
        <f>IFERROR(TEXT(Table4[[#This Row],[Confirmed Pick-up Date]],"yy-mm"),"TBD")</f>
        <v>25-11</v>
      </c>
      <c r="I467" s="64" t="s">
        <v>863</v>
      </c>
      <c r="J467" s="20" t="str">
        <f>IFERROR(VLOOKUP(Table4[[#This Row],[FromSite-UPS]],Table1[[#All],[Company or Name]:[FromSite3]],15,FALSE),"")</f>
        <v>Dusseldorf WWTP 2101</v>
      </c>
      <c r="K467" s="20" t="str">
        <f>IFERROR(VLOOKUP(Table4[[#This Row],[FromSite-UPS]],Table1[[#All],[Company or Name]:[FromSite3]],16,FALSE),"")</f>
        <v>Dusseldorf WWTP 601</v>
      </c>
      <c r="L467" s="20">
        <f>IFERROR(VLOOKUP(Table4[[#This Row],[FromSite-UPS]],Table1[[#All],[Company or Name]:[FromSite3]],14,FALSE),"")</f>
        <v>0.625</v>
      </c>
      <c r="M467" s="43" t="s">
        <v>1011</v>
      </c>
      <c r="N467" s="20"/>
      <c r="O467" s="20"/>
      <c r="P467" s="20"/>
      <c r="Q467" s="20"/>
      <c r="R467" s="20"/>
      <c r="S467" s="20" t="s">
        <v>126</v>
      </c>
      <c r="T467" s="20"/>
      <c r="U467" s="20"/>
      <c r="V467" s="20"/>
      <c r="W467" s="20" t="str">
        <f>TEXT(Table4[[#This Row],[Confirmed Sampling Date]], "yyyy") &amp; "_" &amp; TEXT(Table4[[#This Row],[Confirmed Sampling Date]], "mm") &amp; "_" &amp; TEXT(Table4[[#This Row],[Confirmed Sampling Date]], "dd")</f>
        <v>2025_11_18</v>
      </c>
      <c r="X467" s="20" t="str">
        <f t="shared" si="7"/>
        <v>Dusseldorf</v>
      </c>
      <c r="Y467" s="20" t="str">
        <f>VLOOKUP(Table4[[#This Row],[FromSite-UPS]],Table1[[Company or Name]:[NOTES]],2,FALSE)</f>
        <v>Germany</v>
      </c>
      <c r="Z467" s="20">
        <f>IFERROR(WEEKNUM(Table4[[#This Row],[Confirmed Sampling Date]] - 10, 21), "TBD")</f>
        <v>45</v>
      </c>
      <c r="AA467" s="20" t="str">
        <f>_xlfn.XLOOKUP(Table4[[#This Row],[FromSite-UPS]],sites!D:D,sites!W:W,"",0)</f>
        <v>Auf dem Draap 15, Chemisch-Biologische Laboratorien, Dusseldorf, 40221, Germany</v>
      </c>
      <c r="AB467" s="20" t="str">
        <f>_xlfn.XLOOKUP(Table4[[#This Row],[ToLab]],labs!D:D,labs!P:P,"no adres",0)</f>
        <v>Av. Rovisco Pais 1, Laboratorio de Analises de Agua, Lisbon, 1049-001, Portugal</v>
      </c>
      <c r="AC467" s="20">
        <f>_xlfn.XLOOKUP(Table4[[#This Row],[combi]],AREA!E:E,AREA!F:F,"",0)</f>
        <v>89</v>
      </c>
      <c r="AD467" s="20" t="str">
        <f>_xlfn.XLOOKUP(Table4[[#This Row],[combi]],AREA!E:E,AREA!G:G,"",0)</f>
        <v>Pick-up service of hypothetic package as defined in the Tech. Specs. and delivery to lots
2 and 3 contractors according to Scenario 1</v>
      </c>
      <c r="AE467" s="20" t="s">
        <v>126</v>
      </c>
      <c r="AF467" s="20" t="str">
        <f>_xlfn.XLOOKUP(Table4[[#This Row],[FromSite-UPS]],sites!D:D,sites!AB:AB,"",0)&amp;_xlfn.XLOOKUP(Table4[[#This Row],[ToLab]],labs!D:D,labs!Q:Q,"",0)</f>
        <v>EUEU</v>
      </c>
    </row>
    <row r="468" spans="2:32" ht="15.6" hidden="1" customHeight="1" x14ac:dyDescent="0.25">
      <c r="B468" s="13">
        <v>260</v>
      </c>
      <c r="C468" s="14" t="s">
        <v>53</v>
      </c>
      <c r="D468" s="13">
        <v>1</v>
      </c>
      <c r="E468" s="79">
        <v>45979</v>
      </c>
      <c r="F468" s="81">
        <v>45979</v>
      </c>
      <c r="G468" s="20">
        <f>IFERROR(WEEKNUM(Table4[[#This Row],[Confirmed Pick-up Date]]),"TBD")</f>
        <v>47</v>
      </c>
      <c r="H468" s="20" t="str">
        <f>IFERROR(TEXT(Table4[[#This Row],[Confirmed Pick-up Date]],"yy-mm"),"TBD")</f>
        <v>25-11</v>
      </c>
      <c r="I468" s="67" t="s">
        <v>863</v>
      </c>
      <c r="J468" s="20" t="str">
        <f>IFERROR(VLOOKUP(Table4[[#This Row],[FromSite-UPS]],Table1[[#All],[Company or Name]:[FromSite3]],15,FALSE),"")</f>
        <v>Dusseldorf WWTP 2101</v>
      </c>
      <c r="K468" s="20" t="str">
        <f>IFERROR(VLOOKUP(Table4[[#This Row],[FromSite-UPS]],Table1[[#All],[Company or Name]:[FromSite3]],16,FALSE),"")</f>
        <v>Dusseldorf WWTP 601</v>
      </c>
      <c r="L468" s="20">
        <f>IFERROR(VLOOKUP(Table4[[#This Row],[FromSite-UPS]],Table1[[#All],[Company or Name]:[FromSite3]],14,FALSE),"")</f>
        <v>0.625</v>
      </c>
      <c r="M468" s="13" t="s">
        <v>1011</v>
      </c>
      <c r="N468" s="20"/>
      <c r="O468" s="20"/>
      <c r="P468" s="20"/>
      <c r="Q468" s="65"/>
      <c r="R468" s="20"/>
      <c r="S468" s="20" t="s">
        <v>126</v>
      </c>
      <c r="T468" s="20"/>
      <c r="U468" s="20"/>
      <c r="V468" s="20"/>
      <c r="W468" s="20" t="str">
        <f>TEXT(Table4[[#This Row],[Confirmed Sampling Date]], "yyyy") &amp; "_" &amp; TEXT(Table4[[#This Row],[Confirmed Sampling Date]], "mm") &amp; "_" &amp; TEXT(Table4[[#This Row],[Confirmed Sampling Date]], "dd")</f>
        <v>2025_11_18</v>
      </c>
      <c r="X468" s="20" t="str">
        <f t="shared" si="7"/>
        <v>Dusseldorf</v>
      </c>
      <c r="Y468" s="20" t="str">
        <f>VLOOKUP(Table4[[#This Row],[FromSite-UPS]],Table1[[Company or Name]:[NOTES]],2,FALSE)</f>
        <v>Germany</v>
      </c>
      <c r="Z468" s="20">
        <f>IFERROR(WEEKNUM(Table4[[#This Row],[Confirmed Sampling Date]] - 10, 21), "TBD")</f>
        <v>45</v>
      </c>
      <c r="AA468" s="20" t="str">
        <f>_xlfn.XLOOKUP(Table4[[#This Row],[FromSite-UPS]],sites!D:D,sites!W:W,"",0)</f>
        <v>Auf dem Draap 15, Chemisch-Biologische Laboratorien, Dusseldorf, 40221, Germany</v>
      </c>
      <c r="AB468" s="20" t="str">
        <f>_xlfn.XLOOKUP(Table4[[#This Row],[ToLab]],labs!D:D,labs!P:P,"no adres",0)</f>
        <v>Av. Rovisco Pais 1, Laboratorio de Analises de Agua, Lisbon, 1049-001, Portugal</v>
      </c>
      <c r="AC468" s="20">
        <f>_xlfn.XLOOKUP(Table4[[#This Row],[combi]],AREA!E:E,AREA!F:F,"",0)</f>
        <v>89</v>
      </c>
      <c r="AD468" s="20" t="str">
        <f>_xlfn.XLOOKUP(Table4[[#This Row],[combi]],AREA!E:E,AREA!G:G,"",0)</f>
        <v>Pick-up service of hypothetic package as defined in the Tech. Specs. and delivery to lots
2 and 3 contractors according to Scenario 1</v>
      </c>
      <c r="AE468" s="20" t="s">
        <v>126</v>
      </c>
      <c r="AF468" s="20" t="str">
        <f>_xlfn.XLOOKUP(Table4[[#This Row],[FromSite-UPS]],sites!D:D,sites!AB:AB,"",0)&amp;_xlfn.XLOOKUP(Table4[[#This Row],[ToLab]],labs!D:D,labs!Q:Q,"",0)</f>
        <v>EUEU</v>
      </c>
    </row>
    <row r="469" spans="2:32" ht="15.6" hidden="1" customHeight="1" x14ac:dyDescent="0.25">
      <c r="B469" s="13">
        <v>517</v>
      </c>
      <c r="C469" s="14" t="s">
        <v>53</v>
      </c>
      <c r="D469" s="13">
        <v>1</v>
      </c>
      <c r="E469" s="79">
        <v>45979</v>
      </c>
      <c r="F469" s="80">
        <v>45979</v>
      </c>
      <c r="G469" s="20">
        <f>IFERROR(WEEKNUM(Table4[[#This Row],[Confirmed Pick-up Date]]),"TBD")</f>
        <v>47</v>
      </c>
      <c r="H469" s="20" t="str">
        <f>IFERROR(TEXT(Table4[[#This Row],[Confirmed Pick-up Date]],"yy-mm"),"TBD")</f>
        <v>25-11</v>
      </c>
      <c r="I469" s="78" t="s">
        <v>1125</v>
      </c>
      <c r="J469" s="20" t="str">
        <f>IFERROR(VLOOKUP(Table4[[#This Row],[FromSite-UPS]],Table1[[#All],[Company or Name]:[FromSite3]],15,FALSE),"")</f>
        <v>Cluj-SCBI</v>
      </c>
      <c r="K469" s="20" t="str">
        <f>IFERROR(VLOOKUP(Table4[[#This Row],[FromSite-UPS]],Table1[[#All],[Company or Name]:[FromSite3]],16,FALSE),"")</f>
        <v>-</v>
      </c>
      <c r="L469" s="20">
        <f>IFERROR(VLOOKUP(Table4[[#This Row],[FromSite-UPS]],Table1[[#All],[Company or Name]:[FromSite3]],14,FALSE),"")</f>
        <v>0.66666666666666663</v>
      </c>
      <c r="M469" s="13" t="s">
        <v>1011</v>
      </c>
      <c r="N469" s="20"/>
      <c r="O469" s="20"/>
      <c r="P469" s="20"/>
      <c r="Q469" s="20"/>
      <c r="R469" s="20"/>
      <c r="S469" s="20" t="s">
        <v>126</v>
      </c>
      <c r="T469" s="20"/>
      <c r="U469" s="20"/>
      <c r="V469" s="20"/>
      <c r="W469" s="20" t="str">
        <f>TEXT(Table4[[#This Row],[Confirmed Sampling Date]], "yyyy") &amp; "_" &amp; TEXT(Table4[[#This Row],[Confirmed Sampling Date]], "mm") &amp; "_" &amp; TEXT(Table4[[#This Row],[Confirmed Sampling Date]], "dd")</f>
        <v>2025_11_18</v>
      </c>
      <c r="X469" s="20" t="str">
        <f t="shared" si="7"/>
        <v>Cluj-SCBI</v>
      </c>
      <c r="Y469" s="20" t="str">
        <f>VLOOKUP(Table4[[#This Row],[FromSite-UPS]],Table1[[Company or Name]:[NOTES]],2,FALSE)</f>
        <v>Romania</v>
      </c>
      <c r="Z469" s="20">
        <f>IFERROR(WEEKNUM(Table4[[#This Row],[Confirmed Sampling Date]] - 10, 21), "TBD")</f>
        <v>45</v>
      </c>
      <c r="AA469" s="20" t="str">
        <f>_xlfn.XLOOKUP(Table4[[#This Row],[FromSite-UPS]],sites!D:D,sites!W:W,"",0)</f>
        <v>Strada Iuliu Moldovan 23, Cluj-Napoca, 400003, Romania</v>
      </c>
      <c r="AB469" s="20" t="str">
        <f>_xlfn.XLOOKUP(Table4[[#This Row],[ToLab]],labs!D:D,labs!P:P,"no adres",0)</f>
        <v>Av. Rovisco Pais 1, Laboratorio de Analises de Agua, Lisbon, 1049-001, Portugal</v>
      </c>
      <c r="AC469" s="20" t="str">
        <f>_xlfn.XLOOKUP(Table4[[#This Row],[combi]],AREA!E:E,AREA!F:F,"",0)</f>
        <v/>
      </c>
      <c r="AD469" s="20" t="str">
        <f>_xlfn.XLOOKUP(Table4[[#This Row],[combi]],AREA!E:E,AREA!G:G,"",0)</f>
        <v/>
      </c>
      <c r="AE469" s="20" t="s">
        <v>126</v>
      </c>
      <c r="AF469" s="20" t="s">
        <v>126</v>
      </c>
    </row>
    <row r="470" spans="2:32" ht="15.6" hidden="1" customHeight="1" x14ac:dyDescent="0.25">
      <c r="B470" s="13">
        <v>526</v>
      </c>
      <c r="C470" s="14" t="s">
        <v>53</v>
      </c>
      <c r="D470" s="13">
        <v>1</v>
      </c>
      <c r="E470" s="79">
        <v>45979</v>
      </c>
      <c r="F470" s="80">
        <v>45979</v>
      </c>
      <c r="G470" s="20">
        <f>IFERROR(WEEKNUM(Table4[[#This Row],[Confirmed Pick-up Date]]),"TBD")</f>
        <v>47</v>
      </c>
      <c r="H470" s="20" t="str">
        <f>IFERROR(TEXT(Table4[[#This Row],[Confirmed Pick-up Date]],"yy-mm"),"TBD")</f>
        <v>25-11</v>
      </c>
      <c r="I470" s="78" t="s">
        <v>1132</v>
      </c>
      <c r="J470" s="20" t="str">
        <f>IFERROR(VLOOKUP(Table4[[#This Row],[FromSite-UPS]],Table1[[#All],[Company or Name]:[FromSite3]],15,FALSE),"")</f>
        <v>Cluj-MNC</v>
      </c>
      <c r="K470" s="20" t="str">
        <f>IFERROR(VLOOKUP(Table4[[#This Row],[FromSite-UPS]],Table1[[#All],[Company or Name]:[FromSite3]],16,FALSE),"")</f>
        <v>-</v>
      </c>
      <c r="L470" s="20">
        <f>IFERROR(VLOOKUP(Table4[[#This Row],[FromSite-UPS]],Table1[[#All],[Company or Name]:[FromSite3]],14,FALSE),"")</f>
        <v>0.66666666666666663</v>
      </c>
      <c r="M470" s="13" t="s">
        <v>1011</v>
      </c>
      <c r="N470" s="20"/>
      <c r="O470" s="20"/>
      <c r="P470" s="20"/>
      <c r="Q470" s="20"/>
      <c r="R470" s="20"/>
      <c r="S470" s="20" t="s">
        <v>126</v>
      </c>
      <c r="T470" s="20"/>
      <c r="U470" s="20"/>
      <c r="V470" s="20"/>
      <c r="W470" s="20" t="str">
        <f>TEXT(Table4[[#This Row],[Confirmed Sampling Date]], "yyyy") &amp; "_" &amp; TEXT(Table4[[#This Row],[Confirmed Sampling Date]], "mm") &amp; "_" &amp; TEXT(Table4[[#This Row],[Confirmed Sampling Date]], "dd")</f>
        <v>2025_11_18</v>
      </c>
      <c r="X470" s="20" t="str">
        <f t="shared" si="7"/>
        <v>Cluj-MNC</v>
      </c>
      <c r="Y470" s="20" t="str">
        <f>VLOOKUP(Table4[[#This Row],[FromSite-UPS]],Table1[[Company or Name]:[NOTES]],2,FALSE)</f>
        <v>Romania</v>
      </c>
      <c r="Z470" s="20">
        <f>IFERROR(WEEKNUM(Table4[[#This Row],[Confirmed Sampling Date]] - 10, 21), "TBD")</f>
        <v>45</v>
      </c>
      <c r="AA470" s="20" t="str">
        <f>_xlfn.XLOOKUP(Table4[[#This Row],[FromSite-UPS]],sites!D:D,sites!W:W,"",0)</f>
        <v>Strada Tăbăcarilor 11, Cluj-Napoca, 400139, Romania</v>
      </c>
      <c r="AB470" s="20" t="str">
        <f>_xlfn.XLOOKUP(Table4[[#This Row],[ToLab]],labs!D:D,labs!P:P,"no adres",0)</f>
        <v>Av. Rovisco Pais 1, Laboratorio de Analises de Agua, Lisbon, 1049-001, Portugal</v>
      </c>
      <c r="AC470" s="20">
        <f>_xlfn.XLOOKUP(Table4[[#This Row],[combi]],AREA!E:E,AREA!F:F,"",0)</f>
        <v>89</v>
      </c>
      <c r="AD470" s="20" t="str">
        <f>_xlfn.XLOOKUP(Table4[[#This Row],[combi]],AREA!E:E,AREA!G:G,"",0)</f>
        <v>Pick-up service of hypothetic package as defined in the Tech. Specs. and delivery to lots
2 and 3 contractors according to Scenario 1</v>
      </c>
      <c r="AE470" s="20" t="s">
        <v>126</v>
      </c>
      <c r="AF470" s="20" t="str">
        <f>_xlfn.XLOOKUP(Table4[[#This Row],[FromSite-UPS]],sites!D:D,sites!AB:AB,"",0)&amp;_xlfn.XLOOKUP(Table4[[#This Row],[ToLab]],labs!D:D,labs!Q:Q,"",0)</f>
        <v>EUEU</v>
      </c>
    </row>
    <row r="471" spans="2:32" ht="15.6" hidden="1" customHeight="1" x14ac:dyDescent="0.25">
      <c r="B471" s="13">
        <v>592</v>
      </c>
      <c r="C471" s="14" t="s">
        <v>53</v>
      </c>
      <c r="D471" s="13">
        <v>1</v>
      </c>
      <c r="E471" s="83">
        <v>45978</v>
      </c>
      <c r="F471" s="83">
        <v>45979</v>
      </c>
      <c r="G471" s="20">
        <f>IFERROR(WEEKNUM(Table4[[#This Row],[Confirmed Pick-up Date]]),"TBD")</f>
        <v>47</v>
      </c>
      <c r="H471" s="20" t="str">
        <f>IFERROR(TEXT(Table4[[#This Row],[Confirmed Pick-up Date]],"yy-mm"),"TBD")</f>
        <v>25-11</v>
      </c>
      <c r="I471" s="13" t="s">
        <v>1292</v>
      </c>
      <c r="J471" s="20" t="str">
        <f>IFERROR(VLOOKUP(Table4[[#This Row],[FromSite-UPS]],Table1[[#All],[Company or Name]:[FromSite3]],15,FALSE),"")</f>
        <v>Bologna WWTP</v>
      </c>
      <c r="K471" s="20" t="s">
        <v>127</v>
      </c>
      <c r="L471" s="20">
        <f>IFERROR(VLOOKUP(Table4[[#This Row],[FromSite-UPS]],Table1[[#All],[Company or Name]:[FromSite3]],14,FALSE),"")</f>
        <v>0.66666666666666663</v>
      </c>
      <c r="M471" s="13" t="s">
        <v>1011</v>
      </c>
      <c r="N471" s="20"/>
      <c r="O471" s="20"/>
      <c r="P471" s="20"/>
      <c r="Q471" s="20"/>
      <c r="R471" s="20"/>
      <c r="S471" s="20" t="s">
        <v>126</v>
      </c>
      <c r="T471" s="20"/>
      <c r="U471" s="20"/>
      <c r="V471" s="20"/>
      <c r="W471" s="20" t="str">
        <f>TEXT(Table4[[#This Row],[Confirmed Sampling Date]], "yyyy") &amp; "_" &amp; TEXT(Table4[[#This Row],[Confirmed Sampling Date]], "mm") &amp; "_" &amp; TEXT(Table4[[#This Row],[Confirmed Sampling Date]], "dd")</f>
        <v>2025_11_17</v>
      </c>
      <c r="X471" s="20" t="str">
        <f t="shared" si="7"/>
        <v>Bologna</v>
      </c>
      <c r="Y471" s="20" t="str">
        <f>VLOOKUP(Table4[[#This Row],[FromSite-UPS]],Table1[[Company or Name]:[NOTES]],2,FALSE)</f>
        <v>Italy</v>
      </c>
      <c r="Z471" s="20">
        <f>IFERROR(WEEKNUM(Table4[[#This Row],[Confirmed Sampling Date]] - 10, 21), "TBD")</f>
        <v>45</v>
      </c>
      <c r="AA471" s="20" t="str">
        <f>_xlfn.XLOOKUP(Table4[[#This Row],[FromSite-UPS]],sites!D:D,sites!W:W,"",0)</f>
        <v>VIA SHAKESPEARE 29, Bologna, 40128, Italy</v>
      </c>
      <c r="AB471" s="20" t="str">
        <f>_xlfn.XLOOKUP(Table4[[#This Row],[ToLab]],labs!D:D,labs!P:P,"no adres",0)</f>
        <v>Av. Rovisco Pais 1, Laboratorio de Analises de Agua, Lisbon, 1049-001, Portugal</v>
      </c>
      <c r="AC471" s="20">
        <f>_xlfn.XLOOKUP(Table4[[#This Row],[combi]],AREA!E:E,AREA!F:F,"",0)</f>
        <v>89</v>
      </c>
      <c r="AD471" s="20" t="str">
        <f>_xlfn.XLOOKUP(Table4[[#This Row],[combi]],AREA!E:E,AREA!G:G,"",0)</f>
        <v>Pick-up service of hypothetic package as defined in the Tech. Specs. and delivery to lots
2 and 3 contractors according to Scenario 1</v>
      </c>
      <c r="AE471" s="20" t="s">
        <v>126</v>
      </c>
      <c r="AF471" s="20" t="str">
        <f>_xlfn.XLOOKUP(Table4[[#This Row],[FromSite-UPS]],sites!D:D,sites!AB:AB,"",0)&amp;_xlfn.XLOOKUP(Table4[[#This Row],[ToLab]],labs!D:D,labs!Q:Q,"",0)</f>
        <v>EUEU</v>
      </c>
    </row>
    <row r="472" spans="2:32" ht="15.6" hidden="1" customHeight="1" x14ac:dyDescent="0.25">
      <c r="B472" s="13">
        <v>32</v>
      </c>
      <c r="C472" s="14" t="s">
        <v>53</v>
      </c>
      <c r="D472" s="13">
        <v>1</v>
      </c>
      <c r="E472" s="79">
        <v>45979</v>
      </c>
      <c r="F472" s="80">
        <v>45980</v>
      </c>
      <c r="G472" s="20">
        <f>IFERROR(WEEKNUM(Table4[[#This Row],[Confirmed Pick-up Date]]),"TBD")</f>
        <v>47</v>
      </c>
      <c r="H472" s="20" t="str">
        <f>IFERROR(TEXT(Table4[[#This Row],[Confirmed Pick-up Date]],"yy-mm"),"TBD")</f>
        <v>25-11</v>
      </c>
      <c r="I472" s="13" t="s">
        <v>19</v>
      </c>
      <c r="J472" s="13" t="str">
        <f>IFERROR(VLOOKUP(Table4[[#This Row],[FromSite-UPS]],Table1[[#All],[Company or Name]:[FromSite3]],15,FALSE),"")</f>
        <v>Munich WWTP</v>
      </c>
      <c r="K472" s="20" t="str">
        <f>IFERROR(VLOOKUP(Table4[[#This Row],[FromSite-UPS]],Table1[[#All],[Company or Name]:[FromSite3]],16,FALSE),"")</f>
        <v>Munich Airport</v>
      </c>
      <c r="L472" s="20">
        <f>IFERROR(VLOOKUP(Table4[[#This Row],[FromSite-UPS]],Table1[[#All],[Company or Name]:[FromSite3]],14,FALSE),"")</f>
        <v>0.58333333333333337</v>
      </c>
      <c r="M472" s="13" t="s">
        <v>1011</v>
      </c>
      <c r="N472" s="20"/>
      <c r="O472" s="13"/>
      <c r="P472" s="13"/>
      <c r="Q472" s="20"/>
      <c r="R472" s="20"/>
      <c r="S472" s="20" t="s">
        <v>126</v>
      </c>
      <c r="T472" s="20"/>
      <c r="U472" s="20"/>
      <c r="V472" s="20"/>
      <c r="W472" s="20" t="str">
        <f>TEXT(Table4[[#This Row],[Confirmed Sampling Date]], "yyyy") &amp; "_" &amp; TEXT(Table4[[#This Row],[Confirmed Sampling Date]], "mm") &amp; "_" &amp; TEXT(Table4[[#This Row],[Confirmed Sampling Date]], "dd")</f>
        <v>2025_11_18</v>
      </c>
      <c r="X472" s="20" t="str">
        <f t="shared" si="7"/>
        <v>Munich</v>
      </c>
      <c r="Y472" s="20" t="str">
        <f>VLOOKUP(Table4[[#This Row],[FromSite-UPS]],Table1[[Company or Name]:[NOTES]],2,FALSE)</f>
        <v>Germany</v>
      </c>
      <c r="Z472" s="20">
        <f>IFERROR(WEEKNUM(Table4[[#This Row],[Confirmed Sampling Date]] - 10, 21), "TBD")</f>
        <v>45</v>
      </c>
      <c r="AA472" s="20" t="str">
        <f>_xlfn.XLOOKUP(Table4[[#This Row],[FromSite-UPS]],sites!D:D,sites!W:W,"",0)</f>
        <v>Leopoldstrasse 5, Institut fuer Infektions- und Tropenmedizin, Munich, 80802, Germany</v>
      </c>
      <c r="AB472" s="20" t="str">
        <f>_xlfn.XLOOKUP(Table4[[#This Row],[ToLab]],labs!D:D,labs!P:P,"no adres",0)</f>
        <v>Av. Rovisco Pais 1, Laboratorio de Analises de Agua, Lisbon, 1049-001, Portugal</v>
      </c>
      <c r="AC472" s="20">
        <f>_xlfn.XLOOKUP(Table4[[#This Row],[combi]],AREA!E:E,AREA!F:F,"",0)</f>
        <v>89</v>
      </c>
      <c r="AD472" s="20" t="str">
        <f>_xlfn.XLOOKUP(Table4[[#This Row],[combi]],AREA!E:E,AREA!G:G,"",0)</f>
        <v>Pick-up service of hypothetic package as defined in the Tech. Specs. and delivery to lots
2 and 3 contractors according to Scenario 1</v>
      </c>
      <c r="AE472" s="20" t="s">
        <v>126</v>
      </c>
      <c r="AF472" s="20" t="str">
        <f>_xlfn.XLOOKUP(Table4[[#This Row],[FromSite-UPS]],sites!D:D,sites!AB:AB,"",0)&amp;_xlfn.XLOOKUP(Table4[[#This Row],[ToLab]],labs!D:D,labs!Q:Q,"",0)</f>
        <v>EUEU</v>
      </c>
    </row>
    <row r="473" spans="2:32" ht="15.6" hidden="1" customHeight="1" x14ac:dyDescent="0.25">
      <c r="B473" s="13">
        <v>46</v>
      </c>
      <c r="C473" s="14" t="s">
        <v>53</v>
      </c>
      <c r="D473" s="13">
        <v>1</v>
      </c>
      <c r="E473" s="79">
        <v>45979</v>
      </c>
      <c r="F473" s="80">
        <v>45980</v>
      </c>
      <c r="G473" s="20">
        <f>IFERROR(WEEKNUM(Table4[[#This Row],[Confirmed Pick-up Date]]),"TBD")</f>
        <v>47</v>
      </c>
      <c r="H473" s="20" t="str">
        <f>IFERROR(TEXT(Table4[[#This Row],[Confirmed Pick-up Date]],"yy-mm"),"TBD")</f>
        <v>25-11</v>
      </c>
      <c r="I473" s="64" t="s">
        <v>677</v>
      </c>
      <c r="J473" s="13" t="str">
        <f>IFERROR(VLOOKUP(Table4[[#This Row],[FromSite-UPS]],Table1[[#All],[Company or Name]:[FromSite3]],15,FALSE),"")</f>
        <v>Frankfurt WWTP</v>
      </c>
      <c r="K473" s="20" t="str">
        <f>IFERROR(VLOOKUP(Table4[[#This Row],[FromSite-UPS]],Table1[[#All],[Company or Name]:[FromSite3]],16,FALSE),"")</f>
        <v>Frankfurt Airport</v>
      </c>
      <c r="L473" s="20">
        <f>IFERROR(VLOOKUP(Table4[[#This Row],[FromSite-UPS]],Table1[[#All],[Company or Name]:[FromSite3]],14,FALSE),"")</f>
        <v>0.58333333333333337</v>
      </c>
      <c r="M473" s="13" t="s">
        <v>1011</v>
      </c>
      <c r="N473" s="20"/>
      <c r="O473" s="13"/>
      <c r="P473" s="13"/>
      <c r="Q473" s="20"/>
      <c r="R473" s="20"/>
      <c r="S473" s="20" t="s">
        <v>126</v>
      </c>
      <c r="T473" s="20"/>
      <c r="U473" s="20"/>
      <c r="V473" s="20"/>
      <c r="W473" s="20" t="str">
        <f>TEXT(Table4[[#This Row],[Confirmed Sampling Date]], "yyyy") &amp; "_" &amp; TEXT(Table4[[#This Row],[Confirmed Sampling Date]], "mm") &amp; "_" &amp; TEXT(Table4[[#This Row],[Confirmed Sampling Date]], "dd")</f>
        <v>2025_11_18</v>
      </c>
      <c r="X473" s="20" t="str">
        <f t="shared" si="7"/>
        <v>Frankfurt</v>
      </c>
      <c r="Y473" s="20" t="str">
        <f>VLOOKUP(Table4[[#This Row],[FromSite-UPS]],Table1[[Company or Name]:[NOTES]],2,FALSE)</f>
        <v>Germany</v>
      </c>
      <c r="Z473" s="20">
        <f>IFERROR(WEEKNUM(Table4[[#This Row],[Confirmed Sampling Date]] - 10, 21), "TBD")</f>
        <v>45</v>
      </c>
      <c r="AA473" s="20" t="str">
        <f>_xlfn.XLOOKUP(Table4[[#This Row],[FromSite-UPS]],sites!D:D,sites!W:W,"",0)</f>
        <v>Goldsteinstraße 160, Gebäude 71 , Frankfurt am Main , 60528, Germany</v>
      </c>
      <c r="AB473" s="20" t="str">
        <f>_xlfn.XLOOKUP(Table4[[#This Row],[ToLab]],labs!D:D,labs!P:P,"no adres",0)</f>
        <v>Av. Rovisco Pais 1, Laboratorio de Analises de Agua, Lisbon, 1049-001, Portugal</v>
      </c>
      <c r="AC473" s="20">
        <f>_xlfn.XLOOKUP(Table4[[#This Row],[combi]],AREA!E:E,AREA!F:F,"",0)</f>
        <v>89</v>
      </c>
      <c r="AD473" s="20" t="str">
        <f>_xlfn.XLOOKUP(Table4[[#This Row],[combi]],AREA!E:E,AREA!G:G,"",0)</f>
        <v>Pick-up service of hypothetic package as defined in the Tech. Specs. and delivery to lots
2 and 3 contractors according to Scenario 1</v>
      </c>
      <c r="AE473" s="20" t="s">
        <v>126</v>
      </c>
      <c r="AF473" s="20" t="str">
        <f>_xlfn.XLOOKUP(Table4[[#This Row],[FromSite-UPS]],sites!D:D,sites!AB:AB,"",0)&amp;_xlfn.XLOOKUP(Table4[[#This Row],[ToLab]],labs!D:D,labs!Q:Q,"",0)</f>
        <v>EUEU</v>
      </c>
    </row>
    <row r="474" spans="2:32" ht="15.6" hidden="1" customHeight="1" x14ac:dyDescent="0.25">
      <c r="B474" s="13">
        <v>95</v>
      </c>
      <c r="C474" s="14" t="s">
        <v>53</v>
      </c>
      <c r="D474" s="13">
        <v>1</v>
      </c>
      <c r="E474" s="79">
        <v>45979</v>
      </c>
      <c r="F474" s="80">
        <v>45980</v>
      </c>
      <c r="G474" s="20">
        <f>IFERROR(WEEKNUM(Table4[[#This Row],[Confirmed Pick-up Date]]),"TBD")</f>
        <v>47</v>
      </c>
      <c r="H474" s="20" t="str">
        <f>IFERROR(TEXT(Table4[[#This Row],[Confirmed Pick-up Date]],"yy-mm"),"TBD")</f>
        <v>25-11</v>
      </c>
      <c r="I474" s="13" t="s">
        <v>19</v>
      </c>
      <c r="J474" s="20" t="str">
        <f>IFERROR(VLOOKUP(Table4[[#This Row],[FromSite-UPS]],Table1[[#All],[Company or Name]:[FromSite3]],15,FALSE),"")</f>
        <v>Munich WWTP</v>
      </c>
      <c r="K474" s="20" t="str">
        <f>IFERROR(VLOOKUP(Table4[[#This Row],[FromSite-UPS]],Table1[[#All],[Company or Name]:[FromSite3]],16,FALSE),"")</f>
        <v>Munich Airport</v>
      </c>
      <c r="L474" s="20">
        <f>IFERROR(VLOOKUP(Table4[[#This Row],[FromSite-UPS]],Table1[[#All],[Company or Name]:[FromSite3]],14,FALSE),"")</f>
        <v>0.58333333333333337</v>
      </c>
      <c r="M474" s="13" t="s">
        <v>1011</v>
      </c>
      <c r="N474" s="20"/>
      <c r="O474" s="13"/>
      <c r="P474" s="13"/>
      <c r="Q474" s="20"/>
      <c r="R474" s="20"/>
      <c r="S474" s="20" t="s">
        <v>126</v>
      </c>
      <c r="T474" s="20"/>
      <c r="U474" s="20"/>
      <c r="V474" s="20"/>
      <c r="W474" s="20" t="str">
        <f>TEXT(Table4[[#This Row],[Confirmed Sampling Date]], "yyyy") &amp; "_" &amp; TEXT(Table4[[#This Row],[Confirmed Sampling Date]], "mm") &amp; "_" &amp; TEXT(Table4[[#This Row],[Confirmed Sampling Date]], "dd")</f>
        <v>2025_11_18</v>
      </c>
      <c r="X474" s="20" t="str">
        <f t="shared" si="7"/>
        <v>Munich</v>
      </c>
      <c r="Y474" s="20" t="str">
        <f>VLOOKUP(Table4[[#This Row],[FromSite-UPS]],Table1[[Company or Name]:[NOTES]],2,FALSE)</f>
        <v>Germany</v>
      </c>
      <c r="Z474" s="20">
        <f>IFERROR(WEEKNUM(Table4[[#This Row],[Confirmed Sampling Date]] - 10, 21), "TBD")</f>
        <v>45</v>
      </c>
      <c r="AA474" s="20" t="str">
        <f>_xlfn.XLOOKUP(Table4[[#This Row],[FromSite-UPS]],sites!D:D,sites!W:W,"",0)</f>
        <v>Leopoldstrasse 5, Institut fuer Infektions- und Tropenmedizin, Munich, 80802, Germany</v>
      </c>
      <c r="AB474" s="20" t="str">
        <f>_xlfn.XLOOKUP(Table4[[#This Row],[ToLab]],labs!D:D,labs!P:P,"no adres",0)</f>
        <v>Av. Rovisco Pais 1, Laboratorio de Analises de Agua, Lisbon, 1049-001, Portugal</v>
      </c>
      <c r="AC474" s="20">
        <f>_xlfn.XLOOKUP(Table4[[#This Row],[combi]],AREA!E:E,AREA!F:F,"",0)</f>
        <v>89</v>
      </c>
      <c r="AD474" s="20" t="str">
        <f>_xlfn.XLOOKUP(Table4[[#This Row],[combi]],AREA!E:E,AREA!G:G,"",0)</f>
        <v>Pick-up service of hypothetic package as defined in the Tech. Specs. and delivery to lots
2 and 3 contractors according to Scenario 1</v>
      </c>
      <c r="AE474" s="20" t="s">
        <v>126</v>
      </c>
      <c r="AF474" s="20" t="str">
        <f>_xlfn.XLOOKUP(Table4[[#This Row],[FromSite-UPS]],sites!D:D,sites!AB:AB,"",0)&amp;_xlfn.XLOOKUP(Table4[[#This Row],[ToLab]],labs!D:D,labs!Q:Q,"",0)</f>
        <v>EUEU</v>
      </c>
    </row>
    <row r="475" spans="2:32" ht="15.6" hidden="1" customHeight="1" x14ac:dyDescent="0.25">
      <c r="B475" s="13">
        <v>144</v>
      </c>
      <c r="C475" s="14" t="s">
        <v>53</v>
      </c>
      <c r="D475" s="13">
        <v>1</v>
      </c>
      <c r="E475" s="79">
        <v>45980</v>
      </c>
      <c r="F475" s="80">
        <v>45980</v>
      </c>
      <c r="G475" s="20">
        <f>IFERROR(WEEKNUM(Table4[[#This Row],[Confirmed Pick-up Date]]),"TBD")</f>
        <v>47</v>
      </c>
      <c r="H475" s="20" t="str">
        <f>IFERROR(TEXT(Table4[[#This Row],[Confirmed Pick-up Date]],"yy-mm"),"TBD")</f>
        <v>25-11</v>
      </c>
      <c r="I475" s="64" t="s">
        <v>680</v>
      </c>
      <c r="J475" s="20" t="str">
        <f>IFERROR(VLOOKUP(Table4[[#This Row],[FromSite-UPS]],Table1[[#All],[Company or Name]:[FromSite3]],15,FALSE),"")</f>
        <v>Rome WWTP</v>
      </c>
      <c r="K475" s="20" t="str">
        <f>IFERROR(VLOOKUP(Table4[[#This Row],[FromSite-UPS]],Table1[[#All],[Company or Name]:[FromSite3]],16,FALSE),"")</f>
        <v>-</v>
      </c>
      <c r="L475" s="20">
        <f>IFERROR(VLOOKUP(Table4[[#This Row],[FromSite-UPS]],Table1[[#All],[Company or Name]:[FromSite3]],14,FALSE),"")</f>
        <v>0.70833333333333337</v>
      </c>
      <c r="M475" s="13" t="s">
        <v>1011</v>
      </c>
      <c r="N475" s="20"/>
      <c r="O475" s="13"/>
      <c r="P475" s="13"/>
      <c r="Q475" s="20"/>
      <c r="R475" s="20"/>
      <c r="S475" s="20" t="s">
        <v>126</v>
      </c>
      <c r="T475" s="20"/>
      <c r="U475" s="20"/>
      <c r="V475" s="20"/>
      <c r="W475" s="20" t="str">
        <f>TEXT(Table4[[#This Row],[Confirmed Sampling Date]], "yyyy") &amp; "_" &amp; TEXT(Table4[[#This Row],[Confirmed Sampling Date]], "mm") &amp; "_" &amp; TEXT(Table4[[#This Row],[Confirmed Sampling Date]], "dd")</f>
        <v>2025_11_19</v>
      </c>
      <c r="X475" s="20" t="str">
        <f t="shared" si="7"/>
        <v>Rome</v>
      </c>
      <c r="Y475" s="20" t="str">
        <f>VLOOKUP(Table4[[#This Row],[FromSite-UPS]],Table1[[Company or Name]:[NOTES]],2,FALSE)</f>
        <v>Italy</v>
      </c>
      <c r="Z475" s="20">
        <f>IFERROR(WEEKNUM(Table4[[#This Row],[Confirmed Sampling Date]] - 10, 21), "TBD")</f>
        <v>45</v>
      </c>
      <c r="AA475" s="20" t="str">
        <f>_xlfn.XLOOKUP(Table4[[#This Row],[FromSite-UPS]],sites!D:D,sites!W:W,"",0)</f>
        <v>Via dell'Equitazione 10, Rome, 00144, Italy</v>
      </c>
      <c r="AB475" s="20" t="str">
        <f>_xlfn.XLOOKUP(Table4[[#This Row],[ToLab]],labs!D:D,labs!P:P,"no adres",0)</f>
        <v>Av. Rovisco Pais 1, Laboratorio de Analises de Agua, Lisbon, 1049-001, Portugal</v>
      </c>
      <c r="AC475" s="20">
        <f>_xlfn.XLOOKUP(Table4[[#This Row],[combi]],AREA!E:E,AREA!F:F,"",0)</f>
        <v>89</v>
      </c>
      <c r="AD475" s="20" t="str">
        <f>_xlfn.XLOOKUP(Table4[[#This Row],[combi]],AREA!E:E,AREA!G:G,"",0)</f>
        <v>Pick-up service of hypothetic package as defined in the Tech. Specs. and delivery to lots
2 and 3 contractors according to Scenario 1</v>
      </c>
      <c r="AE475" s="20" t="s">
        <v>126</v>
      </c>
      <c r="AF475" s="20" t="str">
        <f>_xlfn.XLOOKUP(Table4[[#This Row],[FromSite-UPS]],sites!D:D,sites!AB:AB,"",0)&amp;_xlfn.XLOOKUP(Table4[[#This Row],[ToLab]],labs!D:D,labs!Q:Q,"",0)</f>
        <v>EUEU</v>
      </c>
    </row>
    <row r="476" spans="2:32" ht="15.6" hidden="1" customHeight="1" x14ac:dyDescent="0.25">
      <c r="B476" s="13">
        <v>158</v>
      </c>
      <c r="C476" s="14" t="s">
        <v>53</v>
      </c>
      <c r="D476" s="13">
        <v>1</v>
      </c>
      <c r="E476" s="79">
        <v>45980</v>
      </c>
      <c r="F476" s="80">
        <v>45980</v>
      </c>
      <c r="G476" s="20">
        <f>IFERROR(WEEKNUM(Table4[[#This Row],[Confirmed Pick-up Date]]),"TBD")</f>
        <v>47</v>
      </c>
      <c r="H476" s="20" t="str">
        <f>IFERROR(TEXT(Table4[[#This Row],[Confirmed Pick-up Date]],"yy-mm"),"TBD")</f>
        <v>25-11</v>
      </c>
      <c r="I476" s="64" t="s">
        <v>771</v>
      </c>
      <c r="J476" s="20" t="str">
        <f>IFERROR(VLOOKUP(Table4[[#This Row],[FromSite-UPS]],Table1[[#All],[Company or Name]:[FromSite3]],15,FALSE),"")</f>
        <v>RomeAirport</v>
      </c>
      <c r="K476" s="20" t="str">
        <f>IFERROR(VLOOKUP(Table4[[#This Row],[FromSite-UPS]],Table1[[#All],[Company or Name]:[FromSite3]],16,FALSE),"")</f>
        <v>-</v>
      </c>
      <c r="L476" s="20">
        <f>IFERROR(VLOOKUP(Table4[[#This Row],[FromSite-UPS]],Table1[[#All],[Company or Name]:[FromSite3]],14,FALSE),"")</f>
        <v>0.70833333333333337</v>
      </c>
      <c r="M476" s="13" t="s">
        <v>1011</v>
      </c>
      <c r="N476" s="20"/>
      <c r="O476" s="13"/>
      <c r="P476" s="13"/>
      <c r="Q476" s="20"/>
      <c r="R476" s="20"/>
      <c r="S476" s="20" t="s">
        <v>126</v>
      </c>
      <c r="T476" s="20"/>
      <c r="U476" s="20"/>
      <c r="V476" s="20"/>
      <c r="W476" s="20" t="str">
        <f>TEXT(Table4[[#This Row],[Confirmed Sampling Date]], "yyyy") &amp; "_" &amp; TEXT(Table4[[#This Row],[Confirmed Sampling Date]], "mm") &amp; "_" &amp; TEXT(Table4[[#This Row],[Confirmed Sampling Date]], "dd")</f>
        <v>2025_11_19</v>
      </c>
      <c r="X476" s="20" t="str">
        <f t="shared" si="7"/>
        <v>RomeAirport</v>
      </c>
      <c r="Y476" s="20" t="str">
        <f>VLOOKUP(Table4[[#This Row],[FromSite-UPS]],Table1[[Company or Name]:[NOTES]],2,FALSE)</f>
        <v>Italy</v>
      </c>
      <c r="Z476" s="20">
        <f>IFERROR(WEEKNUM(Table4[[#This Row],[Confirmed Sampling Date]] - 10, 21), "TBD")</f>
        <v>45</v>
      </c>
      <c r="AA476" s="20" t="str">
        <f>_xlfn.XLOOKUP(Table4[[#This Row],[FromSite-UPS]],sites!D:D,sites!W:W,"",0)</f>
        <v>VIA FRATELLI WRIGHT (DEPURATORE BIOLOGICO), FIUMICINO, 00054, Italy</v>
      </c>
      <c r="AB476" s="20" t="str">
        <f>_xlfn.XLOOKUP(Table4[[#This Row],[ToLab]],labs!D:D,labs!P:P,"no adres",0)</f>
        <v>Av. Rovisco Pais 1, Laboratorio de Analises de Agua, Lisbon, 1049-001, Portugal</v>
      </c>
      <c r="AC476" s="20">
        <f>_xlfn.XLOOKUP(Table4[[#This Row],[combi]],AREA!E:E,AREA!F:F,"",0)</f>
        <v>89</v>
      </c>
      <c r="AD476" s="20" t="str">
        <f>_xlfn.XLOOKUP(Table4[[#This Row],[combi]],AREA!E:E,AREA!G:G,"",0)</f>
        <v>Pick-up service of hypothetic package as defined in the Tech. Specs. and delivery to lots
2 and 3 contractors according to Scenario 1</v>
      </c>
      <c r="AE476" s="20" t="s">
        <v>126</v>
      </c>
      <c r="AF476" s="20" t="str">
        <f>_xlfn.XLOOKUP(Table4[[#This Row],[FromSite-UPS]],sites!D:D,sites!AB:AB,"",0)&amp;_xlfn.XLOOKUP(Table4[[#This Row],[ToLab]],labs!D:D,labs!Q:Q,"",0)</f>
        <v>EUEU</v>
      </c>
    </row>
    <row r="477" spans="2:32" ht="15.6" hidden="1" customHeight="1" x14ac:dyDescent="0.25">
      <c r="B477" s="13">
        <v>201</v>
      </c>
      <c r="C477" s="14" t="s">
        <v>53</v>
      </c>
      <c r="D477" s="13">
        <v>1</v>
      </c>
      <c r="E477" s="79">
        <v>45979</v>
      </c>
      <c r="F477" s="80">
        <v>45980</v>
      </c>
      <c r="G477" s="20">
        <f>IFERROR(WEEKNUM(Table4[[#This Row],[Confirmed Pick-up Date]]),"TBD")</f>
        <v>47</v>
      </c>
      <c r="H477" s="20" t="str">
        <f>IFERROR(TEXT(Table4[[#This Row],[Confirmed Pick-up Date]],"yy-mm"),"TBD")</f>
        <v>25-11</v>
      </c>
      <c r="I477" s="13" t="s">
        <v>877</v>
      </c>
      <c r="J477" s="20" t="str">
        <f>IFERROR(VLOOKUP(Table4[[#This Row],[FromSite-UPS]],Table1[[#All],[Company or Name]:[FromSite3]],15,FALSE),"")</f>
        <v>Prague National Institute</v>
      </c>
      <c r="K477" s="20" t="str">
        <f>IFERROR(VLOOKUP(Table4[[#This Row],[FromSite-UPS]],Table1[[#All],[Company or Name]:[FromSite3]],16,FALSE),"")</f>
        <v>Prague WWTP FLOW 1</v>
      </c>
      <c r="L477" s="32">
        <f>IFERROR(VLOOKUP(Table4[[#This Row],[FromSite-UPS]],Table1[[#All],[Company or Name]:[FromSite3]],14,FALSE),"")</f>
        <v>0</v>
      </c>
      <c r="M477" s="13" t="s">
        <v>1011</v>
      </c>
      <c r="N477" s="33"/>
      <c r="O477" s="13"/>
      <c r="P477" s="13"/>
      <c r="Q477" s="33"/>
      <c r="R477" s="20"/>
      <c r="S477" s="20" t="s">
        <v>126</v>
      </c>
      <c r="T477" s="20"/>
      <c r="U477" s="20"/>
      <c r="V477" s="33"/>
      <c r="W477" s="20" t="str">
        <f>TEXT(Table4[[#This Row],[Confirmed Sampling Date]], "yyyy") &amp; "_" &amp; TEXT(Table4[[#This Row],[Confirmed Sampling Date]], "mm") &amp; "_" &amp; TEXT(Table4[[#This Row],[Confirmed Sampling Date]], "dd")</f>
        <v>2025_11_18</v>
      </c>
      <c r="X477" s="20" t="str">
        <f t="shared" si="7"/>
        <v>Prague</v>
      </c>
      <c r="Y477" s="20" t="str">
        <f>VLOOKUP(Table4[[#This Row],[FromSite-UPS]],Table1[[Company or Name]:[NOTES]],2,FALSE)</f>
        <v>Czech Republic</v>
      </c>
      <c r="Z477" s="20">
        <f>IFERROR(WEEKNUM(Table4[[#This Row],[Confirmed Sampling Date]] - 10, 21), "TBD")</f>
        <v>45</v>
      </c>
      <c r="AA477" s="20" t="str">
        <f>_xlfn.XLOOKUP(Table4[[#This Row],[FromSite-UPS]],sites!D:D,sites!W:W,"",0)</f>
        <v>Šrobárova 49/48, Státní zdravotní ústav, Praha, 100 00, Czech Republic</v>
      </c>
      <c r="AB477" s="20" t="str">
        <f>_xlfn.XLOOKUP(Table4[[#This Row],[ToLab]],labs!D:D,labs!P:P,"no adres",0)</f>
        <v>Av. Rovisco Pais 1, Laboratorio de Analises de Agua, Lisbon, 1049-001, Portugal</v>
      </c>
      <c r="AC477" s="20">
        <f>_xlfn.XLOOKUP(Table4[[#This Row],[combi]],AREA!E:E,AREA!F:F,"",0)</f>
        <v>89</v>
      </c>
      <c r="AD477" s="20" t="str">
        <f>_xlfn.XLOOKUP(Table4[[#This Row],[combi]],AREA!E:E,AREA!G:G,"",0)</f>
        <v>Pick-up service of hypothetic package as defined in the Tech. Specs. and delivery to lots
2 and 3 contractors according to Scenario 1</v>
      </c>
      <c r="AE477" s="20" t="s">
        <v>126</v>
      </c>
      <c r="AF477" s="20" t="str">
        <f>_xlfn.XLOOKUP(Table4[[#This Row],[FromSite-UPS]],sites!D:D,sites!AB:AB,"",0)&amp;_xlfn.XLOOKUP(Table4[[#This Row],[ToLab]],labs!D:D,labs!Q:Q,"",0)</f>
        <v>EUEU</v>
      </c>
    </row>
    <row r="478" spans="2:32" ht="15.6" hidden="1" customHeight="1" x14ac:dyDescent="0.25">
      <c r="B478" s="13">
        <v>202</v>
      </c>
      <c r="C478" s="14" t="s">
        <v>53</v>
      </c>
      <c r="D478" s="13">
        <v>1</v>
      </c>
      <c r="E478" s="79">
        <v>45979</v>
      </c>
      <c r="F478" s="80">
        <v>45980</v>
      </c>
      <c r="G478" s="20">
        <f>IFERROR(WEEKNUM(Table4[[#This Row],[Confirmed Pick-up Date]]),"TBD")</f>
        <v>47</v>
      </c>
      <c r="H478" s="20" t="str">
        <f>IFERROR(TEXT(Table4[[#This Row],[Confirmed Pick-up Date]],"yy-mm"),"TBD")</f>
        <v>25-11</v>
      </c>
      <c r="I478" s="13" t="s">
        <v>877</v>
      </c>
      <c r="J478" s="20" t="str">
        <f>IFERROR(VLOOKUP(Table4[[#This Row],[FromSite-UPS]],Table1[[#All],[Company or Name]:[FromSite3]],15,FALSE),"")</f>
        <v>Prague National Institute</v>
      </c>
      <c r="K478" s="20" t="str">
        <f>IFERROR(VLOOKUP(Table4[[#This Row],[FromSite-UPS]],Table1[[#All],[Company or Name]:[FromSite3]],16,FALSE),"")</f>
        <v>Prague WWTP FLOW 1</v>
      </c>
      <c r="L478" s="20">
        <f>IFERROR(VLOOKUP(Table4[[#This Row],[FromSite-UPS]],Table1[[#All],[Company or Name]:[FromSite3]],14,FALSE),"")</f>
        <v>0</v>
      </c>
      <c r="M478" s="13" t="s">
        <v>1011</v>
      </c>
      <c r="N478" s="20"/>
      <c r="O478" s="13"/>
      <c r="P478" s="13"/>
      <c r="Q478" s="20"/>
      <c r="R478" s="20"/>
      <c r="S478" s="20" t="s">
        <v>126</v>
      </c>
      <c r="T478" s="20"/>
      <c r="U478" s="20"/>
      <c r="V478" s="20"/>
      <c r="W478" s="20" t="str">
        <f>TEXT(Table4[[#This Row],[Confirmed Sampling Date]], "yyyy") &amp; "_" &amp; TEXT(Table4[[#This Row],[Confirmed Sampling Date]], "mm") &amp; "_" &amp; TEXT(Table4[[#This Row],[Confirmed Sampling Date]], "dd")</f>
        <v>2025_11_18</v>
      </c>
      <c r="X478" s="20" t="str">
        <f t="shared" si="7"/>
        <v>Prague</v>
      </c>
      <c r="Y478" s="20" t="str">
        <f>VLOOKUP(Table4[[#This Row],[FromSite-UPS]],Table1[[Company or Name]:[NOTES]],2,FALSE)</f>
        <v>Czech Republic</v>
      </c>
      <c r="Z478" s="20">
        <f>IFERROR(WEEKNUM(Table4[[#This Row],[Confirmed Sampling Date]] - 10, 21), "TBD")</f>
        <v>45</v>
      </c>
      <c r="AA478" s="20" t="str">
        <f>_xlfn.XLOOKUP(Table4[[#This Row],[FromSite-UPS]],sites!D:D,sites!W:W,"",0)</f>
        <v>Šrobárova 49/48, Státní zdravotní ústav, Praha, 100 00, Czech Republic</v>
      </c>
      <c r="AB478" s="20" t="str">
        <f>_xlfn.XLOOKUP(Table4[[#This Row],[ToLab]],labs!D:D,labs!P:P,"no adres",0)</f>
        <v>Av. Rovisco Pais 1, Laboratorio de Analises de Agua, Lisbon, 1049-001, Portugal</v>
      </c>
      <c r="AC478" s="20">
        <f>_xlfn.XLOOKUP(Table4[[#This Row],[combi]],AREA!E:E,AREA!F:F,"",0)</f>
        <v>89</v>
      </c>
      <c r="AD478" s="20" t="str">
        <f>_xlfn.XLOOKUP(Table4[[#This Row],[combi]],AREA!E:E,AREA!G:G,"",0)</f>
        <v>Pick-up service of hypothetic package as defined in the Tech. Specs. and delivery to lots
2 and 3 contractors according to Scenario 1</v>
      </c>
      <c r="AE478" s="20" t="s">
        <v>126</v>
      </c>
      <c r="AF478" s="20" t="str">
        <f>_xlfn.XLOOKUP(Table4[[#This Row],[FromSite-UPS]],sites!D:D,sites!AB:AB,"",0)&amp;_xlfn.XLOOKUP(Table4[[#This Row],[ToLab]],labs!D:D,labs!Q:Q,"",0)</f>
        <v>EUEU</v>
      </c>
    </row>
    <row r="479" spans="2:32" ht="15.6" hidden="1" customHeight="1" x14ac:dyDescent="0.25">
      <c r="B479" s="13">
        <v>203</v>
      </c>
      <c r="C479" s="14" t="s">
        <v>53</v>
      </c>
      <c r="D479" s="13">
        <v>1</v>
      </c>
      <c r="E479" s="79">
        <v>45979</v>
      </c>
      <c r="F479" s="80">
        <v>45980</v>
      </c>
      <c r="G479" s="20">
        <f>IFERROR(WEEKNUM(Table4[[#This Row],[Confirmed Pick-up Date]]),"TBD")</f>
        <v>47</v>
      </c>
      <c r="H479" s="20" t="str">
        <f>IFERROR(TEXT(Table4[[#This Row],[Confirmed Pick-up Date]],"yy-mm"),"TBD")</f>
        <v>25-11</v>
      </c>
      <c r="I479" s="13" t="s">
        <v>877</v>
      </c>
      <c r="J479" s="20" t="str">
        <f>IFERROR(VLOOKUP(Table4[[#This Row],[FromSite-UPS]],Table1[[#All],[Company or Name]:[FromSite3]],15,FALSE),"")</f>
        <v>Prague National Institute</v>
      </c>
      <c r="K479" s="20" t="str">
        <f>IFERROR(VLOOKUP(Table4[[#This Row],[FromSite-UPS]],Table1[[#All],[Company or Name]:[FromSite3]],16,FALSE),"")</f>
        <v>Prague WWTP FLOW 1</v>
      </c>
      <c r="L479" s="20">
        <f>IFERROR(VLOOKUP(Table4[[#This Row],[FromSite-UPS]],Table1[[#All],[Company or Name]:[FromSite3]],14,FALSE),"")</f>
        <v>0</v>
      </c>
      <c r="M479" s="13" t="s">
        <v>1011</v>
      </c>
      <c r="N479" s="20"/>
      <c r="O479" s="13"/>
      <c r="P479" s="13"/>
      <c r="Q479" s="20"/>
      <c r="R479" s="20"/>
      <c r="S479" s="20" t="s">
        <v>126</v>
      </c>
      <c r="T479" s="20"/>
      <c r="U479" s="20"/>
      <c r="V479" s="20"/>
      <c r="W479" s="20" t="str">
        <f>TEXT(Table4[[#This Row],[Confirmed Sampling Date]], "yyyy") &amp; "_" &amp; TEXT(Table4[[#This Row],[Confirmed Sampling Date]], "mm") &amp; "_" &amp; TEXT(Table4[[#This Row],[Confirmed Sampling Date]], "dd")</f>
        <v>2025_11_18</v>
      </c>
      <c r="X479" s="20" t="str">
        <f t="shared" si="7"/>
        <v>Prague</v>
      </c>
      <c r="Y479" s="20" t="str">
        <f>VLOOKUP(Table4[[#This Row],[FromSite-UPS]],Table1[[Company or Name]:[NOTES]],2,FALSE)</f>
        <v>Czech Republic</v>
      </c>
      <c r="Z479" s="20">
        <f>IFERROR(WEEKNUM(Table4[[#This Row],[Confirmed Sampling Date]] - 10, 21), "TBD")</f>
        <v>45</v>
      </c>
      <c r="AA479" s="20" t="str">
        <f>_xlfn.XLOOKUP(Table4[[#This Row],[FromSite-UPS]],sites!D:D,sites!W:W,"",0)</f>
        <v>Šrobárova 49/48, Státní zdravotní ústav, Praha, 100 00, Czech Republic</v>
      </c>
      <c r="AB479" s="20" t="str">
        <f>_xlfn.XLOOKUP(Table4[[#This Row],[ToLab]],labs!D:D,labs!P:P,"no adres",0)</f>
        <v>Av. Rovisco Pais 1, Laboratorio de Analises de Agua, Lisbon, 1049-001, Portugal</v>
      </c>
      <c r="AC479" s="20">
        <f>_xlfn.XLOOKUP(Table4[[#This Row],[combi]],AREA!E:E,AREA!F:F,"",0)</f>
        <v>89</v>
      </c>
      <c r="AD479" s="20" t="str">
        <f>_xlfn.XLOOKUP(Table4[[#This Row],[combi]],AREA!E:E,AREA!G:G,"",0)</f>
        <v>Pick-up service of hypothetic package as defined in the Tech. Specs. and delivery to lots
2 and 3 contractors according to Scenario 1</v>
      </c>
      <c r="AE479" s="20" t="s">
        <v>126</v>
      </c>
      <c r="AF479" s="20" t="str">
        <f>_xlfn.XLOOKUP(Table4[[#This Row],[FromSite-UPS]],sites!D:D,sites!AB:AB,"",0)&amp;_xlfn.XLOOKUP(Table4[[#This Row],[ToLab]],labs!D:D,labs!Q:Q,"",0)</f>
        <v>EUEU</v>
      </c>
    </row>
    <row r="480" spans="2:32" ht="15.6" hidden="1" customHeight="1" x14ac:dyDescent="0.25">
      <c r="B480" s="13">
        <v>204</v>
      </c>
      <c r="C480" s="14" t="s">
        <v>53</v>
      </c>
      <c r="D480" s="13">
        <v>1</v>
      </c>
      <c r="E480" s="79">
        <v>45979</v>
      </c>
      <c r="F480" s="80">
        <v>45980</v>
      </c>
      <c r="G480" s="20">
        <f>IFERROR(WEEKNUM(Table4[[#This Row],[Confirmed Pick-up Date]]),"TBD")</f>
        <v>47</v>
      </c>
      <c r="H480" s="20" t="str">
        <f>IFERROR(TEXT(Table4[[#This Row],[Confirmed Pick-up Date]],"yy-mm"),"TBD")</f>
        <v>25-11</v>
      </c>
      <c r="I480" s="64" t="s">
        <v>877</v>
      </c>
      <c r="J480" s="20" t="str">
        <f>IFERROR(VLOOKUP(Table4[[#This Row],[FromSite-UPS]],Table1[[#All],[Company or Name]:[FromSite3]],15,FALSE),"")</f>
        <v>Prague National Institute</v>
      </c>
      <c r="K480" s="20" t="str">
        <f>IFERROR(VLOOKUP(Table4[[#This Row],[FromSite-UPS]],Table1[[#All],[Company or Name]:[FromSite3]],16,FALSE),"")</f>
        <v>Prague WWTP FLOW 1</v>
      </c>
      <c r="L480" s="20">
        <f>IFERROR(VLOOKUP(Table4[[#This Row],[FromSite-UPS]],Table1[[#All],[Company or Name]:[FromSite3]],14,FALSE),"")</f>
        <v>0</v>
      </c>
      <c r="M480" s="13" t="s">
        <v>1011</v>
      </c>
      <c r="N480" s="20"/>
      <c r="O480" s="13"/>
      <c r="P480" s="13"/>
      <c r="Q480" s="20"/>
      <c r="R480" s="20"/>
      <c r="S480" s="20" t="s">
        <v>126</v>
      </c>
      <c r="T480" s="20"/>
      <c r="U480" s="20"/>
      <c r="V480" s="20"/>
      <c r="W480" s="20" t="str">
        <f>TEXT(Table4[[#This Row],[Confirmed Sampling Date]], "yyyy") &amp; "_" &amp; TEXT(Table4[[#This Row],[Confirmed Sampling Date]], "mm") &amp; "_" &amp; TEXT(Table4[[#This Row],[Confirmed Sampling Date]], "dd")</f>
        <v>2025_11_18</v>
      </c>
      <c r="X480" s="20" t="str">
        <f t="shared" si="7"/>
        <v>Prague</v>
      </c>
      <c r="Y480" s="20" t="str">
        <f>VLOOKUP(Table4[[#This Row],[FromSite-UPS]],Table1[[Company or Name]:[NOTES]],2,FALSE)</f>
        <v>Czech Republic</v>
      </c>
      <c r="Z480" s="20">
        <f>IFERROR(WEEKNUM(Table4[[#This Row],[Confirmed Sampling Date]] - 10, 21), "TBD")</f>
        <v>45</v>
      </c>
      <c r="AA480" s="20" t="str">
        <f>_xlfn.XLOOKUP(Table4[[#This Row],[FromSite-UPS]],sites!D:D,sites!W:W,"",0)</f>
        <v>Šrobárova 49/48, Státní zdravotní ústav, Praha, 100 00, Czech Republic</v>
      </c>
      <c r="AB480" s="20" t="str">
        <f>_xlfn.XLOOKUP(Table4[[#This Row],[ToLab]],labs!D:D,labs!P:P,"no adres",0)</f>
        <v>Av. Rovisco Pais 1, Laboratorio de Analises de Agua, Lisbon, 1049-001, Portugal</v>
      </c>
      <c r="AC480" s="20">
        <f>_xlfn.XLOOKUP(Table4[[#This Row],[combi]],AREA!E:E,AREA!F:F,"",0)</f>
        <v>89</v>
      </c>
      <c r="AD480" s="20" t="str">
        <f>_xlfn.XLOOKUP(Table4[[#This Row],[combi]],AREA!E:E,AREA!G:G,"",0)</f>
        <v>Pick-up service of hypothetic package as defined in the Tech. Specs. and delivery to lots
2 and 3 contractors according to Scenario 1</v>
      </c>
      <c r="AE480" s="20" t="s">
        <v>126</v>
      </c>
      <c r="AF480" s="20" t="str">
        <f>_xlfn.XLOOKUP(Table4[[#This Row],[FromSite-UPS]],sites!D:D,sites!AB:AB,"",0)&amp;_xlfn.XLOOKUP(Table4[[#This Row],[ToLab]],labs!D:D,labs!Q:Q,"",0)</f>
        <v>EUEU</v>
      </c>
    </row>
    <row r="481" spans="2:32" ht="15.6" hidden="1" customHeight="1" x14ac:dyDescent="0.25">
      <c r="B481" s="13">
        <v>223</v>
      </c>
      <c r="C481" s="14" t="s">
        <v>53</v>
      </c>
      <c r="D481" s="13">
        <v>1</v>
      </c>
      <c r="E481" s="79">
        <v>45979</v>
      </c>
      <c r="F481" s="80">
        <v>45980</v>
      </c>
      <c r="G481" s="20">
        <f>IFERROR(WEEKNUM(Table4[[#This Row],[Confirmed Pick-up Date]]),"TBD")</f>
        <v>47</v>
      </c>
      <c r="H481" s="20" t="str">
        <f>IFERROR(TEXT(Table4[[#This Row],[Confirmed Pick-up Date]],"yy-mm"),"TBD")</f>
        <v>25-11</v>
      </c>
      <c r="I481" s="64" t="s">
        <v>779</v>
      </c>
      <c r="J481" s="20" t="str">
        <f>IFERROR(VLOOKUP(Table4[[#This Row],[FromSite-UPS]],Table1[[#All],[Company or Name]:[FromSite3]],15,FALSE),"")</f>
        <v>Larnaca WWTP</v>
      </c>
      <c r="K481" s="20" t="str">
        <f>IFERROR(VLOOKUP(Table4[[#This Row],[FromSite-UPS]],Table1[[#All],[Company or Name]:[FromSite3]],16,FALSE),"")</f>
        <v>Larnaca Airport</v>
      </c>
      <c r="L481" s="20">
        <f>IFERROR(VLOOKUP(Table4[[#This Row],[FromSite-UPS]],Table1[[#All],[Company or Name]:[FromSite3]],14,FALSE),"")</f>
        <v>0.54166666666666663</v>
      </c>
      <c r="M481" s="13" t="s">
        <v>1011</v>
      </c>
      <c r="N481" s="20"/>
      <c r="O481" s="13"/>
      <c r="P481" s="13"/>
      <c r="Q481" s="65"/>
      <c r="R481" s="20"/>
      <c r="S481" s="20" t="s">
        <v>126</v>
      </c>
      <c r="T481" s="20"/>
      <c r="U481" s="20"/>
      <c r="V481" s="20"/>
      <c r="W481" s="20" t="str">
        <f>TEXT(Table4[[#This Row],[Confirmed Sampling Date]], "yyyy") &amp; "_" &amp; TEXT(Table4[[#This Row],[Confirmed Sampling Date]], "mm") &amp; "_" &amp; TEXT(Table4[[#This Row],[Confirmed Sampling Date]], "dd")</f>
        <v>2025_11_18</v>
      </c>
      <c r="X481" s="20" t="str">
        <f t="shared" si="7"/>
        <v>Larnaca</v>
      </c>
      <c r="Y481" s="20" t="str">
        <f>VLOOKUP(Table4[[#This Row],[FromSite-UPS]],Table1[[Company or Name]:[NOTES]],2,FALSE)</f>
        <v>Cyprus</v>
      </c>
      <c r="Z481" s="20">
        <f>IFERROR(WEEKNUM(Table4[[#This Row],[Confirmed Sampling Date]] - 10, 21), "TBD")</f>
        <v>45</v>
      </c>
      <c r="AA481" s="20" t="str">
        <f>_xlfn.XLOOKUP(Table4[[#This Row],[FromSite-UPS]],sites!D:D,sites!W:W,"",0)</f>
        <v>Adamantiou Korai street 12, Larnaca District Local Government Organization offices, Larnaca, 6010, Cyprus</v>
      </c>
      <c r="AB481" s="20" t="str">
        <f>_xlfn.XLOOKUP(Table4[[#This Row],[ToLab]],labs!D:D,labs!P:P,"no adres",0)</f>
        <v>Av. Rovisco Pais 1, Laboratorio de Analises de Agua, Lisbon, 1049-001, Portugal</v>
      </c>
      <c r="AC481" s="20">
        <f>_xlfn.XLOOKUP(Table4[[#This Row],[combi]],AREA!E:E,AREA!F:F,"",0)</f>
        <v>89</v>
      </c>
      <c r="AD481" s="20" t="str">
        <f>_xlfn.XLOOKUP(Table4[[#This Row],[combi]],AREA!E:E,AREA!G:G,"",0)</f>
        <v>Pick-up service of hypothetic package as defined in the Tech. Specs. and delivery to lots
2 and 3 contractors according to Scenario 1</v>
      </c>
      <c r="AE481" s="20" t="s">
        <v>126</v>
      </c>
      <c r="AF481" s="20" t="str">
        <f>_xlfn.XLOOKUP(Table4[[#This Row],[FromSite-UPS]],sites!D:D,sites!AB:AB,"",0)&amp;_xlfn.XLOOKUP(Table4[[#This Row],[ToLab]],labs!D:D,labs!Q:Q,"",0)</f>
        <v>EUEU</v>
      </c>
    </row>
    <row r="482" spans="2:32" ht="15.6" hidden="1" customHeight="1" x14ac:dyDescent="0.25">
      <c r="B482" s="13">
        <v>236</v>
      </c>
      <c r="C482" s="14" t="s">
        <v>53</v>
      </c>
      <c r="D482" s="13">
        <v>1</v>
      </c>
      <c r="E482" s="79">
        <v>45979</v>
      </c>
      <c r="F482" s="80">
        <v>45980</v>
      </c>
      <c r="G482" s="20">
        <f>IFERROR(WEEKNUM(Table4[[#This Row],[Confirmed Pick-up Date]]),"TBD")</f>
        <v>47</v>
      </c>
      <c r="H482" s="20" t="str">
        <f>IFERROR(TEXT(Table4[[#This Row],[Confirmed Pick-up Date]],"yy-mm"),"TBD")</f>
        <v>25-11</v>
      </c>
      <c r="I482" s="13" t="s">
        <v>779</v>
      </c>
      <c r="J482" s="20" t="str">
        <f>IFERROR(VLOOKUP(Table4[[#This Row],[FromSite-UPS]],Table1[[#All],[Company or Name]:[FromSite3]],15,FALSE),"")</f>
        <v>Larnaca WWTP</v>
      </c>
      <c r="K482" s="20" t="str">
        <f>IFERROR(VLOOKUP(Table4[[#This Row],[FromSite-UPS]],Table1[[#All],[Company or Name]:[FromSite3]],16,FALSE),"")</f>
        <v>Larnaca Airport</v>
      </c>
      <c r="L482" s="20">
        <f>IFERROR(VLOOKUP(Table4[[#This Row],[FromSite-UPS]],Table1[[#All],[Company or Name]:[FromSite3]],14,FALSE),"")</f>
        <v>0.54166666666666663</v>
      </c>
      <c r="M482" s="13" t="s">
        <v>1011</v>
      </c>
      <c r="N482" s="20"/>
      <c r="O482" s="20"/>
      <c r="P482" s="20"/>
      <c r="Q482" s="20"/>
      <c r="R482" s="20"/>
      <c r="S482" s="20" t="s">
        <v>126</v>
      </c>
      <c r="T482" s="20"/>
      <c r="U482" s="20"/>
      <c r="V482" s="20"/>
      <c r="W482" s="20" t="str">
        <f>TEXT(Table4[[#This Row],[Confirmed Sampling Date]], "yyyy") &amp; "_" &amp; TEXT(Table4[[#This Row],[Confirmed Sampling Date]], "mm") &amp; "_" &amp; TEXT(Table4[[#This Row],[Confirmed Sampling Date]], "dd")</f>
        <v>2025_11_18</v>
      </c>
      <c r="X482" s="20" t="str">
        <f t="shared" si="7"/>
        <v>Larnaca</v>
      </c>
      <c r="Y482" s="20" t="str">
        <f>VLOOKUP(Table4[[#This Row],[FromSite-UPS]],Table1[[Company or Name]:[NOTES]],2,FALSE)</f>
        <v>Cyprus</v>
      </c>
      <c r="Z482" s="20">
        <f>IFERROR(WEEKNUM(Table4[[#This Row],[Confirmed Sampling Date]] - 10, 21), "TBD")</f>
        <v>45</v>
      </c>
      <c r="AA482" s="20" t="str">
        <f>_xlfn.XLOOKUP(Table4[[#This Row],[FromSite-UPS]],sites!D:D,sites!W:W,"",0)</f>
        <v>Adamantiou Korai street 12, Larnaca District Local Government Organization offices, Larnaca, 6010, Cyprus</v>
      </c>
      <c r="AB482" s="20" t="str">
        <f>_xlfn.XLOOKUP(Table4[[#This Row],[ToLab]],labs!D:D,labs!P:P,"no adres",0)</f>
        <v>Av. Rovisco Pais 1, Laboratorio de Analises de Agua, Lisbon, 1049-001, Portugal</v>
      </c>
      <c r="AC482" s="20">
        <f>_xlfn.XLOOKUP(Table4[[#This Row],[combi]],AREA!E:E,AREA!F:F,"",0)</f>
        <v>89</v>
      </c>
      <c r="AD482" s="20" t="str">
        <f>_xlfn.XLOOKUP(Table4[[#This Row],[combi]],AREA!E:E,AREA!G:G,"",0)</f>
        <v>Pick-up service of hypothetic package as defined in the Tech. Specs. and delivery to lots
2 and 3 contractors according to Scenario 1</v>
      </c>
      <c r="AE482" s="20" t="s">
        <v>126</v>
      </c>
      <c r="AF482" s="20" t="str">
        <f>_xlfn.XLOOKUP(Table4[[#This Row],[FromSite-UPS]],sites!D:D,sites!AB:AB,"",0)&amp;_xlfn.XLOOKUP(Table4[[#This Row],[ToLab]],labs!D:D,labs!Q:Q,"",0)</f>
        <v>EUEU</v>
      </c>
    </row>
    <row r="483" spans="2:32" ht="15.6" hidden="1" customHeight="1" x14ac:dyDescent="0.25">
      <c r="B483" s="13">
        <v>277</v>
      </c>
      <c r="C483" s="14" t="s">
        <v>53</v>
      </c>
      <c r="D483" s="13">
        <v>1</v>
      </c>
      <c r="E483" s="79">
        <v>45979</v>
      </c>
      <c r="F483" s="80">
        <v>45980</v>
      </c>
      <c r="G483" s="20">
        <f>IFERROR(WEEKNUM(Table4[[#This Row],[Confirmed Pick-up Date]]),"TBD")</f>
        <v>47</v>
      </c>
      <c r="H483" s="20" t="str">
        <f>IFERROR(TEXT(Table4[[#This Row],[Confirmed Pick-up Date]],"yy-mm"),"TBD")</f>
        <v>25-11</v>
      </c>
      <c r="I483" s="13" t="s">
        <v>975</v>
      </c>
      <c r="J483" s="20" t="str">
        <f>IFERROR(VLOOKUP(Table4[[#This Row],[FromSite-UPS]],Table1[[#All],[Company or Name]:[FromSite3]],15,FALSE),"")</f>
        <v>Vilnius WWTP</v>
      </c>
      <c r="K483" s="20" t="str">
        <f>IFERROR(VLOOKUP(Table4[[#This Row],[FromSite-UPS]],Table1[[#All],[Company or Name]:[FromSite3]],16,FALSE),"")</f>
        <v>Vilnius Bus Terminal</v>
      </c>
      <c r="L483" s="20">
        <f>IFERROR(VLOOKUP(Table4[[#This Row],[FromSite-UPS]],Table1[[#All],[Company or Name]:[FromSite3]],14,FALSE),"")</f>
        <v>0.58333333333333337</v>
      </c>
      <c r="M483" s="13" t="s">
        <v>1011</v>
      </c>
      <c r="N483" s="20"/>
      <c r="O483" s="20"/>
      <c r="P483" s="20"/>
      <c r="Q483" s="20"/>
      <c r="R483" s="20"/>
      <c r="S483" s="20" t="s">
        <v>126</v>
      </c>
      <c r="T483" s="20"/>
      <c r="U483" s="20"/>
      <c r="V483" s="20"/>
      <c r="W483" s="20" t="str">
        <f>TEXT(Table4[[#This Row],[Confirmed Sampling Date]], "yyyy") &amp; "_" &amp; TEXT(Table4[[#This Row],[Confirmed Sampling Date]], "mm") &amp; "_" &amp; TEXT(Table4[[#This Row],[Confirmed Sampling Date]], "dd")</f>
        <v>2025_11_18</v>
      </c>
      <c r="X483" s="20" t="str">
        <f t="shared" si="7"/>
        <v>Vilnius</v>
      </c>
      <c r="Y483" s="20" t="str">
        <f>VLOOKUP(Table4[[#This Row],[FromSite-UPS]],Table1[[Company or Name]:[NOTES]],2,FALSE)</f>
        <v>Lithuania</v>
      </c>
      <c r="Z483" s="20">
        <f>IFERROR(WEEKNUM(Table4[[#This Row],[Confirmed Sampling Date]] - 10, 21), "TBD")</f>
        <v>45</v>
      </c>
      <c r="AA483" s="20" t="str">
        <f>_xlfn.XLOOKUP(Table4[[#This Row],[FromSite-UPS]],sites!D:D,sites!W:W,"",0)</f>
        <v>Zolyno 36 gatve, Vilnius, 10210, Lithuania</v>
      </c>
      <c r="AB483" s="20" t="str">
        <f>_xlfn.XLOOKUP(Table4[[#This Row],[ToLab]],labs!D:D,labs!P:P,"no adres",0)</f>
        <v>Av. Rovisco Pais 1, Laboratorio de Analises de Agua, Lisbon, 1049-001, Portugal</v>
      </c>
      <c r="AC483" s="20">
        <f>_xlfn.XLOOKUP(Table4[[#This Row],[combi]],AREA!E:E,AREA!F:F,"",0)</f>
        <v>89</v>
      </c>
      <c r="AD483" s="20" t="str">
        <f>_xlfn.XLOOKUP(Table4[[#This Row],[combi]],AREA!E:E,AREA!G:G,"",0)</f>
        <v>Pick-up service of hypothetic package as defined in the Tech. Specs. and delivery to lots
2 and 3 contractors according to Scenario 1</v>
      </c>
      <c r="AE483" s="20" t="s">
        <v>126</v>
      </c>
      <c r="AF483" s="20" t="str">
        <f>_xlfn.XLOOKUP(Table4[[#This Row],[FromSite-UPS]],sites!D:D,sites!AB:AB,"",0)&amp;_xlfn.XLOOKUP(Table4[[#This Row],[ToLab]],labs!D:D,labs!Q:Q,"",0)</f>
        <v>EUEU</v>
      </c>
    </row>
    <row r="484" spans="2:32" ht="15.6" hidden="1" customHeight="1" x14ac:dyDescent="0.25">
      <c r="B484" s="13">
        <v>288</v>
      </c>
      <c r="C484" s="14" t="s">
        <v>53</v>
      </c>
      <c r="D484" s="13">
        <v>1</v>
      </c>
      <c r="E484" s="79">
        <v>45979</v>
      </c>
      <c r="F484" s="80">
        <v>45980</v>
      </c>
      <c r="G484" s="20">
        <f>IFERROR(WEEKNUM(Table4[[#This Row],[Confirmed Pick-up Date]]),"TBD")</f>
        <v>47</v>
      </c>
      <c r="H484" s="20" t="str">
        <f>IFERROR(TEXT(Table4[[#This Row],[Confirmed Pick-up Date]],"yy-mm"),"TBD")</f>
        <v>25-11</v>
      </c>
      <c r="I484" s="64" t="s">
        <v>975</v>
      </c>
      <c r="J484" s="20" t="str">
        <f>IFERROR(VLOOKUP(Table4[[#This Row],[FromSite-UPS]],Table1[[#All],[Company or Name]:[FromSite3]],15,FALSE),"")</f>
        <v>Vilnius WWTP</v>
      </c>
      <c r="K484" s="20" t="str">
        <f>IFERROR(VLOOKUP(Table4[[#This Row],[FromSite-UPS]],Table1[[#All],[Company or Name]:[FromSite3]],16,FALSE),"")</f>
        <v>Vilnius Bus Terminal</v>
      </c>
      <c r="L484" s="20">
        <f>IFERROR(VLOOKUP(Table4[[#This Row],[FromSite-UPS]],Table1[[#All],[Company or Name]:[FromSite3]],14,FALSE),"")</f>
        <v>0.58333333333333337</v>
      </c>
      <c r="M484" s="13" t="s">
        <v>1011</v>
      </c>
      <c r="N484" s="20"/>
      <c r="O484" s="20"/>
      <c r="P484" s="20"/>
      <c r="Q484" s="20"/>
      <c r="R484" s="20"/>
      <c r="S484" s="20" t="s">
        <v>126</v>
      </c>
      <c r="T484" s="20"/>
      <c r="U484" s="20"/>
      <c r="V484" s="20"/>
      <c r="W484" s="20" t="str">
        <f>TEXT(Table4[[#This Row],[Confirmed Sampling Date]], "yyyy") &amp; "_" &amp; TEXT(Table4[[#This Row],[Confirmed Sampling Date]], "mm") &amp; "_" &amp; TEXT(Table4[[#This Row],[Confirmed Sampling Date]], "dd")</f>
        <v>2025_11_18</v>
      </c>
      <c r="X484" s="20" t="str">
        <f t="shared" si="7"/>
        <v>Vilnius</v>
      </c>
      <c r="Y484" s="20" t="str">
        <f>VLOOKUP(Table4[[#This Row],[FromSite-UPS]],Table1[[Company or Name]:[NOTES]],2,FALSE)</f>
        <v>Lithuania</v>
      </c>
      <c r="Z484" s="20">
        <f>IFERROR(WEEKNUM(Table4[[#This Row],[Confirmed Sampling Date]] - 10, 21), "TBD")</f>
        <v>45</v>
      </c>
      <c r="AA484" s="20" t="str">
        <f>_xlfn.XLOOKUP(Table4[[#This Row],[FromSite-UPS]],sites!D:D,sites!W:W,"",0)</f>
        <v>Zolyno 36 gatve, Vilnius, 10210, Lithuania</v>
      </c>
      <c r="AB484" s="20" t="str">
        <f>_xlfn.XLOOKUP(Table4[[#This Row],[ToLab]],labs!D:D,labs!P:P,"no adres",0)</f>
        <v>Av. Rovisco Pais 1, Laboratorio de Analises de Agua, Lisbon, 1049-001, Portugal</v>
      </c>
      <c r="AC484" s="20">
        <f>_xlfn.XLOOKUP(Table4[[#This Row],[combi]],AREA!E:E,AREA!F:F,"",0)</f>
        <v>89</v>
      </c>
      <c r="AD484" s="20" t="str">
        <f>_xlfn.XLOOKUP(Table4[[#This Row],[combi]],AREA!E:E,AREA!G:G,"",0)</f>
        <v>Pick-up service of hypothetic package as defined in the Tech. Specs. and delivery to lots
2 and 3 contractors according to Scenario 1</v>
      </c>
      <c r="AE484" s="20" t="s">
        <v>126</v>
      </c>
      <c r="AF484" s="20" t="str">
        <f>_xlfn.XLOOKUP(Table4[[#This Row],[FromSite-UPS]],sites!D:D,sites!AB:AB,"",0)&amp;_xlfn.XLOOKUP(Table4[[#This Row],[ToLab]],labs!D:D,labs!Q:Q,"",0)</f>
        <v>EUEU</v>
      </c>
    </row>
    <row r="485" spans="2:32" ht="15.6" hidden="1" customHeight="1" x14ac:dyDescent="0.25">
      <c r="B485" s="13">
        <v>535</v>
      </c>
      <c r="C485" s="14" t="s">
        <v>53</v>
      </c>
      <c r="D485" s="13">
        <v>1</v>
      </c>
      <c r="E485" s="83">
        <v>45978</v>
      </c>
      <c r="F485" s="83">
        <v>45980</v>
      </c>
      <c r="G485" s="20">
        <f>IFERROR(WEEKNUM(Table4[[#This Row],[Confirmed Pick-up Date]]),"TBD")</f>
        <v>47</v>
      </c>
      <c r="H485" s="20" t="str">
        <f>IFERROR(TEXT(Table4[[#This Row],[Confirmed Pick-up Date]],"yy-mm"),"TBD")</f>
        <v>25-11</v>
      </c>
      <c r="I485" s="78" t="s">
        <v>1187</v>
      </c>
      <c r="J485" s="20" t="str">
        <f>IFERROR(VLOOKUP(Table4[[#This Row],[FromSite-UPS]],Table1[[#All],[Company or Name]:[FromSite3]],15,FALSE),"")</f>
        <v>Aachen WWTP</v>
      </c>
      <c r="K485" s="20" t="str">
        <f>IFERROR(VLOOKUP(Table4[[#This Row],[FromSite-UPS]],Table1[[#All],[Company or Name]:[FromSite3]],16,FALSE),"")</f>
        <v>Aachen Hospital</v>
      </c>
      <c r="L485" s="20">
        <f>IFERROR(VLOOKUP(Table4[[#This Row],[FromSite-UPS]],Table1[[#All],[Company or Name]:[FromSite3]],14,FALSE),"")</f>
        <v>0.66666666666666663</v>
      </c>
      <c r="M485" s="13" t="s">
        <v>1011</v>
      </c>
      <c r="N485" s="20"/>
      <c r="O485" s="20"/>
      <c r="P485" s="20"/>
      <c r="Q485" s="20"/>
      <c r="R485" s="20"/>
      <c r="S485" s="20" t="s">
        <v>126</v>
      </c>
      <c r="T485" s="20"/>
      <c r="U485" s="20"/>
      <c r="V485" s="20"/>
      <c r="W485" s="20" t="str">
        <f>TEXT(Table4[[#This Row],[Confirmed Sampling Date]], "yyyy") &amp; "_" &amp; TEXT(Table4[[#This Row],[Confirmed Sampling Date]], "mm") &amp; "_" &amp; TEXT(Table4[[#This Row],[Confirmed Sampling Date]], "dd")</f>
        <v>2025_11_17</v>
      </c>
      <c r="X485" s="20" t="str">
        <f t="shared" si="7"/>
        <v>Aachen</v>
      </c>
      <c r="Y485" s="20" t="str">
        <f>VLOOKUP(Table4[[#This Row],[FromSite-UPS]],Table1[[Company or Name]:[NOTES]],2,FALSE)</f>
        <v>Germany</v>
      </c>
      <c r="Z485" s="20">
        <f>IFERROR(WEEKNUM(Table4[[#This Row],[Confirmed Sampling Date]] - 10, 21), "TBD")</f>
        <v>45</v>
      </c>
      <c r="AA485" s="20" t="str">
        <f>_xlfn.XLOOKUP(Table4[[#This Row],[FromSite-UPS]],sites!D:D,sites!W:W,"",0)</f>
        <v>Krefelder Str. 299, Aachen, 52070, Germany</v>
      </c>
      <c r="AB485" s="20" t="str">
        <f>_xlfn.XLOOKUP(Table4[[#This Row],[ToLab]],labs!D:D,labs!P:P,"no adres",0)</f>
        <v>Av. Rovisco Pais 1, Laboratorio de Analises de Agua, Lisbon, 1049-001, Portugal</v>
      </c>
      <c r="AC485" s="20">
        <f>_xlfn.XLOOKUP(Table4[[#This Row],[combi]],AREA!E:E,AREA!F:F,"",0)</f>
        <v>89</v>
      </c>
      <c r="AD485" s="20" t="str">
        <f>_xlfn.XLOOKUP(Table4[[#This Row],[combi]],AREA!E:E,AREA!G:G,"",0)</f>
        <v>Pick-up service of hypothetic package as defined in the Tech. Specs. and delivery to lots
2 and 3 contractors according to Scenario 1</v>
      </c>
      <c r="AE485" s="20" t="s">
        <v>126</v>
      </c>
      <c r="AF485" s="20" t="str">
        <f>_xlfn.XLOOKUP(Table4[[#This Row],[FromSite-UPS]],sites!D:D,sites!AB:AB,"",0)&amp;_xlfn.XLOOKUP(Table4[[#This Row],[ToLab]],labs!D:D,labs!Q:Q,"",0)</f>
        <v>EUEU</v>
      </c>
    </row>
    <row r="486" spans="2:32" ht="15.6" hidden="1" customHeight="1" x14ac:dyDescent="0.25">
      <c r="B486" s="13">
        <v>600</v>
      </c>
      <c r="C486" s="14" t="s">
        <v>53</v>
      </c>
      <c r="D486" s="13">
        <v>1</v>
      </c>
      <c r="E486" s="83">
        <v>45978</v>
      </c>
      <c r="F486" s="83">
        <v>45980</v>
      </c>
      <c r="G486" s="20">
        <f>IFERROR(WEEKNUM(Table4[[#This Row],[Confirmed Pick-up Date]]),"TBD")</f>
        <v>47</v>
      </c>
      <c r="H486" s="20" t="str">
        <f>IFERROR(TEXT(Table4[[#This Row],[Confirmed Pick-up Date]],"yy-mm"),"TBD")</f>
        <v>25-11</v>
      </c>
      <c r="I486" s="78" t="s">
        <v>1187</v>
      </c>
      <c r="J486" s="20" t="str">
        <f>IFERROR(VLOOKUP(Table4[[#This Row],[FromSite-UPS]],Table1[[#All],[Company or Name]:[FromSite3]],15,FALSE),"")</f>
        <v>Aachen WWTP</v>
      </c>
      <c r="K486" s="20" t="str">
        <f>IFERROR(VLOOKUP(Table4[[#This Row],[FromSite-UPS]],Table1[[#All],[Company or Name]:[FromSite3]],16,FALSE),"")</f>
        <v>Aachen Hospital</v>
      </c>
      <c r="L486" s="20">
        <f>IFERROR(VLOOKUP(Table4[[#This Row],[FromSite-UPS]],Table1[[#All],[Company or Name]:[FromSite3]],14,FALSE),"")</f>
        <v>0.66666666666666663</v>
      </c>
      <c r="M486" s="13" t="s">
        <v>1011</v>
      </c>
      <c r="N486" s="20"/>
      <c r="O486" s="20"/>
      <c r="P486" s="20"/>
      <c r="Q486" s="20"/>
      <c r="R486" s="20"/>
      <c r="S486" s="20" t="s">
        <v>126</v>
      </c>
      <c r="T486" s="20"/>
      <c r="U486" s="20"/>
      <c r="V486" s="20"/>
      <c r="W486" s="20" t="str">
        <f>TEXT(Table4[[#This Row],[Confirmed Sampling Date]], "yyyy") &amp; "_" &amp; TEXT(Table4[[#This Row],[Confirmed Sampling Date]], "mm") &amp; "_" &amp; TEXT(Table4[[#This Row],[Confirmed Sampling Date]], "dd")</f>
        <v>2025_11_17</v>
      </c>
      <c r="X486" s="20" t="str">
        <f t="shared" si="7"/>
        <v>Aachen</v>
      </c>
      <c r="Y486" s="20" t="str">
        <f>VLOOKUP(Table4[[#This Row],[FromSite-UPS]],Table1[[Company or Name]:[NOTES]],2,FALSE)</f>
        <v>Germany</v>
      </c>
      <c r="Z486" s="20">
        <f>IFERROR(WEEKNUM(Table4[[#This Row],[Confirmed Sampling Date]] - 10, 21), "TBD")</f>
        <v>45</v>
      </c>
      <c r="AA486" s="20" t="str">
        <f>_xlfn.XLOOKUP(Table4[[#This Row],[FromSite-UPS]],sites!D:D,sites!W:W,"",0)</f>
        <v>Krefelder Str. 299, Aachen, 52070, Germany</v>
      </c>
      <c r="AB486" s="20" t="str">
        <f>_xlfn.XLOOKUP(Table4[[#This Row],[ToLab]],labs!D:D,labs!P:P,"no adres",0)</f>
        <v>Av. Rovisco Pais 1, Laboratorio de Analises de Agua, Lisbon, 1049-001, Portugal</v>
      </c>
      <c r="AC486" s="20">
        <f>_xlfn.XLOOKUP(Table4[[#This Row],[combi]],AREA!E:E,AREA!F:F,"",0)</f>
        <v>89</v>
      </c>
      <c r="AD486" s="20" t="str">
        <f>_xlfn.XLOOKUP(Table4[[#This Row],[combi]],AREA!E:E,AREA!G:G,"",0)</f>
        <v>Pick-up service of hypothetic package as defined in the Tech. Specs. and delivery to lots
2 and 3 contractors according to Scenario 1</v>
      </c>
      <c r="AE486" s="20" t="s">
        <v>126</v>
      </c>
      <c r="AF486" s="20" t="str">
        <f>_xlfn.XLOOKUP(Table4[[#This Row],[FromSite-UPS]],sites!D:D,sites!AB:AB,"",0)&amp;_xlfn.XLOOKUP(Table4[[#This Row],[ToLab]],labs!D:D,labs!Q:Q,"",0)</f>
        <v>EUEU</v>
      </c>
    </row>
    <row r="487" spans="2:32" ht="15.6" hidden="1" customHeight="1" x14ac:dyDescent="0.25">
      <c r="B487" s="13">
        <v>638</v>
      </c>
      <c r="C487" s="14" t="s">
        <v>53</v>
      </c>
      <c r="D487" s="13">
        <v>1</v>
      </c>
      <c r="E487" s="83">
        <v>45978</v>
      </c>
      <c r="F487" s="83">
        <v>45980</v>
      </c>
      <c r="G487" s="20">
        <f>IFERROR(WEEKNUM(Table4[[#This Row],[Confirmed Pick-up Date]]),"TBD")</f>
        <v>47</v>
      </c>
      <c r="H487" s="20" t="str">
        <f>IFERROR(TEXT(Table4[[#This Row],[Confirmed Pick-up Date]],"yy-mm"),"TBD")</f>
        <v>25-11</v>
      </c>
      <c r="I487" s="13" t="s">
        <v>1802</v>
      </c>
      <c r="J487" s="20" t="str">
        <f>IFERROR(VLOOKUP(Table4[[#This Row],[FromSite-UPS]],Table1[[#All],[Company or Name]:[FromSite3]],15,FALSE),"")</f>
        <v>Wien WWTP</v>
      </c>
      <c r="K487" s="20" t="str">
        <f>IFERROR(VLOOKUP(Table4[[#This Row],[FromSite-UPS]],Table1[[#All],[Company or Name]:[FromSite3]],16,FALSE),"")</f>
        <v>-</v>
      </c>
      <c r="L487" s="20">
        <f>IFERROR(VLOOKUP(Table4[[#This Row],[FromSite-UPS]],Table1[[#All],[Company or Name]:[FromSite3]],14,FALSE),"")</f>
        <v>0.5</v>
      </c>
      <c r="M487" s="13" t="s">
        <v>1011</v>
      </c>
      <c r="N487" s="20"/>
      <c r="O487" s="20"/>
      <c r="P487" s="20"/>
      <c r="Q487" s="20"/>
      <c r="R487" s="20"/>
      <c r="S487" s="20" t="s">
        <v>126</v>
      </c>
      <c r="T487" s="20"/>
      <c r="U487" s="20"/>
      <c r="V487" s="20"/>
      <c r="W487" s="20" t="str">
        <f>TEXT(Table4[[#This Row],[Confirmed Sampling Date]], "yyyy") &amp; "_" &amp; TEXT(Table4[[#This Row],[Confirmed Sampling Date]], "mm") &amp; "_" &amp; TEXT(Table4[[#This Row],[Confirmed Sampling Date]], "dd")</f>
        <v>2025_11_17</v>
      </c>
      <c r="X487" s="20" t="str">
        <f t="shared" si="7"/>
        <v>Wien</v>
      </c>
      <c r="Y487" s="20" t="str">
        <f>VLOOKUP(Table4[[#This Row],[FromSite-UPS]],Table1[[Company or Name]:[NOTES]],2,FALSE)</f>
        <v>Austria</v>
      </c>
      <c r="Z487" s="20">
        <f>IFERROR(WEEKNUM(Table4[[#This Row],[Confirmed Sampling Date]] - 10, 21), "TBD")</f>
        <v>45</v>
      </c>
      <c r="AA487" s="20" t="str">
        <f>_xlfn.XLOOKUP(Table4[[#This Row],[FromSite-UPS]],sites!D:D,sites!W:W,"",0)</f>
        <v>Währinger Gürtel 18-20, Wien, 1090, Austria</v>
      </c>
      <c r="AB487" s="20" t="str">
        <f>_xlfn.XLOOKUP(Table4[[#This Row],[ToLab]],labs!D:D,labs!P:P,"no adres",0)</f>
        <v>Av. Rovisco Pais 1, Laboratorio de Analises de Agua, Lisbon, 1049-001, Portugal</v>
      </c>
      <c r="AC487" s="20">
        <f>_xlfn.XLOOKUP(Table4[[#This Row],[combi]],AREA!E:E,AREA!F:F,"",0)</f>
        <v>89</v>
      </c>
      <c r="AD487" s="20" t="str">
        <f>_xlfn.XLOOKUP(Table4[[#This Row],[combi]],AREA!E:E,AREA!G:G,"",0)</f>
        <v>Pick-up service of hypothetic package as defined in the Tech. Specs. and delivery to lots
2 and 3 contractors according to Scenario 1</v>
      </c>
      <c r="AE487" s="20" t="s">
        <v>126</v>
      </c>
      <c r="AF487" s="20" t="str">
        <f>_xlfn.XLOOKUP(Table4[[#This Row],[FromSite-UPS]],sites!D:D,sites!AB:AB,"",0)&amp;_xlfn.XLOOKUP(Table4[[#This Row],[ToLab]],labs!D:D,labs!Q:Q,"",0)</f>
        <v>EUEU</v>
      </c>
    </row>
    <row r="488" spans="2:32" ht="15.6" hidden="1" customHeight="1" x14ac:dyDescent="0.25">
      <c r="B488" s="13">
        <v>299</v>
      </c>
      <c r="C488" s="14" t="s">
        <v>53</v>
      </c>
      <c r="D488" s="13">
        <v>1</v>
      </c>
      <c r="E488" s="79">
        <v>45980</v>
      </c>
      <c r="F488" s="80">
        <v>45981</v>
      </c>
      <c r="G488" s="20">
        <f>IFERROR(WEEKNUM(Table4[[#This Row],[Confirmed Pick-up Date]]),"TBD")</f>
        <v>47</v>
      </c>
      <c r="H488" s="20" t="str">
        <f>IFERROR(TEXT(Table4[[#This Row],[Confirmed Pick-up Date]],"yy-mm"),"TBD")</f>
        <v>25-11</v>
      </c>
      <c r="I488" s="64" t="s">
        <v>975</v>
      </c>
      <c r="J488" s="20" t="str">
        <f>IFERROR(VLOOKUP(Table4[[#This Row],[FromSite-UPS]],Table1[[#All],[Company or Name]:[FromSite3]],15,FALSE),"")</f>
        <v>Vilnius WWTP</v>
      </c>
      <c r="K488" s="20" t="str">
        <f>IFERROR(VLOOKUP(Table4[[#This Row],[FromSite-UPS]],Table1[[#All],[Company or Name]:[FromSite3]],16,FALSE),"")</f>
        <v>Vilnius Bus Terminal</v>
      </c>
      <c r="L488" s="20">
        <f>IFERROR(VLOOKUP(Table4[[#This Row],[FromSite-UPS]],Table1[[#All],[Company or Name]:[FromSite3]],14,FALSE),"")</f>
        <v>0.58333333333333337</v>
      </c>
      <c r="M488" s="13" t="s">
        <v>1011</v>
      </c>
      <c r="N488" s="20"/>
      <c r="O488" s="20"/>
      <c r="P488" s="20"/>
      <c r="Q488" s="20"/>
      <c r="R488" s="20"/>
      <c r="S488" s="20" t="s">
        <v>126</v>
      </c>
      <c r="T488" s="20"/>
      <c r="U488" s="20"/>
      <c r="V488" s="20"/>
      <c r="W488" s="20" t="str">
        <f>TEXT(Table4[[#This Row],[Confirmed Sampling Date]], "yyyy") &amp; "_" &amp; TEXT(Table4[[#This Row],[Confirmed Sampling Date]], "mm") &amp; "_" &amp; TEXT(Table4[[#This Row],[Confirmed Sampling Date]], "dd")</f>
        <v>2025_11_19</v>
      </c>
      <c r="X488" s="20" t="str">
        <f t="shared" si="7"/>
        <v>Vilnius</v>
      </c>
      <c r="Y488" s="20" t="str">
        <f>VLOOKUP(Table4[[#This Row],[FromSite-UPS]],Table1[[Company or Name]:[NOTES]],2,FALSE)</f>
        <v>Lithuania</v>
      </c>
      <c r="Z488" s="20">
        <f>IFERROR(WEEKNUM(Table4[[#This Row],[Confirmed Sampling Date]] - 10, 21), "TBD")</f>
        <v>45</v>
      </c>
      <c r="AA488" s="20" t="str">
        <f>_xlfn.XLOOKUP(Table4[[#This Row],[FromSite-UPS]],sites!D:D,sites!W:W,"",0)</f>
        <v>Zolyno 36 gatve, Vilnius, 10210, Lithuania</v>
      </c>
      <c r="AB488" s="20" t="str">
        <f>_xlfn.XLOOKUP(Table4[[#This Row],[ToLab]],labs!D:D,labs!P:P,"no adres",0)</f>
        <v>Av. Rovisco Pais 1, Laboratorio de Analises de Agua, Lisbon, 1049-001, Portugal</v>
      </c>
      <c r="AC488" s="20">
        <f>_xlfn.XLOOKUP(Table4[[#This Row],[combi]],AREA!E:E,AREA!F:F,"",0)</f>
        <v>89</v>
      </c>
      <c r="AD488" s="20" t="str">
        <f>_xlfn.XLOOKUP(Table4[[#This Row],[combi]],AREA!E:E,AREA!G:G,"",0)</f>
        <v>Pick-up service of hypothetic package as defined in the Tech. Specs. and delivery to lots
2 and 3 contractors according to Scenario 1</v>
      </c>
      <c r="AE488" s="20" t="s">
        <v>126</v>
      </c>
      <c r="AF488" s="20" t="str">
        <f>_xlfn.XLOOKUP(Table4[[#This Row],[FromSite-UPS]],sites!D:D,sites!AB:AB,"",0)&amp;_xlfn.XLOOKUP(Table4[[#This Row],[ToLab]],labs!D:D,labs!Q:Q,"",0)</f>
        <v>EUEU</v>
      </c>
    </row>
    <row r="489" spans="2:32" ht="15.6" hidden="1" customHeight="1" x14ac:dyDescent="0.25">
      <c r="B489" s="13">
        <v>309</v>
      </c>
      <c r="C489" s="14" t="s">
        <v>53</v>
      </c>
      <c r="D489" s="13">
        <v>1</v>
      </c>
      <c r="E489" s="79">
        <v>45980</v>
      </c>
      <c r="F489" s="80">
        <v>45981</v>
      </c>
      <c r="G489" s="20">
        <f>IFERROR(WEEKNUM(Table4[[#This Row],[Confirmed Pick-up Date]]),"TBD")</f>
        <v>47</v>
      </c>
      <c r="H489" s="20" t="str">
        <f>IFERROR(TEXT(Table4[[#This Row],[Confirmed Pick-up Date]],"yy-mm"),"TBD")</f>
        <v>25-11</v>
      </c>
      <c r="I489" s="78" t="s">
        <v>1628</v>
      </c>
      <c r="J489" s="20" t="str">
        <f>IFERROR(VLOOKUP(Table4[[#This Row],[FromSite-UPS]],Table1[[#All],[Company or Name]:[FromSite3]],15,FALSE),"")</f>
        <v>Funchal WWTP</v>
      </c>
      <c r="K489" s="20" t="str">
        <f>IFERROR(VLOOKUP(Table4[[#This Row],[FromSite-UPS]],Table1[[#All],[Company or Name]:[FromSite3]],16,FALSE),"")</f>
        <v>Madeira, 10 locations</v>
      </c>
      <c r="L489" s="20">
        <f>IFERROR(VLOOKUP(Table4[[#This Row],[FromSite-UPS]],Table1[[#All],[Company or Name]:[FromSite3]],14,FALSE),"")</f>
        <v>0.70833333333333337</v>
      </c>
      <c r="M489" s="13" t="s">
        <v>1011</v>
      </c>
      <c r="N489" s="20"/>
      <c r="O489" s="20"/>
      <c r="P489" s="20"/>
      <c r="Q489" s="20" t="s">
        <v>1857</v>
      </c>
      <c r="R489" s="20"/>
      <c r="S489" s="20" t="s">
        <v>126</v>
      </c>
      <c r="T489" s="20"/>
      <c r="U489" s="20"/>
      <c r="V489" s="20"/>
      <c r="W489" s="20" t="str">
        <f>TEXT(Table4[[#This Row],[Confirmed Sampling Date]], "yyyy") &amp; "_" &amp; TEXT(Table4[[#This Row],[Confirmed Sampling Date]], "mm") &amp; "_" &amp; TEXT(Table4[[#This Row],[Confirmed Sampling Date]], "dd")</f>
        <v>2025_11_19</v>
      </c>
      <c r="X489" s="20" t="str">
        <f t="shared" si="7"/>
        <v>Funchal</v>
      </c>
      <c r="Y489" s="20" t="str">
        <f>VLOOKUP(Table4[[#This Row],[FromSite-UPS]],Table1[[Company or Name]:[NOTES]],2,FALSE)</f>
        <v>Portugal</v>
      </c>
      <c r="Z489" s="20">
        <f>IFERROR(WEEKNUM(Table4[[#This Row],[Confirmed Sampling Date]] - 10, 21), "TBD")</f>
        <v>45</v>
      </c>
      <c r="AA489" s="20" t="str">
        <f>_xlfn.XLOOKUP(Table4[[#This Row],[FromSite-UPS]],sites!D:D,sites!W:W,"",0)</f>
        <v>R. do Matadouro 4, Funchal, 9050-100, Portugal</v>
      </c>
      <c r="AB489" s="20" t="str">
        <f>_xlfn.XLOOKUP(Table4[[#This Row],[ToLab]],labs!D:D,labs!P:P,"no adres",0)</f>
        <v>Av. Rovisco Pais 1, Laboratorio de Analises de Agua, Lisbon, 1049-001, Portugal</v>
      </c>
      <c r="AC489" s="20">
        <f>_xlfn.XLOOKUP(Table4[[#This Row],[combi]],AREA!E:E,AREA!F:F,"",0)</f>
        <v>89</v>
      </c>
      <c r="AD489" s="20" t="str">
        <f>_xlfn.XLOOKUP(Table4[[#This Row],[combi]],AREA!E:E,AREA!G:G,"",0)</f>
        <v>Pick-up service of hypothetic package as defined in the Tech. Specs. and delivery to lots
2 and 3 contractors according to Scenario 1</v>
      </c>
      <c r="AE489" s="20" t="s">
        <v>126</v>
      </c>
      <c r="AF489" s="20" t="str">
        <f>_xlfn.XLOOKUP(Table4[[#This Row],[FromSite-UPS]],sites!D:D,sites!AB:AB,"",0)&amp;_xlfn.XLOOKUP(Table4[[#This Row],[ToLab]],labs!D:D,labs!Q:Q,"",0)</f>
        <v>EUEU</v>
      </c>
    </row>
    <row r="490" spans="2:32" ht="15.6" hidden="1" customHeight="1" x14ac:dyDescent="0.25">
      <c r="B490" s="13">
        <v>319</v>
      </c>
      <c r="C490" s="14" t="s">
        <v>53</v>
      </c>
      <c r="D490" s="13">
        <v>1</v>
      </c>
      <c r="E490" s="79">
        <v>45980</v>
      </c>
      <c r="F490" s="80">
        <v>45981</v>
      </c>
      <c r="G490" s="20">
        <f>IFERROR(WEEKNUM(Table4[[#This Row],[Confirmed Pick-up Date]]),"TBD")</f>
        <v>47</v>
      </c>
      <c r="H490" s="20" t="str">
        <f>IFERROR(TEXT(Table4[[#This Row],[Confirmed Pick-up Date]],"yy-mm"),"TBD")</f>
        <v>25-11</v>
      </c>
      <c r="I490" s="78" t="s">
        <v>1628</v>
      </c>
      <c r="J490" s="20" t="str">
        <f>IFERROR(VLOOKUP(Table4[[#This Row],[FromSite-UPS]],Table1[[#All],[Company or Name]:[FromSite3]],15,FALSE),"")</f>
        <v>Funchal WWTP</v>
      </c>
      <c r="K490" s="20" t="str">
        <f>IFERROR(VLOOKUP(Table4[[#This Row],[FromSite-UPS]],Table1[[#All],[Company or Name]:[FromSite3]],16,FALSE),"")</f>
        <v>Madeira, 10 locations</v>
      </c>
      <c r="L490" s="20">
        <f>IFERROR(VLOOKUP(Table4[[#This Row],[FromSite-UPS]],Table1[[#All],[Company or Name]:[FromSite3]],14,FALSE),"")</f>
        <v>0.70833333333333337</v>
      </c>
      <c r="M490" s="13" t="s">
        <v>1011</v>
      </c>
      <c r="N490" s="20"/>
      <c r="O490" s="20"/>
      <c r="P490" s="20"/>
      <c r="Q490" s="20"/>
      <c r="R490" s="20"/>
      <c r="S490" s="20" t="s">
        <v>126</v>
      </c>
      <c r="T490" s="20"/>
      <c r="U490" s="20"/>
      <c r="V490" s="20"/>
      <c r="W490" s="20" t="str">
        <f>TEXT(Table4[[#This Row],[Confirmed Sampling Date]], "yyyy") &amp; "_" &amp; TEXT(Table4[[#This Row],[Confirmed Sampling Date]], "mm") &amp; "_" &amp; TEXT(Table4[[#This Row],[Confirmed Sampling Date]], "dd")</f>
        <v>2025_11_19</v>
      </c>
      <c r="X490" s="20" t="str">
        <f t="shared" si="7"/>
        <v>Funchal</v>
      </c>
      <c r="Y490" s="20" t="str">
        <f>VLOOKUP(Table4[[#This Row],[FromSite-UPS]],Table1[[Company or Name]:[NOTES]],2,FALSE)</f>
        <v>Portugal</v>
      </c>
      <c r="Z490" s="20">
        <f>IFERROR(WEEKNUM(Table4[[#This Row],[Confirmed Sampling Date]] - 10, 21), "TBD")</f>
        <v>45</v>
      </c>
      <c r="AA490" s="20" t="str">
        <f>_xlfn.XLOOKUP(Table4[[#This Row],[FromSite-UPS]],sites!D:D,sites!W:W,"",0)</f>
        <v>R. do Matadouro 4, Funchal, 9050-100, Portugal</v>
      </c>
      <c r="AB490" s="20" t="str">
        <f>_xlfn.XLOOKUP(Table4[[#This Row],[ToLab]],labs!D:D,labs!P:P,"no adres",0)</f>
        <v>Av. Rovisco Pais 1, Laboratorio de Analises de Agua, Lisbon, 1049-001, Portugal</v>
      </c>
      <c r="AC490" s="20">
        <f>_xlfn.XLOOKUP(Table4[[#This Row],[combi]],AREA!E:E,AREA!F:F,"",0)</f>
        <v>89</v>
      </c>
      <c r="AD490" s="20" t="str">
        <f>_xlfn.XLOOKUP(Table4[[#This Row],[combi]],AREA!E:E,AREA!G:G,"",0)</f>
        <v>Pick-up service of hypothetic package as defined in the Tech. Specs. and delivery to lots
2 and 3 contractors according to Scenario 1</v>
      </c>
      <c r="AE490" s="20" t="s">
        <v>126</v>
      </c>
      <c r="AF490" s="20" t="str">
        <f>_xlfn.XLOOKUP(Table4[[#This Row],[FromSite-UPS]],sites!D:D,sites!AB:AB,"",0)&amp;_xlfn.XLOOKUP(Table4[[#This Row],[ToLab]],labs!D:D,labs!Q:Q,"",0)</f>
        <v>EUEU</v>
      </c>
    </row>
    <row r="491" spans="2:32" ht="15.6" hidden="1" customHeight="1" x14ac:dyDescent="0.25">
      <c r="B491" s="13">
        <v>329</v>
      </c>
      <c r="C491" s="14" t="s">
        <v>53</v>
      </c>
      <c r="D491" s="13">
        <v>1</v>
      </c>
      <c r="E491" s="79">
        <v>45980</v>
      </c>
      <c r="F491" s="80">
        <v>45981</v>
      </c>
      <c r="G491" s="20">
        <f>IFERROR(WEEKNUM(Table4[[#This Row],[Confirmed Pick-up Date]]),"TBD")</f>
        <v>47</v>
      </c>
      <c r="H491" s="20" t="str">
        <f>IFERROR(TEXT(Table4[[#This Row],[Confirmed Pick-up Date]],"yy-mm"),"TBD")</f>
        <v>25-11</v>
      </c>
      <c r="I491" s="78" t="s">
        <v>1628</v>
      </c>
      <c r="J491" s="20" t="str">
        <f>IFERROR(VLOOKUP(Table4[[#This Row],[FromSite-UPS]],Table1[[#All],[Company or Name]:[FromSite3]],15,FALSE),"")</f>
        <v>Funchal WWTP</v>
      </c>
      <c r="K491" s="20" t="str">
        <f>IFERROR(VLOOKUP(Table4[[#This Row],[FromSite-UPS]],Table1[[#All],[Company or Name]:[FromSite3]],16,FALSE),"")</f>
        <v>Madeira, 10 locations</v>
      </c>
      <c r="L491" s="20">
        <f>IFERROR(VLOOKUP(Table4[[#This Row],[FromSite-UPS]],Table1[[#All],[Company or Name]:[FromSite3]],14,FALSE),"")</f>
        <v>0.70833333333333337</v>
      </c>
      <c r="M491" s="13" t="s">
        <v>1011</v>
      </c>
      <c r="N491" s="20"/>
      <c r="O491" s="20"/>
      <c r="P491" s="20"/>
      <c r="Q491" s="20"/>
      <c r="R491" s="20"/>
      <c r="S491" s="20" t="s">
        <v>126</v>
      </c>
      <c r="T491" s="20"/>
      <c r="U491" s="20"/>
      <c r="V491" s="20"/>
      <c r="W491" s="20" t="str">
        <f>TEXT(Table4[[#This Row],[Confirmed Sampling Date]], "yyyy") &amp; "_" &amp; TEXT(Table4[[#This Row],[Confirmed Sampling Date]], "mm") &amp; "_" &amp; TEXT(Table4[[#This Row],[Confirmed Sampling Date]], "dd")</f>
        <v>2025_11_19</v>
      </c>
      <c r="X491" s="20" t="str">
        <f t="shared" si="7"/>
        <v>Funchal</v>
      </c>
      <c r="Y491" s="20" t="str">
        <f>VLOOKUP(Table4[[#This Row],[FromSite-UPS]],Table1[[Company or Name]:[NOTES]],2,FALSE)</f>
        <v>Portugal</v>
      </c>
      <c r="Z491" s="20">
        <f>IFERROR(WEEKNUM(Table4[[#This Row],[Confirmed Sampling Date]] - 10, 21), "TBD")</f>
        <v>45</v>
      </c>
      <c r="AA491" s="20" t="str">
        <f>_xlfn.XLOOKUP(Table4[[#This Row],[FromSite-UPS]],sites!D:D,sites!W:W,"",0)</f>
        <v>R. do Matadouro 4, Funchal, 9050-100, Portugal</v>
      </c>
      <c r="AB491" s="20" t="str">
        <f>_xlfn.XLOOKUP(Table4[[#This Row],[ToLab]],labs!D:D,labs!P:P,"no adres",0)</f>
        <v>Av. Rovisco Pais 1, Laboratorio de Analises de Agua, Lisbon, 1049-001, Portugal</v>
      </c>
      <c r="AC491" s="20">
        <f>_xlfn.XLOOKUP(Table4[[#This Row],[combi]],AREA!E:E,AREA!F:F,"",0)</f>
        <v>89</v>
      </c>
      <c r="AD491" s="20" t="str">
        <f>_xlfn.XLOOKUP(Table4[[#This Row],[combi]],AREA!E:E,AREA!G:G,"",0)</f>
        <v>Pick-up service of hypothetic package as defined in the Tech. Specs. and delivery to lots
2 and 3 contractors according to Scenario 1</v>
      </c>
      <c r="AE491" s="20" t="s">
        <v>126</v>
      </c>
      <c r="AF491" s="20" t="str">
        <f>_xlfn.XLOOKUP(Table4[[#This Row],[FromSite-UPS]],sites!D:D,sites!AB:AB,"",0)&amp;_xlfn.XLOOKUP(Table4[[#This Row],[ToLab]],labs!D:D,labs!Q:Q,"",0)</f>
        <v>EUEU</v>
      </c>
    </row>
    <row r="492" spans="2:32" ht="15.6" hidden="1" customHeight="1" x14ac:dyDescent="0.25">
      <c r="B492" s="13">
        <v>339</v>
      </c>
      <c r="C492" s="14" t="s">
        <v>53</v>
      </c>
      <c r="D492" s="13">
        <v>1</v>
      </c>
      <c r="E492" s="79">
        <v>45980</v>
      </c>
      <c r="F492" s="80">
        <v>45981</v>
      </c>
      <c r="G492" s="20">
        <f>IFERROR(WEEKNUM(Table4[[#This Row],[Confirmed Pick-up Date]]),"TBD")</f>
        <v>47</v>
      </c>
      <c r="H492" s="20" t="str">
        <f>IFERROR(TEXT(Table4[[#This Row],[Confirmed Pick-up Date]],"yy-mm"),"TBD")</f>
        <v>25-11</v>
      </c>
      <c r="I492" s="78" t="s">
        <v>1628</v>
      </c>
      <c r="J492" s="20" t="str">
        <f>IFERROR(VLOOKUP(Table4[[#This Row],[FromSite-UPS]],Table1[[#All],[Company or Name]:[FromSite3]],15,FALSE),"")</f>
        <v>Funchal WWTP</v>
      </c>
      <c r="K492" s="20" t="str">
        <f>IFERROR(VLOOKUP(Table4[[#This Row],[FromSite-UPS]],Table1[[#All],[Company or Name]:[FromSite3]],16,FALSE),"")</f>
        <v>Madeira, 10 locations</v>
      </c>
      <c r="L492" s="20">
        <f>IFERROR(VLOOKUP(Table4[[#This Row],[FromSite-UPS]],Table1[[#All],[Company or Name]:[FromSite3]],14,FALSE),"")</f>
        <v>0.70833333333333337</v>
      </c>
      <c r="M492" s="13" t="s">
        <v>1011</v>
      </c>
      <c r="N492" s="20"/>
      <c r="O492" s="20"/>
      <c r="P492" s="20"/>
      <c r="Q492" s="20"/>
      <c r="R492" s="20"/>
      <c r="S492" s="20" t="s">
        <v>126</v>
      </c>
      <c r="T492" s="20"/>
      <c r="U492" s="20"/>
      <c r="V492" s="20"/>
      <c r="W492" s="20" t="str">
        <f>TEXT(Table4[[#This Row],[Confirmed Sampling Date]], "yyyy") &amp; "_" &amp; TEXT(Table4[[#This Row],[Confirmed Sampling Date]], "mm") &amp; "_" &amp; TEXT(Table4[[#This Row],[Confirmed Sampling Date]], "dd")</f>
        <v>2025_11_19</v>
      </c>
      <c r="X492" s="20" t="str">
        <f t="shared" si="7"/>
        <v>Funchal</v>
      </c>
      <c r="Y492" s="20" t="str">
        <f>VLOOKUP(Table4[[#This Row],[FromSite-UPS]],Table1[[Company or Name]:[NOTES]],2,FALSE)</f>
        <v>Portugal</v>
      </c>
      <c r="Z492" s="20">
        <f>IFERROR(WEEKNUM(Table4[[#This Row],[Confirmed Sampling Date]] - 10, 21), "TBD")</f>
        <v>45</v>
      </c>
      <c r="AA492" s="20" t="str">
        <f>_xlfn.XLOOKUP(Table4[[#This Row],[FromSite-UPS]],sites!D:D,sites!W:W,"",0)</f>
        <v>R. do Matadouro 4, Funchal, 9050-100, Portugal</v>
      </c>
      <c r="AB492" s="20" t="str">
        <f>_xlfn.XLOOKUP(Table4[[#This Row],[ToLab]],labs!D:D,labs!P:P,"no adres",0)</f>
        <v>Av. Rovisco Pais 1, Laboratorio de Analises de Agua, Lisbon, 1049-001, Portugal</v>
      </c>
      <c r="AC492" s="20">
        <f>_xlfn.XLOOKUP(Table4[[#This Row],[combi]],AREA!E:E,AREA!F:F,"",0)</f>
        <v>89</v>
      </c>
      <c r="AD492" s="20" t="str">
        <f>_xlfn.XLOOKUP(Table4[[#This Row],[combi]],AREA!E:E,AREA!G:G,"",0)</f>
        <v>Pick-up service of hypothetic package as defined in the Tech. Specs. and delivery to lots
2 and 3 contractors according to Scenario 1</v>
      </c>
      <c r="AE492" s="20" t="s">
        <v>126</v>
      </c>
      <c r="AF492" s="20" t="str">
        <f>_xlfn.XLOOKUP(Table4[[#This Row],[FromSite-UPS]],sites!D:D,sites!AB:AB,"",0)&amp;_xlfn.XLOOKUP(Table4[[#This Row],[ToLab]],labs!D:D,labs!Q:Q,"",0)</f>
        <v>EUEU</v>
      </c>
    </row>
    <row r="493" spans="2:32" ht="15.6" hidden="1" customHeight="1" x14ac:dyDescent="0.25">
      <c r="B493" s="13">
        <v>349</v>
      </c>
      <c r="C493" s="14" t="s">
        <v>53</v>
      </c>
      <c r="D493" s="13">
        <v>1</v>
      </c>
      <c r="E493" s="79">
        <v>45980</v>
      </c>
      <c r="F493" s="80">
        <v>45981</v>
      </c>
      <c r="G493" s="20">
        <f>IFERROR(WEEKNUM(Table4[[#This Row],[Confirmed Pick-up Date]]),"TBD")</f>
        <v>47</v>
      </c>
      <c r="H493" s="20" t="str">
        <f>IFERROR(TEXT(Table4[[#This Row],[Confirmed Pick-up Date]],"yy-mm"),"TBD")</f>
        <v>25-11</v>
      </c>
      <c r="I493" s="78" t="s">
        <v>1628</v>
      </c>
      <c r="J493" s="20" t="str">
        <f>IFERROR(VLOOKUP(Table4[[#This Row],[FromSite-UPS]],Table1[[#All],[Company or Name]:[FromSite3]],15,FALSE),"")</f>
        <v>Funchal WWTP</v>
      </c>
      <c r="K493" s="20" t="str">
        <f>IFERROR(VLOOKUP(Table4[[#This Row],[FromSite-UPS]],Table1[[#All],[Company or Name]:[FromSite3]],16,FALSE),"")</f>
        <v>Madeira, 10 locations</v>
      </c>
      <c r="L493" s="20">
        <f>IFERROR(VLOOKUP(Table4[[#This Row],[FromSite-UPS]],Table1[[#All],[Company or Name]:[FromSite3]],14,FALSE),"")</f>
        <v>0.70833333333333337</v>
      </c>
      <c r="M493" s="13" t="s">
        <v>1011</v>
      </c>
      <c r="N493" s="20"/>
      <c r="O493" s="20"/>
      <c r="P493" s="20"/>
      <c r="Q493" s="20"/>
      <c r="R493" s="20"/>
      <c r="S493" s="20" t="s">
        <v>126</v>
      </c>
      <c r="T493" s="20"/>
      <c r="U493" s="20"/>
      <c r="V493" s="20"/>
      <c r="W493" s="20" t="str">
        <f>TEXT(Table4[[#This Row],[Confirmed Sampling Date]], "yyyy") &amp; "_" &amp; TEXT(Table4[[#This Row],[Confirmed Sampling Date]], "mm") &amp; "_" &amp; TEXT(Table4[[#This Row],[Confirmed Sampling Date]], "dd")</f>
        <v>2025_11_19</v>
      </c>
      <c r="X493" s="20" t="str">
        <f t="shared" si="7"/>
        <v>Funchal</v>
      </c>
      <c r="Y493" s="20" t="str">
        <f>VLOOKUP(Table4[[#This Row],[FromSite-UPS]],Table1[[Company or Name]:[NOTES]],2,FALSE)</f>
        <v>Portugal</v>
      </c>
      <c r="Z493" s="20">
        <f>IFERROR(WEEKNUM(Table4[[#This Row],[Confirmed Sampling Date]] - 10, 21), "TBD")</f>
        <v>45</v>
      </c>
      <c r="AA493" s="20" t="str">
        <f>_xlfn.XLOOKUP(Table4[[#This Row],[FromSite-UPS]],sites!D:D,sites!W:W,"",0)</f>
        <v>R. do Matadouro 4, Funchal, 9050-100, Portugal</v>
      </c>
      <c r="AB493" s="20" t="str">
        <f>_xlfn.XLOOKUP(Table4[[#This Row],[ToLab]],labs!D:D,labs!P:P,"no adres",0)</f>
        <v>Av. Rovisco Pais 1, Laboratorio de Analises de Agua, Lisbon, 1049-001, Portugal</v>
      </c>
      <c r="AC493" s="20">
        <f>_xlfn.XLOOKUP(Table4[[#This Row],[combi]],AREA!E:E,AREA!F:F,"",0)</f>
        <v>89</v>
      </c>
      <c r="AD493" s="20" t="str">
        <f>_xlfn.XLOOKUP(Table4[[#This Row],[combi]],AREA!E:E,AREA!G:G,"",0)</f>
        <v>Pick-up service of hypothetic package as defined in the Tech. Specs. and delivery to lots
2 and 3 contractors according to Scenario 1</v>
      </c>
      <c r="AE493" s="20" t="s">
        <v>126</v>
      </c>
      <c r="AF493" s="20" t="str">
        <f>_xlfn.XLOOKUP(Table4[[#This Row],[FromSite-UPS]],sites!D:D,sites!AB:AB,"",0)&amp;_xlfn.XLOOKUP(Table4[[#This Row],[ToLab]],labs!D:D,labs!Q:Q,"",0)</f>
        <v>EUEU</v>
      </c>
    </row>
    <row r="494" spans="2:32" ht="15.6" hidden="1" customHeight="1" x14ac:dyDescent="0.25">
      <c r="B494" s="13">
        <v>359</v>
      </c>
      <c r="C494" s="14" t="s">
        <v>53</v>
      </c>
      <c r="D494" s="13">
        <v>1</v>
      </c>
      <c r="E494" s="79">
        <v>45980</v>
      </c>
      <c r="F494" s="80">
        <v>45981</v>
      </c>
      <c r="G494" s="20">
        <f>IFERROR(WEEKNUM(Table4[[#This Row],[Confirmed Pick-up Date]]),"TBD")</f>
        <v>47</v>
      </c>
      <c r="H494" s="20" t="str">
        <f>IFERROR(TEXT(Table4[[#This Row],[Confirmed Pick-up Date]],"yy-mm"),"TBD")</f>
        <v>25-11</v>
      </c>
      <c r="I494" s="78" t="s">
        <v>1628</v>
      </c>
      <c r="J494" s="20" t="str">
        <f>IFERROR(VLOOKUP(Table4[[#This Row],[FromSite-UPS]],Table1[[#All],[Company or Name]:[FromSite3]],15,FALSE),"")</f>
        <v>Funchal WWTP</v>
      </c>
      <c r="K494" s="20" t="str">
        <f>IFERROR(VLOOKUP(Table4[[#This Row],[FromSite-UPS]],Table1[[#All],[Company or Name]:[FromSite3]],16,FALSE),"")</f>
        <v>Madeira, 10 locations</v>
      </c>
      <c r="L494" s="20">
        <f>IFERROR(VLOOKUP(Table4[[#This Row],[FromSite-UPS]],Table1[[#All],[Company or Name]:[FromSite3]],14,FALSE),"")</f>
        <v>0.70833333333333337</v>
      </c>
      <c r="M494" s="13" t="s">
        <v>1011</v>
      </c>
      <c r="N494" s="20"/>
      <c r="O494" s="20"/>
      <c r="P494" s="20"/>
      <c r="Q494" s="20"/>
      <c r="R494" s="20"/>
      <c r="S494" s="20" t="s">
        <v>126</v>
      </c>
      <c r="T494" s="20"/>
      <c r="U494" s="20"/>
      <c r="V494" s="20"/>
      <c r="W494" s="20" t="str">
        <f>TEXT(Table4[[#This Row],[Confirmed Sampling Date]], "yyyy") &amp; "_" &amp; TEXT(Table4[[#This Row],[Confirmed Sampling Date]], "mm") &amp; "_" &amp; TEXT(Table4[[#This Row],[Confirmed Sampling Date]], "dd")</f>
        <v>2025_11_19</v>
      </c>
      <c r="X494" s="20" t="str">
        <f t="shared" si="7"/>
        <v>Funchal</v>
      </c>
      <c r="Y494" s="20" t="str">
        <f>VLOOKUP(Table4[[#This Row],[FromSite-UPS]],Table1[[Company or Name]:[NOTES]],2,FALSE)</f>
        <v>Portugal</v>
      </c>
      <c r="Z494" s="20">
        <f>IFERROR(WEEKNUM(Table4[[#This Row],[Confirmed Sampling Date]] - 10, 21), "TBD")</f>
        <v>45</v>
      </c>
      <c r="AA494" s="20" t="str">
        <f>_xlfn.XLOOKUP(Table4[[#This Row],[FromSite-UPS]],sites!D:D,sites!W:W,"",0)</f>
        <v>R. do Matadouro 4, Funchal, 9050-100, Portugal</v>
      </c>
      <c r="AB494" s="20" t="str">
        <f>_xlfn.XLOOKUP(Table4[[#This Row],[ToLab]],labs!D:D,labs!P:P,"no adres",0)</f>
        <v>Av. Rovisco Pais 1, Laboratorio de Analises de Agua, Lisbon, 1049-001, Portugal</v>
      </c>
      <c r="AC494" s="20">
        <f>_xlfn.XLOOKUP(Table4[[#This Row],[combi]],AREA!E:E,AREA!F:F,"",0)</f>
        <v>89</v>
      </c>
      <c r="AD494" s="20" t="str">
        <f>_xlfn.XLOOKUP(Table4[[#This Row],[combi]],AREA!E:E,AREA!G:G,"",0)</f>
        <v>Pick-up service of hypothetic package as defined in the Tech. Specs. and delivery to lots
2 and 3 contractors according to Scenario 1</v>
      </c>
      <c r="AE494" s="20" t="s">
        <v>126</v>
      </c>
      <c r="AF494" s="20" t="str">
        <f>_xlfn.XLOOKUP(Table4[[#This Row],[FromSite-UPS]],sites!D:D,sites!AB:AB,"",0)&amp;_xlfn.XLOOKUP(Table4[[#This Row],[ToLab]],labs!D:D,labs!Q:Q,"",0)</f>
        <v>EUEU</v>
      </c>
    </row>
    <row r="495" spans="2:32" ht="15.6" hidden="1" customHeight="1" x14ac:dyDescent="0.25">
      <c r="B495" s="13">
        <v>369</v>
      </c>
      <c r="C495" s="14" t="s">
        <v>53</v>
      </c>
      <c r="D495" s="13">
        <v>1</v>
      </c>
      <c r="E495" s="79">
        <v>45980</v>
      </c>
      <c r="F495" s="81">
        <v>45981</v>
      </c>
      <c r="G495" s="20">
        <f>IFERROR(WEEKNUM(Table4[[#This Row],[Confirmed Pick-up Date]]),"TBD")</f>
        <v>47</v>
      </c>
      <c r="H495" s="20" t="str">
        <f>IFERROR(TEXT(Table4[[#This Row],[Confirmed Pick-up Date]],"yy-mm"),"TBD")</f>
        <v>25-11</v>
      </c>
      <c r="I495" s="67" t="s">
        <v>1628</v>
      </c>
      <c r="J495" s="20" t="str">
        <f>IFERROR(VLOOKUP(Table4[[#This Row],[FromSite-UPS]],Table1[[#All],[Company or Name]:[FromSite3]],15,FALSE),"")</f>
        <v>Funchal WWTP</v>
      </c>
      <c r="K495" s="20" t="str">
        <f>IFERROR(VLOOKUP(Table4[[#This Row],[FromSite-UPS]],Table1[[#All],[Company or Name]:[FromSite3]],16,FALSE),"")</f>
        <v>Madeira, 10 locations</v>
      </c>
      <c r="L495" s="20">
        <f>IFERROR(VLOOKUP(Table4[[#This Row],[FromSite-UPS]],Table1[[#All],[Company or Name]:[FromSite3]],14,FALSE),"")</f>
        <v>0.70833333333333337</v>
      </c>
      <c r="M495" s="13" t="s">
        <v>1011</v>
      </c>
      <c r="N495" s="20"/>
      <c r="O495" s="20"/>
      <c r="P495" s="20"/>
      <c r="Q495" s="20"/>
      <c r="R495" s="20"/>
      <c r="S495" s="20" t="s">
        <v>126</v>
      </c>
      <c r="T495" s="20"/>
      <c r="U495" s="20"/>
      <c r="V495" s="20"/>
      <c r="W495" s="20" t="str">
        <f>TEXT(Table4[[#This Row],[Confirmed Sampling Date]], "yyyy") &amp; "_" &amp; TEXT(Table4[[#This Row],[Confirmed Sampling Date]], "mm") &amp; "_" &amp; TEXT(Table4[[#This Row],[Confirmed Sampling Date]], "dd")</f>
        <v>2025_11_19</v>
      </c>
      <c r="X495" s="20" t="str">
        <f t="shared" si="7"/>
        <v>Funchal</v>
      </c>
      <c r="Y495" s="20" t="str">
        <f>VLOOKUP(Table4[[#This Row],[FromSite-UPS]],Table1[[Company or Name]:[NOTES]],2,FALSE)</f>
        <v>Portugal</v>
      </c>
      <c r="Z495" s="20">
        <f>IFERROR(WEEKNUM(Table4[[#This Row],[Confirmed Sampling Date]] - 10, 21), "TBD")</f>
        <v>45</v>
      </c>
      <c r="AA495" s="20" t="str">
        <f>_xlfn.XLOOKUP(Table4[[#This Row],[FromSite-UPS]],sites!D:D,sites!W:W,"",0)</f>
        <v>R. do Matadouro 4, Funchal, 9050-100, Portugal</v>
      </c>
      <c r="AB495" s="20" t="str">
        <f>_xlfn.XLOOKUP(Table4[[#This Row],[ToLab]],labs!D:D,labs!P:P,"no adres",0)</f>
        <v>Av. Rovisco Pais 1, Laboratorio de Analises de Agua, Lisbon, 1049-001, Portugal</v>
      </c>
      <c r="AC495" s="20">
        <f>_xlfn.XLOOKUP(Table4[[#This Row],[combi]],AREA!E:E,AREA!F:F,"",0)</f>
        <v>89</v>
      </c>
      <c r="AD495" s="20" t="str">
        <f>_xlfn.XLOOKUP(Table4[[#This Row],[combi]],AREA!E:E,AREA!G:G,"",0)</f>
        <v>Pick-up service of hypothetic package as defined in the Tech. Specs. and delivery to lots
2 and 3 contractors according to Scenario 1</v>
      </c>
      <c r="AE495" s="20" t="s">
        <v>126</v>
      </c>
      <c r="AF495" s="20" t="str">
        <f>_xlfn.XLOOKUP(Table4[[#This Row],[FromSite-UPS]],sites!D:D,sites!AB:AB,"",0)&amp;_xlfn.XLOOKUP(Table4[[#This Row],[ToLab]],labs!D:D,labs!Q:Q,"",0)</f>
        <v>EUEU</v>
      </c>
    </row>
    <row r="496" spans="2:32" ht="15.6" hidden="1" customHeight="1" x14ac:dyDescent="0.25">
      <c r="B496" s="13">
        <v>379</v>
      </c>
      <c r="C496" s="14" t="s">
        <v>53</v>
      </c>
      <c r="D496" s="13">
        <v>1</v>
      </c>
      <c r="E496" s="79">
        <v>45980</v>
      </c>
      <c r="F496" s="80">
        <v>45981</v>
      </c>
      <c r="G496" s="20">
        <f>IFERROR(WEEKNUM(Table4[[#This Row],[Confirmed Pick-up Date]]),"TBD")</f>
        <v>47</v>
      </c>
      <c r="H496" s="20" t="str">
        <f>IFERROR(TEXT(Table4[[#This Row],[Confirmed Pick-up Date]],"yy-mm"),"TBD")</f>
        <v>25-11</v>
      </c>
      <c r="I496" s="78" t="s">
        <v>1628</v>
      </c>
      <c r="J496" s="20" t="str">
        <f>IFERROR(VLOOKUP(Table4[[#This Row],[FromSite-UPS]],Table1[[#All],[Company or Name]:[FromSite3]],15,FALSE),"")</f>
        <v>Funchal WWTP</v>
      </c>
      <c r="K496" s="20" t="str">
        <f>IFERROR(VLOOKUP(Table4[[#This Row],[FromSite-UPS]],Table1[[#All],[Company or Name]:[FromSite3]],16,FALSE),"")</f>
        <v>Madeira, 10 locations</v>
      </c>
      <c r="L496" s="20">
        <f>IFERROR(VLOOKUP(Table4[[#This Row],[FromSite-UPS]],Table1[[#All],[Company or Name]:[FromSite3]],14,FALSE),"")</f>
        <v>0.70833333333333337</v>
      </c>
      <c r="M496" s="13" t="s">
        <v>1011</v>
      </c>
      <c r="N496" s="20"/>
      <c r="O496" s="20"/>
      <c r="P496" s="20"/>
      <c r="Q496" s="65"/>
      <c r="R496" s="20"/>
      <c r="S496" s="20" t="s">
        <v>126</v>
      </c>
      <c r="T496" s="20"/>
      <c r="U496" s="20"/>
      <c r="V496" s="20"/>
      <c r="W496" s="20" t="str">
        <f>TEXT(Table4[[#This Row],[Confirmed Sampling Date]], "yyyy") &amp; "_" &amp; TEXT(Table4[[#This Row],[Confirmed Sampling Date]], "mm") &amp; "_" &amp; TEXT(Table4[[#This Row],[Confirmed Sampling Date]], "dd")</f>
        <v>2025_11_19</v>
      </c>
      <c r="X496" s="20" t="str">
        <f t="shared" si="7"/>
        <v>Funchal</v>
      </c>
      <c r="Y496" s="20" t="str">
        <f>VLOOKUP(Table4[[#This Row],[FromSite-UPS]],Table1[[Company or Name]:[NOTES]],2,FALSE)</f>
        <v>Portugal</v>
      </c>
      <c r="Z496" s="20">
        <f>IFERROR(WEEKNUM(Table4[[#This Row],[Confirmed Sampling Date]] - 10, 21), "TBD")</f>
        <v>45</v>
      </c>
      <c r="AA496" s="20" t="str">
        <f>_xlfn.XLOOKUP(Table4[[#This Row],[FromSite-UPS]],sites!D:D,sites!W:W,"",0)</f>
        <v>R. do Matadouro 4, Funchal, 9050-100, Portugal</v>
      </c>
      <c r="AB496" s="20" t="str">
        <f>_xlfn.XLOOKUP(Table4[[#This Row],[ToLab]],labs!D:D,labs!P:P,"no adres",0)</f>
        <v>Av. Rovisco Pais 1, Laboratorio de Analises de Agua, Lisbon, 1049-001, Portugal</v>
      </c>
      <c r="AC496" s="20">
        <f>_xlfn.XLOOKUP(Table4[[#This Row],[combi]],AREA!E:E,AREA!F:F,"",0)</f>
        <v>89</v>
      </c>
      <c r="AD496" s="20" t="str">
        <f>_xlfn.XLOOKUP(Table4[[#This Row],[combi]],AREA!E:E,AREA!G:G,"",0)</f>
        <v>Pick-up service of hypothetic package as defined in the Tech. Specs. and delivery to lots
2 and 3 contractors according to Scenario 1</v>
      </c>
      <c r="AE496" s="20" t="s">
        <v>126</v>
      </c>
      <c r="AF496" s="20" t="str">
        <f>_xlfn.XLOOKUP(Table4[[#This Row],[FromSite-UPS]],sites!D:D,sites!AB:AB,"",0)&amp;_xlfn.XLOOKUP(Table4[[#This Row],[ToLab]],labs!D:D,labs!Q:Q,"",0)</f>
        <v>EUEU</v>
      </c>
    </row>
    <row r="497" spans="2:32" ht="15.6" hidden="1" customHeight="1" x14ac:dyDescent="0.25">
      <c r="B497" s="13">
        <v>389</v>
      </c>
      <c r="C497" s="14" t="s">
        <v>53</v>
      </c>
      <c r="D497" s="13">
        <v>1</v>
      </c>
      <c r="E497" s="79">
        <v>45980</v>
      </c>
      <c r="F497" s="80">
        <v>45981</v>
      </c>
      <c r="G497" s="20">
        <f>IFERROR(WEEKNUM(Table4[[#This Row],[Confirmed Pick-up Date]]),"TBD")</f>
        <v>47</v>
      </c>
      <c r="H497" s="20" t="str">
        <f>IFERROR(TEXT(Table4[[#This Row],[Confirmed Pick-up Date]],"yy-mm"),"TBD")</f>
        <v>25-11</v>
      </c>
      <c r="I497" s="78" t="s">
        <v>1628</v>
      </c>
      <c r="J497" s="20" t="str">
        <f>IFERROR(VLOOKUP(Table4[[#This Row],[FromSite-UPS]],Table1[[#All],[Company or Name]:[FromSite3]],15,FALSE),"")</f>
        <v>Funchal WWTP</v>
      </c>
      <c r="K497" s="20" t="str">
        <f>IFERROR(VLOOKUP(Table4[[#This Row],[FromSite-UPS]],Table1[[#All],[Company or Name]:[FromSite3]],16,FALSE),"")</f>
        <v>Madeira, 10 locations</v>
      </c>
      <c r="L497" s="20">
        <f>IFERROR(VLOOKUP(Table4[[#This Row],[FromSite-UPS]],Table1[[#All],[Company or Name]:[FromSite3]],14,FALSE),"")</f>
        <v>0.70833333333333337</v>
      </c>
      <c r="M497" s="13" t="s">
        <v>1011</v>
      </c>
      <c r="N497" s="20"/>
      <c r="O497" s="20"/>
      <c r="P497" s="20"/>
      <c r="Q497" s="101"/>
      <c r="R497" s="20"/>
      <c r="S497" s="20" t="s">
        <v>126</v>
      </c>
      <c r="T497" s="20"/>
      <c r="U497" s="20"/>
      <c r="V497" s="20"/>
      <c r="W497" s="20" t="str">
        <f>TEXT(Table4[[#This Row],[Confirmed Sampling Date]], "yyyy") &amp; "_" &amp; TEXT(Table4[[#This Row],[Confirmed Sampling Date]], "mm") &amp; "_" &amp; TEXT(Table4[[#This Row],[Confirmed Sampling Date]], "dd")</f>
        <v>2025_11_19</v>
      </c>
      <c r="X497" s="20" t="str">
        <f t="shared" si="7"/>
        <v>Funchal</v>
      </c>
      <c r="Y497" s="20" t="str">
        <f>VLOOKUP(Table4[[#This Row],[FromSite-UPS]],Table1[[Company or Name]:[NOTES]],2,FALSE)</f>
        <v>Portugal</v>
      </c>
      <c r="Z497" s="20">
        <f>IFERROR(WEEKNUM(Table4[[#This Row],[Confirmed Sampling Date]] - 10, 21), "TBD")</f>
        <v>45</v>
      </c>
      <c r="AA497" s="20" t="str">
        <f>_xlfn.XLOOKUP(Table4[[#This Row],[FromSite-UPS]],sites!D:D,sites!W:W,"",0)</f>
        <v>R. do Matadouro 4, Funchal, 9050-100, Portugal</v>
      </c>
      <c r="AB497" s="20" t="str">
        <f>_xlfn.XLOOKUP(Table4[[#This Row],[ToLab]],labs!D:D,labs!P:P,"no adres",0)</f>
        <v>Av. Rovisco Pais 1, Laboratorio de Analises de Agua, Lisbon, 1049-001, Portugal</v>
      </c>
      <c r="AC497" s="20">
        <f>_xlfn.XLOOKUP(Table4[[#This Row],[combi]],AREA!E:E,AREA!F:F,"",0)</f>
        <v>89</v>
      </c>
      <c r="AD497" s="20" t="str">
        <f>_xlfn.XLOOKUP(Table4[[#This Row],[combi]],AREA!E:E,AREA!G:G,"",0)</f>
        <v>Pick-up service of hypothetic package as defined in the Tech. Specs. and delivery to lots
2 and 3 contractors according to Scenario 1</v>
      </c>
      <c r="AE497" s="20" t="s">
        <v>126</v>
      </c>
      <c r="AF497" s="20" t="str">
        <f>_xlfn.XLOOKUP(Table4[[#This Row],[FromSite-UPS]],sites!D:D,sites!AB:AB,"",0)&amp;_xlfn.XLOOKUP(Table4[[#This Row],[ToLab]],labs!D:D,labs!Q:Q,"",0)</f>
        <v>EUEU</v>
      </c>
    </row>
    <row r="498" spans="2:32" ht="15.6" hidden="1" customHeight="1" x14ac:dyDescent="0.25">
      <c r="B498" s="13">
        <v>399</v>
      </c>
      <c r="C498" s="14" t="s">
        <v>53</v>
      </c>
      <c r="D498" s="13">
        <v>1</v>
      </c>
      <c r="E498" s="79">
        <v>45980</v>
      </c>
      <c r="F498" s="81">
        <v>45981</v>
      </c>
      <c r="G498" s="20">
        <f>IFERROR(WEEKNUM(Table4[[#This Row],[Confirmed Pick-up Date]]),"TBD")</f>
        <v>47</v>
      </c>
      <c r="H498" s="20" t="str">
        <f>IFERROR(TEXT(Table4[[#This Row],[Confirmed Pick-up Date]],"yy-mm"),"TBD")</f>
        <v>25-11</v>
      </c>
      <c r="I498" s="78" t="s">
        <v>1628</v>
      </c>
      <c r="J498" s="20" t="str">
        <f>IFERROR(VLOOKUP(Table4[[#This Row],[FromSite-UPS]],Table1[[#All],[Company or Name]:[FromSite3]],15,FALSE),"")</f>
        <v>Funchal WWTP</v>
      </c>
      <c r="K498" s="20" t="str">
        <f>IFERROR(VLOOKUP(Table4[[#This Row],[FromSite-UPS]],Table1[[#All],[Company or Name]:[FromSite3]],16,FALSE),"")</f>
        <v>Madeira, 10 locations</v>
      </c>
      <c r="L498" s="20">
        <f>IFERROR(VLOOKUP(Table4[[#This Row],[FromSite-UPS]],Table1[[#All],[Company or Name]:[FromSite3]],14,FALSE),"")</f>
        <v>0.70833333333333337</v>
      </c>
      <c r="M498" s="13" t="s">
        <v>1011</v>
      </c>
      <c r="N498" s="20"/>
      <c r="O498" s="20"/>
      <c r="P498" s="20"/>
      <c r="Q498" s="20"/>
      <c r="R498" s="20"/>
      <c r="S498" s="20" t="s">
        <v>126</v>
      </c>
      <c r="T498" s="20"/>
      <c r="U498" s="20"/>
      <c r="V498" s="20"/>
      <c r="W498" s="20" t="str">
        <f>TEXT(Table4[[#This Row],[Confirmed Sampling Date]], "yyyy") &amp; "_" &amp; TEXT(Table4[[#This Row],[Confirmed Sampling Date]], "mm") &amp; "_" &amp; TEXT(Table4[[#This Row],[Confirmed Sampling Date]], "dd")</f>
        <v>2025_11_19</v>
      </c>
      <c r="X498" s="20" t="str">
        <f t="shared" si="7"/>
        <v>Funchal</v>
      </c>
      <c r="Y498" s="20" t="str">
        <f>VLOOKUP(Table4[[#This Row],[FromSite-UPS]],Table1[[Company or Name]:[NOTES]],2,FALSE)</f>
        <v>Portugal</v>
      </c>
      <c r="Z498" s="20">
        <f>IFERROR(WEEKNUM(Table4[[#This Row],[Confirmed Sampling Date]] - 10, 21), "TBD")</f>
        <v>45</v>
      </c>
      <c r="AA498" s="20" t="str">
        <f>_xlfn.XLOOKUP(Table4[[#This Row],[FromSite-UPS]],sites!D:D,sites!W:W,"",0)</f>
        <v>R. do Matadouro 4, Funchal, 9050-100, Portugal</v>
      </c>
      <c r="AB498" s="20" t="str">
        <f>_xlfn.XLOOKUP(Table4[[#This Row],[ToLab]],labs!D:D,labs!P:P,"no adres",0)</f>
        <v>Av. Rovisco Pais 1, Laboratorio de Analises de Agua, Lisbon, 1049-001, Portugal</v>
      </c>
      <c r="AC498" s="20">
        <f>_xlfn.XLOOKUP(Table4[[#This Row],[combi]],AREA!E:E,AREA!F:F,"",0)</f>
        <v>89</v>
      </c>
      <c r="AD498" s="20" t="str">
        <f>_xlfn.XLOOKUP(Table4[[#This Row],[combi]],AREA!E:E,AREA!G:G,"",0)</f>
        <v>Pick-up service of hypothetic package as defined in the Tech. Specs. and delivery to lots
2 and 3 contractors according to Scenario 1</v>
      </c>
      <c r="AE498" s="20" t="s">
        <v>126</v>
      </c>
      <c r="AF498" s="20" t="str">
        <f>_xlfn.XLOOKUP(Table4[[#This Row],[FromSite-UPS]],sites!D:D,sites!AB:AB,"",0)&amp;_xlfn.XLOOKUP(Table4[[#This Row],[ToLab]],labs!D:D,labs!Q:Q,"",0)</f>
        <v>EUEU</v>
      </c>
    </row>
    <row r="499" spans="2:32" ht="15.6" hidden="1" customHeight="1" x14ac:dyDescent="0.25">
      <c r="B499" s="13">
        <v>409</v>
      </c>
      <c r="C499" s="14" t="s">
        <v>53</v>
      </c>
      <c r="D499" s="13">
        <v>1</v>
      </c>
      <c r="E499" s="79">
        <v>45980</v>
      </c>
      <c r="F499" s="80">
        <v>45981</v>
      </c>
      <c r="G499" s="20">
        <f>IFERROR(WEEKNUM(Table4[[#This Row],[Confirmed Pick-up Date]]),"TBD")</f>
        <v>47</v>
      </c>
      <c r="H499" s="20" t="str">
        <f>IFERROR(TEXT(Table4[[#This Row],[Confirmed Pick-up Date]],"yy-mm"),"TBD")</f>
        <v>25-11</v>
      </c>
      <c r="I499" s="78" t="s">
        <v>1628</v>
      </c>
      <c r="J499" s="20" t="str">
        <f>IFERROR(VLOOKUP(Table4[[#This Row],[FromSite-UPS]],Table1[[#All],[Company or Name]:[FromSite3]],15,FALSE),"")</f>
        <v>Funchal WWTP</v>
      </c>
      <c r="K499" s="20" t="str">
        <f>IFERROR(VLOOKUP(Table4[[#This Row],[FromSite-UPS]],Table1[[#All],[Company or Name]:[FromSite3]],16,FALSE),"")</f>
        <v>Madeira, 10 locations</v>
      </c>
      <c r="L499" s="20">
        <f>IFERROR(VLOOKUP(Table4[[#This Row],[FromSite-UPS]],Table1[[#All],[Company or Name]:[FromSite3]],14,FALSE),"")</f>
        <v>0.70833333333333337</v>
      </c>
      <c r="M499" s="13" t="s">
        <v>1011</v>
      </c>
      <c r="N499" s="20"/>
      <c r="O499" s="20"/>
      <c r="P499" s="20"/>
      <c r="Q499" s="20"/>
      <c r="R499" s="20"/>
      <c r="S499" s="20" t="s">
        <v>126</v>
      </c>
      <c r="T499" s="20"/>
      <c r="U499" s="20"/>
      <c r="V499" s="20"/>
      <c r="W499" s="20" t="str">
        <f>TEXT(Table4[[#This Row],[Confirmed Sampling Date]], "yyyy") &amp; "_" &amp; TEXT(Table4[[#This Row],[Confirmed Sampling Date]], "mm") &amp; "_" &amp; TEXT(Table4[[#This Row],[Confirmed Sampling Date]], "dd")</f>
        <v>2025_11_19</v>
      </c>
      <c r="X499" s="20" t="str">
        <f t="shared" si="7"/>
        <v>Funchal</v>
      </c>
      <c r="Y499" s="20" t="str">
        <f>VLOOKUP(Table4[[#This Row],[FromSite-UPS]],Table1[[Company or Name]:[NOTES]],2,FALSE)</f>
        <v>Portugal</v>
      </c>
      <c r="Z499" s="20">
        <f>IFERROR(WEEKNUM(Table4[[#This Row],[Confirmed Sampling Date]] - 10, 21), "TBD")</f>
        <v>45</v>
      </c>
      <c r="AA499" s="20" t="str">
        <f>_xlfn.XLOOKUP(Table4[[#This Row],[FromSite-UPS]],sites!D:D,sites!W:W,"",0)</f>
        <v>R. do Matadouro 4, Funchal, 9050-100, Portugal</v>
      </c>
      <c r="AB499" s="20" t="str">
        <f>_xlfn.XLOOKUP(Table4[[#This Row],[ToLab]],labs!D:D,labs!P:P,"no adres",0)</f>
        <v>Av. Rovisco Pais 1, Laboratorio de Analises de Agua, Lisbon, 1049-001, Portugal</v>
      </c>
      <c r="AC499" s="20">
        <f>_xlfn.XLOOKUP(Table4[[#This Row],[combi]],AREA!E:E,AREA!F:F,"",0)</f>
        <v>89</v>
      </c>
      <c r="AD499" s="20" t="str">
        <f>_xlfn.XLOOKUP(Table4[[#This Row],[combi]],AREA!E:E,AREA!G:G,"",0)</f>
        <v>Pick-up service of hypothetic package as defined in the Tech. Specs. and delivery to lots
2 and 3 contractors according to Scenario 1</v>
      </c>
      <c r="AE499" s="20" t="s">
        <v>126</v>
      </c>
      <c r="AF499" s="20" t="str">
        <f>_xlfn.XLOOKUP(Table4[[#This Row],[FromSite-UPS]],sites!D:D,sites!AB:AB,"",0)&amp;_xlfn.XLOOKUP(Table4[[#This Row],[ToLab]],labs!D:D,labs!Q:Q,"",0)</f>
        <v>EUEU</v>
      </c>
    </row>
    <row r="500" spans="2:32" ht="15.6" hidden="1" customHeight="1" x14ac:dyDescent="0.25">
      <c r="B500" s="13">
        <v>419</v>
      </c>
      <c r="C500" s="14" t="s">
        <v>53</v>
      </c>
      <c r="D500" s="13">
        <v>1</v>
      </c>
      <c r="E500" s="79">
        <v>45980</v>
      </c>
      <c r="F500" s="80">
        <v>45981</v>
      </c>
      <c r="G500" s="20">
        <f>IFERROR(WEEKNUM(Table4[[#This Row],[Confirmed Pick-up Date]]),"TBD")</f>
        <v>47</v>
      </c>
      <c r="H500" s="20" t="str">
        <f>IFERROR(TEXT(Table4[[#This Row],[Confirmed Pick-up Date]],"yy-mm"),"TBD")</f>
        <v>25-11</v>
      </c>
      <c r="I500" s="78" t="s">
        <v>1628</v>
      </c>
      <c r="J500" s="20" t="str">
        <f>IFERROR(VLOOKUP(Table4[[#This Row],[FromSite-UPS]],Table1[[#All],[Company or Name]:[FromSite3]],15,FALSE),"")</f>
        <v>Funchal WWTP</v>
      </c>
      <c r="K500" s="20" t="str">
        <f>IFERROR(VLOOKUP(Table4[[#This Row],[FromSite-UPS]],Table1[[#All],[Company or Name]:[FromSite3]],16,FALSE),"")</f>
        <v>Madeira, 10 locations</v>
      </c>
      <c r="L500" s="20">
        <f>IFERROR(VLOOKUP(Table4[[#This Row],[FromSite-UPS]],Table1[[#All],[Company or Name]:[FromSite3]],14,FALSE),"")</f>
        <v>0.70833333333333337</v>
      </c>
      <c r="M500" s="13" t="s">
        <v>1011</v>
      </c>
      <c r="N500" s="20"/>
      <c r="O500" s="20"/>
      <c r="P500" s="20"/>
      <c r="Q500" s="20"/>
      <c r="R500" s="20"/>
      <c r="S500" s="20" t="s">
        <v>126</v>
      </c>
      <c r="T500" s="20"/>
      <c r="U500" s="20"/>
      <c r="V500" s="20"/>
      <c r="W500" s="20" t="str">
        <f>TEXT(Table4[[#This Row],[Confirmed Sampling Date]], "yyyy") &amp; "_" &amp; TEXT(Table4[[#This Row],[Confirmed Sampling Date]], "mm") &amp; "_" &amp; TEXT(Table4[[#This Row],[Confirmed Sampling Date]], "dd")</f>
        <v>2025_11_19</v>
      </c>
      <c r="X500" s="20" t="str">
        <f t="shared" si="7"/>
        <v>Funchal</v>
      </c>
      <c r="Y500" s="20" t="str">
        <f>VLOOKUP(Table4[[#This Row],[FromSite-UPS]],Table1[[Company or Name]:[NOTES]],2,FALSE)</f>
        <v>Portugal</v>
      </c>
      <c r="Z500" s="20">
        <f>IFERROR(WEEKNUM(Table4[[#This Row],[Confirmed Sampling Date]] - 10, 21), "TBD")</f>
        <v>45</v>
      </c>
      <c r="AA500" s="20" t="str">
        <f>_xlfn.XLOOKUP(Table4[[#This Row],[FromSite-UPS]],sites!D:D,sites!W:W,"",0)</f>
        <v>R. do Matadouro 4, Funchal, 9050-100, Portugal</v>
      </c>
      <c r="AB500" s="20" t="str">
        <f>_xlfn.XLOOKUP(Table4[[#This Row],[ToLab]],labs!D:D,labs!P:P,"no adres",0)</f>
        <v>Av. Rovisco Pais 1, Laboratorio de Analises de Agua, Lisbon, 1049-001, Portugal</v>
      </c>
      <c r="AC500" s="20">
        <f>_xlfn.XLOOKUP(Table4[[#This Row],[combi]],AREA!E:E,AREA!F:F,"",0)</f>
        <v>89</v>
      </c>
      <c r="AD500" s="20" t="str">
        <f>_xlfn.XLOOKUP(Table4[[#This Row],[combi]],AREA!E:E,AREA!G:G,"",0)</f>
        <v>Pick-up service of hypothetic package as defined in the Tech. Specs. and delivery to lots
2 and 3 contractors according to Scenario 1</v>
      </c>
      <c r="AE500" s="20" t="s">
        <v>126</v>
      </c>
      <c r="AF500" s="20" t="str">
        <f>_xlfn.XLOOKUP(Table4[[#This Row],[FromSite-UPS]],sites!D:D,sites!AB:AB,"",0)&amp;_xlfn.XLOOKUP(Table4[[#This Row],[ToLab]],labs!D:D,labs!Q:Q,"",0)</f>
        <v>EUEU</v>
      </c>
    </row>
    <row r="501" spans="2:32" ht="15.6" hidden="1" customHeight="1" x14ac:dyDescent="0.25">
      <c r="B501" s="13">
        <v>429</v>
      </c>
      <c r="C501" s="14" t="s">
        <v>53</v>
      </c>
      <c r="D501" s="13">
        <v>1</v>
      </c>
      <c r="E501" s="79">
        <v>45980</v>
      </c>
      <c r="F501" s="80">
        <v>45981</v>
      </c>
      <c r="G501" s="20">
        <f>IFERROR(WEEKNUM(Table4[[#This Row],[Confirmed Pick-up Date]]),"TBD")</f>
        <v>47</v>
      </c>
      <c r="H501" s="20" t="str">
        <f>IFERROR(TEXT(Table4[[#This Row],[Confirmed Pick-up Date]],"yy-mm"),"TBD")</f>
        <v>25-11</v>
      </c>
      <c r="I501" s="78" t="s">
        <v>1628</v>
      </c>
      <c r="J501" s="20" t="str">
        <f>IFERROR(VLOOKUP(Table4[[#This Row],[FromSite-UPS]],Table1[[#All],[Company or Name]:[FromSite3]],15,FALSE),"")</f>
        <v>Funchal WWTP</v>
      </c>
      <c r="K501" s="20" t="str">
        <f>IFERROR(VLOOKUP(Table4[[#This Row],[FromSite-UPS]],Table1[[#All],[Company or Name]:[FromSite3]],16,FALSE),"")</f>
        <v>Madeira, 10 locations</v>
      </c>
      <c r="L501" s="20">
        <f>IFERROR(VLOOKUP(Table4[[#This Row],[FromSite-UPS]],Table1[[#All],[Company or Name]:[FromSite3]],14,FALSE),"")</f>
        <v>0.70833333333333337</v>
      </c>
      <c r="M501" s="13" t="s">
        <v>1011</v>
      </c>
      <c r="N501" s="20"/>
      <c r="O501" s="20"/>
      <c r="P501" s="20"/>
      <c r="Q501" s="20"/>
      <c r="R501" s="20"/>
      <c r="S501" s="20" t="s">
        <v>126</v>
      </c>
      <c r="T501" s="20"/>
      <c r="U501" s="20"/>
      <c r="V501" s="20"/>
      <c r="W501" s="20" t="str">
        <f>TEXT(Table4[[#This Row],[Confirmed Sampling Date]], "yyyy") &amp; "_" &amp; TEXT(Table4[[#This Row],[Confirmed Sampling Date]], "mm") &amp; "_" &amp; TEXT(Table4[[#This Row],[Confirmed Sampling Date]], "dd")</f>
        <v>2025_11_19</v>
      </c>
      <c r="X501" s="20" t="str">
        <f t="shared" si="7"/>
        <v>Funchal</v>
      </c>
      <c r="Y501" s="20" t="str">
        <f>VLOOKUP(Table4[[#This Row],[FromSite-UPS]],Table1[[Company or Name]:[NOTES]],2,FALSE)</f>
        <v>Portugal</v>
      </c>
      <c r="Z501" s="20">
        <f>IFERROR(WEEKNUM(Table4[[#This Row],[Confirmed Sampling Date]] - 10, 21), "TBD")</f>
        <v>45</v>
      </c>
      <c r="AA501" s="20" t="str">
        <f>_xlfn.XLOOKUP(Table4[[#This Row],[FromSite-UPS]],sites!D:D,sites!W:W,"",0)</f>
        <v>R. do Matadouro 4, Funchal, 9050-100, Portugal</v>
      </c>
      <c r="AB501" s="20" t="str">
        <f>_xlfn.XLOOKUP(Table4[[#This Row],[ToLab]],labs!D:D,labs!P:P,"no adres",0)</f>
        <v>Av. Rovisco Pais 1, Laboratorio de Analises de Agua, Lisbon, 1049-001, Portugal</v>
      </c>
      <c r="AC501" s="20">
        <f>_xlfn.XLOOKUP(Table4[[#This Row],[combi]],AREA!E:E,AREA!F:F,"",0)</f>
        <v>89</v>
      </c>
      <c r="AD501" s="20" t="str">
        <f>_xlfn.XLOOKUP(Table4[[#This Row],[combi]],AREA!E:E,AREA!G:G,"",0)</f>
        <v>Pick-up service of hypothetic package as defined in the Tech. Specs. and delivery to lots
2 and 3 contractors according to Scenario 1</v>
      </c>
      <c r="AE501" s="20" t="s">
        <v>126</v>
      </c>
      <c r="AF501" s="20" t="str">
        <f>_xlfn.XLOOKUP(Table4[[#This Row],[FromSite-UPS]],sites!D:D,sites!AB:AB,"",0)&amp;_xlfn.XLOOKUP(Table4[[#This Row],[ToLab]],labs!D:D,labs!Q:Q,"",0)</f>
        <v>EUEU</v>
      </c>
    </row>
    <row r="502" spans="2:32" ht="15.6" hidden="1" customHeight="1" x14ac:dyDescent="0.25">
      <c r="B502" s="13">
        <v>439</v>
      </c>
      <c r="C502" s="14" t="s">
        <v>53</v>
      </c>
      <c r="D502" s="13">
        <v>1</v>
      </c>
      <c r="E502" s="79">
        <v>45980</v>
      </c>
      <c r="F502" s="80">
        <v>45981</v>
      </c>
      <c r="G502" s="20">
        <f>IFERROR(WEEKNUM(Table4[[#This Row],[Confirmed Pick-up Date]]),"TBD")</f>
        <v>47</v>
      </c>
      <c r="H502" s="20" t="str">
        <f>IFERROR(TEXT(Table4[[#This Row],[Confirmed Pick-up Date]],"yy-mm"),"TBD")</f>
        <v>25-11</v>
      </c>
      <c r="I502" s="78" t="s">
        <v>1628</v>
      </c>
      <c r="J502" s="20" t="str">
        <f>IFERROR(VLOOKUP(Table4[[#This Row],[FromSite-UPS]],Table1[[#All],[Company or Name]:[FromSite3]],15,FALSE),"")</f>
        <v>Funchal WWTP</v>
      </c>
      <c r="K502" s="20" t="str">
        <f>IFERROR(VLOOKUP(Table4[[#This Row],[FromSite-UPS]],Table1[[#All],[Company or Name]:[FromSite3]],16,FALSE),"")</f>
        <v>Madeira, 10 locations</v>
      </c>
      <c r="L502" s="20">
        <f>IFERROR(VLOOKUP(Table4[[#This Row],[FromSite-UPS]],Table1[[#All],[Company or Name]:[FromSite3]],14,FALSE),"")</f>
        <v>0.70833333333333337</v>
      </c>
      <c r="M502" s="13" t="s">
        <v>1011</v>
      </c>
      <c r="N502" s="20"/>
      <c r="O502" s="20"/>
      <c r="P502" s="20"/>
      <c r="Q502" s="20"/>
      <c r="R502" s="20"/>
      <c r="S502" s="20" t="s">
        <v>126</v>
      </c>
      <c r="T502" s="20"/>
      <c r="U502" s="20"/>
      <c r="V502" s="20"/>
      <c r="W502" s="20" t="str">
        <f>TEXT(Table4[[#This Row],[Confirmed Sampling Date]], "yyyy") &amp; "_" &amp; TEXT(Table4[[#This Row],[Confirmed Sampling Date]], "mm") &amp; "_" &amp; TEXT(Table4[[#This Row],[Confirmed Sampling Date]], "dd")</f>
        <v>2025_11_19</v>
      </c>
      <c r="X502" s="20" t="str">
        <f t="shared" si="7"/>
        <v>Funchal</v>
      </c>
      <c r="Y502" s="20" t="str">
        <f>VLOOKUP(Table4[[#This Row],[FromSite-UPS]],Table1[[Company or Name]:[NOTES]],2,FALSE)</f>
        <v>Portugal</v>
      </c>
      <c r="Z502" s="20">
        <f>IFERROR(WEEKNUM(Table4[[#This Row],[Confirmed Sampling Date]] - 10, 21), "TBD")</f>
        <v>45</v>
      </c>
      <c r="AA502" s="20" t="str">
        <f>_xlfn.XLOOKUP(Table4[[#This Row],[FromSite-UPS]],sites!D:D,sites!W:W,"",0)</f>
        <v>R. do Matadouro 4, Funchal, 9050-100, Portugal</v>
      </c>
      <c r="AB502" s="20" t="str">
        <f>_xlfn.XLOOKUP(Table4[[#This Row],[ToLab]],labs!D:D,labs!P:P,"no adres",0)</f>
        <v>Av. Rovisco Pais 1, Laboratorio de Analises de Agua, Lisbon, 1049-001, Portugal</v>
      </c>
      <c r="AC502" s="20">
        <f>_xlfn.XLOOKUP(Table4[[#This Row],[combi]],AREA!E:E,AREA!F:F,"",0)</f>
        <v>89</v>
      </c>
      <c r="AD502" s="20" t="str">
        <f>_xlfn.XLOOKUP(Table4[[#This Row],[combi]],AREA!E:E,AREA!G:G,"",0)</f>
        <v>Pick-up service of hypothetic package as defined in the Tech. Specs. and delivery to lots
2 and 3 contractors according to Scenario 1</v>
      </c>
      <c r="AE502" s="20" t="s">
        <v>126</v>
      </c>
      <c r="AF502" s="20" t="str">
        <f>_xlfn.XLOOKUP(Table4[[#This Row],[FromSite-UPS]],sites!D:D,sites!AB:AB,"",0)&amp;_xlfn.XLOOKUP(Table4[[#This Row],[ToLab]],labs!D:D,labs!Q:Q,"",0)</f>
        <v>EUEU</v>
      </c>
    </row>
    <row r="503" spans="2:32" ht="15.6" hidden="1" customHeight="1" x14ac:dyDescent="0.25">
      <c r="B503" s="13">
        <v>449</v>
      </c>
      <c r="C503" s="14" t="s">
        <v>53</v>
      </c>
      <c r="D503" s="13">
        <v>1</v>
      </c>
      <c r="E503" s="79">
        <v>45980</v>
      </c>
      <c r="F503" s="80">
        <v>45981</v>
      </c>
      <c r="G503" s="20">
        <f>IFERROR(WEEKNUM(Table4[[#This Row],[Confirmed Pick-up Date]]),"TBD")</f>
        <v>47</v>
      </c>
      <c r="H503" s="20" t="str">
        <f>IFERROR(TEXT(Table4[[#This Row],[Confirmed Pick-up Date]],"yy-mm"),"TBD")</f>
        <v>25-11</v>
      </c>
      <c r="I503" s="78" t="s">
        <v>1628</v>
      </c>
      <c r="J503" s="20" t="str">
        <f>IFERROR(VLOOKUP(Table4[[#This Row],[FromSite-UPS]],Table1[[#All],[Company or Name]:[FromSite3]],15,FALSE),"")</f>
        <v>Funchal WWTP</v>
      </c>
      <c r="K503" s="20" t="str">
        <f>IFERROR(VLOOKUP(Table4[[#This Row],[FromSite-UPS]],Table1[[#All],[Company or Name]:[FromSite3]],16,FALSE),"")</f>
        <v>Madeira, 10 locations</v>
      </c>
      <c r="L503" s="20">
        <f>IFERROR(VLOOKUP(Table4[[#This Row],[FromSite-UPS]],Table1[[#All],[Company or Name]:[FromSite3]],14,FALSE),"")</f>
        <v>0.70833333333333337</v>
      </c>
      <c r="M503" s="13" t="s">
        <v>1011</v>
      </c>
      <c r="N503" s="20"/>
      <c r="O503" s="20"/>
      <c r="P503" s="20"/>
      <c r="Q503" s="20"/>
      <c r="R503" s="20"/>
      <c r="S503" s="20" t="s">
        <v>126</v>
      </c>
      <c r="T503" s="20"/>
      <c r="U503" s="20"/>
      <c r="V503" s="20"/>
      <c r="W503" s="20" t="str">
        <f>TEXT(Table4[[#This Row],[Confirmed Sampling Date]], "yyyy") &amp; "_" &amp; TEXT(Table4[[#This Row],[Confirmed Sampling Date]], "mm") &amp; "_" &amp; TEXT(Table4[[#This Row],[Confirmed Sampling Date]], "dd")</f>
        <v>2025_11_19</v>
      </c>
      <c r="X503" s="20" t="str">
        <f t="shared" si="7"/>
        <v>Funchal</v>
      </c>
      <c r="Y503" s="20" t="str">
        <f>VLOOKUP(Table4[[#This Row],[FromSite-UPS]],Table1[[Company or Name]:[NOTES]],2,FALSE)</f>
        <v>Portugal</v>
      </c>
      <c r="Z503" s="20">
        <f>IFERROR(WEEKNUM(Table4[[#This Row],[Confirmed Sampling Date]] - 10, 21), "TBD")</f>
        <v>45</v>
      </c>
      <c r="AA503" s="20" t="str">
        <f>_xlfn.XLOOKUP(Table4[[#This Row],[FromSite-UPS]],sites!D:D,sites!W:W,"",0)</f>
        <v>R. do Matadouro 4, Funchal, 9050-100, Portugal</v>
      </c>
      <c r="AB503" s="20" t="str">
        <f>_xlfn.XLOOKUP(Table4[[#This Row],[ToLab]],labs!D:D,labs!P:P,"no adres",0)</f>
        <v>Av. Rovisco Pais 1, Laboratorio de Analises de Agua, Lisbon, 1049-001, Portugal</v>
      </c>
      <c r="AC503" s="20">
        <f>_xlfn.XLOOKUP(Table4[[#This Row],[combi]],AREA!E:E,AREA!F:F,"",0)</f>
        <v>89</v>
      </c>
      <c r="AD503" s="20" t="str">
        <f>_xlfn.XLOOKUP(Table4[[#This Row],[combi]],AREA!E:E,AREA!G:G,"",0)</f>
        <v>Pick-up service of hypothetic package as defined in the Tech. Specs. and delivery to lots
2 and 3 contractors according to Scenario 1</v>
      </c>
      <c r="AE503" s="20" t="s">
        <v>126</v>
      </c>
      <c r="AF503" s="20" t="str">
        <f>_xlfn.XLOOKUP(Table4[[#This Row],[FromSite-UPS]],sites!D:D,sites!AB:AB,"",0)&amp;_xlfn.XLOOKUP(Table4[[#This Row],[ToLab]],labs!D:D,labs!Q:Q,"",0)</f>
        <v>EUEU</v>
      </c>
    </row>
    <row r="504" spans="2:32" ht="15.6" hidden="1" customHeight="1" x14ac:dyDescent="0.25">
      <c r="B504" s="13">
        <v>459</v>
      </c>
      <c r="C504" s="14" t="s">
        <v>53</v>
      </c>
      <c r="D504" s="13">
        <v>1</v>
      </c>
      <c r="E504" s="79">
        <v>45980</v>
      </c>
      <c r="F504" s="80">
        <v>45981</v>
      </c>
      <c r="G504" s="20">
        <f>IFERROR(WEEKNUM(Table4[[#This Row],[Confirmed Pick-up Date]]),"TBD")</f>
        <v>47</v>
      </c>
      <c r="H504" s="20" t="str">
        <f>IFERROR(TEXT(Table4[[#This Row],[Confirmed Pick-up Date]],"yy-mm"),"TBD")</f>
        <v>25-11</v>
      </c>
      <c r="I504" s="78" t="s">
        <v>1628</v>
      </c>
      <c r="J504" s="20" t="str">
        <f>IFERROR(VLOOKUP(Table4[[#This Row],[FromSite-UPS]],Table1[[#All],[Company or Name]:[FromSite3]],15,FALSE),"")</f>
        <v>Funchal WWTP</v>
      </c>
      <c r="K504" s="20" t="str">
        <f>IFERROR(VLOOKUP(Table4[[#This Row],[FromSite-UPS]],Table1[[#All],[Company or Name]:[FromSite3]],16,FALSE),"")</f>
        <v>Madeira, 10 locations</v>
      </c>
      <c r="L504" s="20">
        <f>IFERROR(VLOOKUP(Table4[[#This Row],[FromSite-UPS]],Table1[[#All],[Company or Name]:[FromSite3]],14,FALSE),"")</f>
        <v>0.70833333333333337</v>
      </c>
      <c r="M504" s="13" t="s">
        <v>1011</v>
      </c>
      <c r="N504" s="20"/>
      <c r="O504" s="20"/>
      <c r="P504" s="20"/>
      <c r="Q504" s="20"/>
      <c r="R504" s="20"/>
      <c r="S504" s="20" t="s">
        <v>126</v>
      </c>
      <c r="T504" s="20"/>
      <c r="U504" s="20"/>
      <c r="V504" s="20"/>
      <c r="W504" s="20" t="str">
        <f>TEXT(Table4[[#This Row],[Confirmed Sampling Date]], "yyyy") &amp; "_" &amp; TEXT(Table4[[#This Row],[Confirmed Sampling Date]], "mm") &amp; "_" &amp; TEXT(Table4[[#This Row],[Confirmed Sampling Date]], "dd")</f>
        <v>2025_11_19</v>
      </c>
      <c r="X504" s="20" t="str">
        <f t="shared" si="7"/>
        <v>Funchal</v>
      </c>
      <c r="Y504" s="20" t="str">
        <f>VLOOKUP(Table4[[#This Row],[FromSite-UPS]],Table1[[Company or Name]:[NOTES]],2,FALSE)</f>
        <v>Portugal</v>
      </c>
      <c r="Z504" s="20">
        <f>IFERROR(WEEKNUM(Table4[[#This Row],[Confirmed Sampling Date]] - 10, 21), "TBD")</f>
        <v>45</v>
      </c>
      <c r="AA504" s="20" t="str">
        <f>_xlfn.XLOOKUP(Table4[[#This Row],[FromSite-UPS]],sites!D:D,sites!W:W,"",0)</f>
        <v>R. do Matadouro 4, Funchal, 9050-100, Portugal</v>
      </c>
      <c r="AB504" s="20" t="str">
        <f>_xlfn.XLOOKUP(Table4[[#This Row],[ToLab]],labs!D:D,labs!P:P,"no adres",0)</f>
        <v>Av. Rovisco Pais 1, Laboratorio de Analises de Agua, Lisbon, 1049-001, Portugal</v>
      </c>
      <c r="AC504" s="20">
        <f>_xlfn.XLOOKUP(Table4[[#This Row],[combi]],AREA!E:E,AREA!F:F,"",0)</f>
        <v>89</v>
      </c>
      <c r="AD504" s="20" t="str">
        <f>_xlfn.XLOOKUP(Table4[[#This Row],[combi]],AREA!E:E,AREA!G:G,"",0)</f>
        <v>Pick-up service of hypothetic package as defined in the Tech. Specs. and delivery to lots
2 and 3 contractors according to Scenario 1</v>
      </c>
      <c r="AE504" s="20" t="s">
        <v>126</v>
      </c>
      <c r="AF504" s="20" t="str">
        <f>_xlfn.XLOOKUP(Table4[[#This Row],[FromSite-UPS]],sites!D:D,sites!AB:AB,"",0)&amp;_xlfn.XLOOKUP(Table4[[#This Row],[ToLab]],labs!D:D,labs!Q:Q,"",0)</f>
        <v>EUEU</v>
      </c>
    </row>
    <row r="505" spans="2:32" ht="15.6" hidden="1" customHeight="1" x14ac:dyDescent="0.25">
      <c r="B505" s="13">
        <v>469</v>
      </c>
      <c r="C505" s="14" t="s">
        <v>53</v>
      </c>
      <c r="D505" s="13">
        <v>1</v>
      </c>
      <c r="E505" s="79">
        <v>45980</v>
      </c>
      <c r="F505" s="80">
        <v>45981</v>
      </c>
      <c r="G505" s="20">
        <f>IFERROR(WEEKNUM(Table4[[#This Row],[Confirmed Pick-up Date]]),"TBD")</f>
        <v>47</v>
      </c>
      <c r="H505" s="20" t="str">
        <f>IFERROR(TEXT(Table4[[#This Row],[Confirmed Pick-up Date]],"yy-mm"),"TBD")</f>
        <v>25-11</v>
      </c>
      <c r="I505" s="78" t="s">
        <v>1628</v>
      </c>
      <c r="J505" s="20" t="str">
        <f>IFERROR(VLOOKUP(Table4[[#This Row],[FromSite-UPS]],Table1[[#All],[Company or Name]:[FromSite3]],15,FALSE),"")</f>
        <v>Funchal WWTP</v>
      </c>
      <c r="K505" s="20" t="str">
        <f>IFERROR(VLOOKUP(Table4[[#This Row],[FromSite-UPS]],Table1[[#All],[Company or Name]:[FromSite3]],16,FALSE),"")</f>
        <v>Madeira, 10 locations</v>
      </c>
      <c r="L505" s="20">
        <f>IFERROR(VLOOKUP(Table4[[#This Row],[FromSite-UPS]],Table1[[#All],[Company or Name]:[FromSite3]],14,FALSE),"")</f>
        <v>0.70833333333333337</v>
      </c>
      <c r="M505" s="13" t="s">
        <v>1011</v>
      </c>
      <c r="N505" s="20"/>
      <c r="O505" s="20"/>
      <c r="P505" s="20"/>
      <c r="Q505" s="65"/>
      <c r="R505" s="20"/>
      <c r="S505" s="20" t="s">
        <v>126</v>
      </c>
      <c r="T505" s="20"/>
      <c r="U505" s="20"/>
      <c r="V505" s="20"/>
      <c r="W505" s="20" t="str">
        <f>TEXT(Table4[[#This Row],[Confirmed Sampling Date]], "yyyy") &amp; "_" &amp; TEXT(Table4[[#This Row],[Confirmed Sampling Date]], "mm") &amp; "_" &amp; TEXT(Table4[[#This Row],[Confirmed Sampling Date]], "dd")</f>
        <v>2025_11_19</v>
      </c>
      <c r="X505" s="20" t="str">
        <f t="shared" si="7"/>
        <v>Funchal</v>
      </c>
      <c r="Y505" s="20" t="str">
        <f>VLOOKUP(Table4[[#This Row],[FromSite-UPS]],Table1[[Company or Name]:[NOTES]],2,FALSE)</f>
        <v>Portugal</v>
      </c>
      <c r="Z505" s="20">
        <f>IFERROR(WEEKNUM(Table4[[#This Row],[Confirmed Sampling Date]] - 10, 21), "TBD")</f>
        <v>45</v>
      </c>
      <c r="AA505" s="20" t="str">
        <f>_xlfn.XLOOKUP(Table4[[#This Row],[FromSite-UPS]],sites!D:D,sites!W:W,"",0)</f>
        <v>R. do Matadouro 4, Funchal, 9050-100, Portugal</v>
      </c>
      <c r="AB505" s="20" t="str">
        <f>_xlfn.XLOOKUP(Table4[[#This Row],[ToLab]],labs!D:D,labs!P:P,"no adres",0)</f>
        <v>Av. Rovisco Pais 1, Laboratorio de Analises de Agua, Lisbon, 1049-001, Portugal</v>
      </c>
      <c r="AC505" s="20">
        <f>_xlfn.XLOOKUP(Table4[[#This Row],[combi]],AREA!E:E,AREA!F:F,"",0)</f>
        <v>89</v>
      </c>
      <c r="AD505" s="20" t="str">
        <f>_xlfn.XLOOKUP(Table4[[#This Row],[combi]],AREA!E:E,AREA!G:G,"",0)</f>
        <v>Pick-up service of hypothetic package as defined in the Tech. Specs. and delivery to lots
2 and 3 contractors according to Scenario 1</v>
      </c>
      <c r="AE505" s="20" t="s">
        <v>126</v>
      </c>
      <c r="AF505" s="20" t="str">
        <f>_xlfn.XLOOKUP(Table4[[#This Row],[FromSite-UPS]],sites!D:D,sites!AB:AB,"",0)&amp;_xlfn.XLOOKUP(Table4[[#This Row],[ToLab]],labs!D:D,labs!Q:Q,"",0)</f>
        <v>EUEU</v>
      </c>
    </row>
    <row r="506" spans="2:32" ht="15.6" hidden="1" customHeight="1" x14ac:dyDescent="0.25">
      <c r="B506" s="13">
        <v>479</v>
      </c>
      <c r="C506" s="14" t="s">
        <v>53</v>
      </c>
      <c r="D506" s="13">
        <v>1</v>
      </c>
      <c r="E506" s="79">
        <v>45980</v>
      </c>
      <c r="F506" s="80">
        <v>45981</v>
      </c>
      <c r="G506" s="20">
        <f>IFERROR(WEEKNUM(Table4[[#This Row],[Confirmed Pick-up Date]]),"TBD")</f>
        <v>47</v>
      </c>
      <c r="H506" s="20" t="str">
        <f>IFERROR(TEXT(Table4[[#This Row],[Confirmed Pick-up Date]],"yy-mm"),"TBD")</f>
        <v>25-11</v>
      </c>
      <c r="I506" s="78" t="s">
        <v>1628</v>
      </c>
      <c r="J506" s="20" t="str">
        <f>IFERROR(VLOOKUP(Table4[[#This Row],[FromSite-UPS]],Table1[[#All],[Company or Name]:[FromSite3]],15,FALSE),"")</f>
        <v>Funchal WWTP</v>
      </c>
      <c r="K506" s="20" t="str">
        <f>IFERROR(VLOOKUP(Table4[[#This Row],[FromSite-UPS]],Table1[[#All],[Company or Name]:[FromSite3]],16,FALSE),"")</f>
        <v>Madeira, 10 locations</v>
      </c>
      <c r="L506" s="20">
        <f>IFERROR(VLOOKUP(Table4[[#This Row],[FromSite-UPS]],Table1[[#All],[Company or Name]:[FromSite3]],14,FALSE),"")</f>
        <v>0.70833333333333337</v>
      </c>
      <c r="M506" s="13" t="s">
        <v>1011</v>
      </c>
      <c r="N506" s="20"/>
      <c r="O506" s="20"/>
      <c r="P506" s="20"/>
      <c r="Q506" s="101"/>
      <c r="R506" s="20"/>
      <c r="S506" s="20" t="s">
        <v>126</v>
      </c>
      <c r="T506" s="20"/>
      <c r="U506" s="20"/>
      <c r="V506" s="20"/>
      <c r="W506" s="20" t="str">
        <f>TEXT(Table4[[#This Row],[Confirmed Sampling Date]], "yyyy") &amp; "_" &amp; TEXT(Table4[[#This Row],[Confirmed Sampling Date]], "mm") &amp; "_" &amp; TEXT(Table4[[#This Row],[Confirmed Sampling Date]], "dd")</f>
        <v>2025_11_19</v>
      </c>
      <c r="X506" s="20" t="str">
        <f t="shared" si="7"/>
        <v>Funchal</v>
      </c>
      <c r="Y506" s="20" t="str">
        <f>VLOOKUP(Table4[[#This Row],[FromSite-UPS]],Table1[[Company or Name]:[NOTES]],2,FALSE)</f>
        <v>Portugal</v>
      </c>
      <c r="Z506" s="20">
        <f>IFERROR(WEEKNUM(Table4[[#This Row],[Confirmed Sampling Date]] - 10, 21), "TBD")</f>
        <v>45</v>
      </c>
      <c r="AA506" s="20" t="str">
        <f>_xlfn.XLOOKUP(Table4[[#This Row],[FromSite-UPS]],sites!D:D,sites!W:W,"",0)</f>
        <v>R. do Matadouro 4, Funchal, 9050-100, Portugal</v>
      </c>
      <c r="AB506" s="20" t="str">
        <f>_xlfn.XLOOKUP(Table4[[#This Row],[ToLab]],labs!D:D,labs!P:P,"no adres",0)</f>
        <v>Av. Rovisco Pais 1, Laboratorio de Analises de Agua, Lisbon, 1049-001, Portugal</v>
      </c>
      <c r="AC506" s="20">
        <f>_xlfn.XLOOKUP(Table4[[#This Row],[combi]],AREA!E:E,AREA!F:F,"",0)</f>
        <v>89</v>
      </c>
      <c r="AD506" s="20" t="str">
        <f>_xlfn.XLOOKUP(Table4[[#This Row],[combi]],AREA!E:E,AREA!G:G,"",0)</f>
        <v>Pick-up service of hypothetic package as defined in the Tech. Specs. and delivery to lots
2 and 3 contractors according to Scenario 1</v>
      </c>
      <c r="AE506" s="20" t="s">
        <v>126</v>
      </c>
      <c r="AF506" s="20" t="str">
        <f>_xlfn.XLOOKUP(Table4[[#This Row],[FromSite-UPS]],sites!D:D,sites!AB:AB,"",0)&amp;_xlfn.XLOOKUP(Table4[[#This Row],[ToLab]],labs!D:D,labs!Q:Q,"",0)</f>
        <v>EUEU</v>
      </c>
    </row>
    <row r="507" spans="2:32" ht="15.6" hidden="1" customHeight="1" x14ac:dyDescent="0.25">
      <c r="B507" s="13">
        <v>489</v>
      </c>
      <c r="C507" s="14" t="s">
        <v>53</v>
      </c>
      <c r="D507" s="13">
        <v>1</v>
      </c>
      <c r="E507" s="79">
        <v>45980</v>
      </c>
      <c r="F507" s="80">
        <v>45981</v>
      </c>
      <c r="G507" s="20">
        <f>IFERROR(WEEKNUM(Table4[[#This Row],[Confirmed Pick-up Date]]),"TBD")</f>
        <v>47</v>
      </c>
      <c r="H507" s="20" t="str">
        <f>IFERROR(TEXT(Table4[[#This Row],[Confirmed Pick-up Date]],"yy-mm"),"TBD")</f>
        <v>25-11</v>
      </c>
      <c r="I507" s="78" t="s">
        <v>1628</v>
      </c>
      <c r="J507" s="20" t="str">
        <f>IFERROR(VLOOKUP(Table4[[#This Row],[FromSite-UPS]],Table1[[#All],[Company or Name]:[FromSite3]],15,FALSE),"")</f>
        <v>Funchal WWTP</v>
      </c>
      <c r="K507" s="20" t="str">
        <f>IFERROR(VLOOKUP(Table4[[#This Row],[FromSite-UPS]],Table1[[#All],[Company or Name]:[FromSite3]],16,FALSE),"")</f>
        <v>Madeira, 10 locations</v>
      </c>
      <c r="L507" s="20">
        <f>IFERROR(VLOOKUP(Table4[[#This Row],[FromSite-UPS]],Table1[[#All],[Company or Name]:[FromSite3]],14,FALSE),"")</f>
        <v>0.70833333333333337</v>
      </c>
      <c r="M507" s="13" t="s">
        <v>1011</v>
      </c>
      <c r="N507" s="20"/>
      <c r="O507" s="20"/>
      <c r="P507" s="20"/>
      <c r="Q507" s="20"/>
      <c r="R507" s="20"/>
      <c r="S507" s="20" t="s">
        <v>126</v>
      </c>
      <c r="T507" s="20"/>
      <c r="U507" s="20"/>
      <c r="V507" s="20"/>
      <c r="W507" s="20" t="str">
        <f>TEXT(Table4[[#This Row],[Confirmed Sampling Date]], "yyyy") &amp; "_" &amp; TEXT(Table4[[#This Row],[Confirmed Sampling Date]], "mm") &amp; "_" &amp; TEXT(Table4[[#This Row],[Confirmed Sampling Date]], "dd")</f>
        <v>2025_11_19</v>
      </c>
      <c r="X507" s="20" t="str">
        <f t="shared" si="7"/>
        <v>Funchal</v>
      </c>
      <c r="Y507" s="20" t="str">
        <f>VLOOKUP(Table4[[#This Row],[FromSite-UPS]],Table1[[Company or Name]:[NOTES]],2,FALSE)</f>
        <v>Portugal</v>
      </c>
      <c r="Z507" s="20">
        <f>IFERROR(WEEKNUM(Table4[[#This Row],[Confirmed Sampling Date]] - 10, 21), "TBD")</f>
        <v>45</v>
      </c>
      <c r="AA507" s="20" t="str">
        <f>_xlfn.XLOOKUP(Table4[[#This Row],[FromSite-UPS]],sites!D:D,sites!W:W,"",0)</f>
        <v>R. do Matadouro 4, Funchal, 9050-100, Portugal</v>
      </c>
      <c r="AB507" s="20" t="str">
        <f>_xlfn.XLOOKUP(Table4[[#This Row],[ToLab]],labs!D:D,labs!P:P,"no adres",0)</f>
        <v>Av. Rovisco Pais 1, Laboratorio de Analises de Agua, Lisbon, 1049-001, Portugal</v>
      </c>
      <c r="AC507" s="20">
        <f>_xlfn.XLOOKUP(Table4[[#This Row],[combi]],AREA!E:E,AREA!F:F,"",0)</f>
        <v>89</v>
      </c>
      <c r="AD507" s="20" t="str">
        <f>_xlfn.XLOOKUP(Table4[[#This Row],[combi]],AREA!E:E,AREA!G:G,"",0)</f>
        <v>Pick-up service of hypothetic package as defined in the Tech. Specs. and delivery to lots
2 and 3 contractors according to Scenario 1</v>
      </c>
      <c r="AE507" s="20" t="s">
        <v>126</v>
      </c>
      <c r="AF507" s="20" t="str">
        <f>_xlfn.XLOOKUP(Table4[[#This Row],[FromSite-UPS]],sites!D:D,sites!AB:AB,"",0)&amp;_xlfn.XLOOKUP(Table4[[#This Row],[ToLab]],labs!D:D,labs!Q:Q,"",0)</f>
        <v>EUEU</v>
      </c>
    </row>
    <row r="508" spans="2:32" ht="15.6" hidden="1" customHeight="1" x14ac:dyDescent="0.25">
      <c r="B508" s="13">
        <v>499</v>
      </c>
      <c r="C508" s="14" t="s">
        <v>53</v>
      </c>
      <c r="D508" s="13">
        <v>1</v>
      </c>
      <c r="E508" s="79">
        <v>45980</v>
      </c>
      <c r="F508" s="80">
        <v>45981</v>
      </c>
      <c r="G508" s="20">
        <f>IFERROR(WEEKNUM(Table4[[#This Row],[Confirmed Pick-up Date]]),"TBD")</f>
        <v>47</v>
      </c>
      <c r="H508" s="20" t="str">
        <f>IFERROR(TEXT(Table4[[#This Row],[Confirmed Pick-up Date]],"yy-mm"),"TBD")</f>
        <v>25-11</v>
      </c>
      <c r="I508" s="78" t="s">
        <v>1628</v>
      </c>
      <c r="J508" s="20" t="str">
        <f>IFERROR(VLOOKUP(Table4[[#This Row],[FromSite-UPS]],Table1[[#All],[Company or Name]:[FromSite3]],15,FALSE),"")</f>
        <v>Funchal WWTP</v>
      </c>
      <c r="K508" s="20" t="str">
        <f>IFERROR(VLOOKUP(Table4[[#This Row],[FromSite-UPS]],Table1[[#All],[Company or Name]:[FromSite3]],16,FALSE),"")</f>
        <v>Madeira, 10 locations</v>
      </c>
      <c r="L508" s="20">
        <f>IFERROR(VLOOKUP(Table4[[#This Row],[FromSite-UPS]],Table1[[#All],[Company or Name]:[FromSite3]],14,FALSE),"")</f>
        <v>0.70833333333333337</v>
      </c>
      <c r="M508" s="13" t="s">
        <v>1011</v>
      </c>
      <c r="N508" s="20"/>
      <c r="O508" s="20"/>
      <c r="P508" s="20"/>
      <c r="Q508" s="20"/>
      <c r="R508" s="20"/>
      <c r="S508" s="20" t="s">
        <v>126</v>
      </c>
      <c r="T508" s="20"/>
      <c r="U508" s="20"/>
      <c r="V508" s="20"/>
      <c r="W508" s="20" t="str">
        <f>TEXT(Table4[[#This Row],[Confirmed Sampling Date]], "yyyy") &amp; "_" &amp; TEXT(Table4[[#This Row],[Confirmed Sampling Date]], "mm") &amp; "_" &amp; TEXT(Table4[[#This Row],[Confirmed Sampling Date]], "dd")</f>
        <v>2025_11_19</v>
      </c>
      <c r="X508" s="20" t="str">
        <f t="shared" si="7"/>
        <v>Funchal</v>
      </c>
      <c r="Y508" s="20" t="str">
        <f>VLOOKUP(Table4[[#This Row],[FromSite-UPS]],Table1[[Company or Name]:[NOTES]],2,FALSE)</f>
        <v>Portugal</v>
      </c>
      <c r="Z508" s="20">
        <f>IFERROR(WEEKNUM(Table4[[#This Row],[Confirmed Sampling Date]] - 10, 21), "TBD")</f>
        <v>45</v>
      </c>
      <c r="AA508" s="20" t="str">
        <f>_xlfn.XLOOKUP(Table4[[#This Row],[FromSite-UPS]],sites!D:D,sites!W:W,"",0)</f>
        <v>R. do Matadouro 4, Funchal, 9050-100, Portugal</v>
      </c>
      <c r="AB508" s="20" t="str">
        <f>_xlfn.XLOOKUP(Table4[[#This Row],[ToLab]],labs!D:D,labs!P:P,"no adres",0)</f>
        <v>Av. Rovisco Pais 1, Laboratorio de Analises de Agua, Lisbon, 1049-001, Portugal</v>
      </c>
      <c r="AC508" s="20">
        <f>_xlfn.XLOOKUP(Table4[[#This Row],[combi]],AREA!E:E,AREA!F:F,"",0)</f>
        <v>89</v>
      </c>
      <c r="AD508" s="20" t="str">
        <f>_xlfn.XLOOKUP(Table4[[#This Row],[combi]],AREA!E:E,AREA!G:G,"",0)</f>
        <v>Pick-up service of hypothetic package as defined in the Tech. Specs. and delivery to lots
2 and 3 contractors according to Scenario 1</v>
      </c>
      <c r="AE508" s="20" t="s">
        <v>126</v>
      </c>
      <c r="AF508" s="20" t="str">
        <f>_xlfn.XLOOKUP(Table4[[#This Row],[FromSite-UPS]],sites!D:D,sites!AB:AB,"",0)&amp;_xlfn.XLOOKUP(Table4[[#This Row],[ToLab]],labs!D:D,labs!Q:Q,"",0)</f>
        <v>EUEU</v>
      </c>
    </row>
    <row r="509" spans="2:32" ht="15.6" hidden="1" customHeight="1" x14ac:dyDescent="0.25">
      <c r="B509" s="13">
        <v>508</v>
      </c>
      <c r="C509" s="14" t="s">
        <v>53</v>
      </c>
      <c r="D509" s="13">
        <v>1</v>
      </c>
      <c r="E509" s="79">
        <v>45978</v>
      </c>
      <c r="F509" s="80">
        <v>45981</v>
      </c>
      <c r="G509" s="20">
        <f>IFERROR(WEEKNUM(Table4[[#This Row],[Confirmed Pick-up Date]]),"TBD")</f>
        <v>47</v>
      </c>
      <c r="H509" s="20" t="str">
        <f>IFERROR(TEXT(Table4[[#This Row],[Confirmed Pick-up Date]],"yy-mm"),"TBD")</f>
        <v>25-11</v>
      </c>
      <c r="I509" s="78" t="s">
        <v>1114</v>
      </c>
      <c r="J509" s="20" t="str">
        <f>IFERROR(VLOOKUP(Table4[[#This Row],[FromSite-UPS]],Table1[[#All],[Company or Name]:[FromSite3]],15,FALSE),"")</f>
        <v>Uppsala WWTP</v>
      </c>
      <c r="K509" s="20" t="str">
        <f>IFERROR(VLOOKUP(Table4[[#This Row],[FromSite-UPS]],Table1[[#All],[Company or Name]:[FromSite3]],16,FALSE),"")</f>
        <v>-</v>
      </c>
      <c r="L509" s="20">
        <f>IFERROR(VLOOKUP(Table4[[#This Row],[FromSite-UPS]],Table1[[#All],[Company or Name]:[FromSite3]],14,FALSE),"")</f>
        <v>0.58333333333333337</v>
      </c>
      <c r="M509" s="13" t="s">
        <v>1011</v>
      </c>
      <c r="N509" s="20"/>
      <c r="O509" s="20"/>
      <c r="P509" s="20"/>
      <c r="Q509" s="20"/>
      <c r="R509" s="20"/>
      <c r="S509" s="20" t="s">
        <v>126</v>
      </c>
      <c r="T509" s="20"/>
      <c r="U509" s="20"/>
      <c r="V509" s="20"/>
      <c r="W509" s="20" t="str">
        <f>TEXT(Table4[[#This Row],[Confirmed Sampling Date]], "yyyy") &amp; "_" &amp; TEXT(Table4[[#This Row],[Confirmed Sampling Date]], "mm") &amp; "_" &amp; TEXT(Table4[[#This Row],[Confirmed Sampling Date]], "dd")</f>
        <v>2025_11_17</v>
      </c>
      <c r="X509" s="20" t="str">
        <f t="shared" si="7"/>
        <v>Uppsala</v>
      </c>
      <c r="Y509" s="20" t="str">
        <f>VLOOKUP(Table4[[#This Row],[FromSite-UPS]],Table1[[Company or Name]:[NOTES]],2,FALSE)</f>
        <v>Sweden</v>
      </c>
      <c r="Z509" s="20">
        <f>IFERROR(WEEKNUM(Table4[[#This Row],[Confirmed Sampling Date]] - 10, 21), "TBD")</f>
        <v>45</v>
      </c>
      <c r="AA509" s="20" t="str">
        <f>_xlfn.XLOOKUP(Table4[[#This Row],[FromSite-UPS]],sites!D:D,sites!W:W,"",0)</f>
        <v>Gerda Nilssons väg 5, Uppsala, 756 51, Sweden</v>
      </c>
      <c r="AB509" s="20" t="str">
        <f>_xlfn.XLOOKUP(Table4[[#This Row],[ToLab]],labs!D:D,labs!P:P,"no adres",0)</f>
        <v>Av. Rovisco Pais 1, Laboratorio de Analises de Agua, Lisbon, 1049-001, Portugal</v>
      </c>
      <c r="AC509" s="20" t="str">
        <f>_xlfn.XLOOKUP(Table4[[#This Row],[combi]],AREA!E:E,AREA!F:F,"",0)</f>
        <v/>
      </c>
      <c r="AD509" s="20" t="str">
        <f>_xlfn.XLOOKUP(Table4[[#This Row],[combi]],AREA!E:E,AREA!G:G,"",0)</f>
        <v/>
      </c>
      <c r="AE509" s="20" t="s">
        <v>126</v>
      </c>
      <c r="AF509" s="20" t="s">
        <v>126</v>
      </c>
    </row>
    <row r="510" spans="2:32" ht="15.6" hidden="1" customHeight="1" x14ac:dyDescent="0.25">
      <c r="B510" s="13">
        <v>544</v>
      </c>
      <c r="C510" s="14" t="s">
        <v>53</v>
      </c>
      <c r="D510" s="13">
        <v>1</v>
      </c>
      <c r="E510" s="83">
        <v>45980</v>
      </c>
      <c r="F510" s="83">
        <v>45981</v>
      </c>
      <c r="G510" s="20">
        <f>IFERROR(WEEKNUM(Table4[[#This Row],[Confirmed Pick-up Date]]),"TBD")</f>
        <v>47</v>
      </c>
      <c r="H510" s="20" t="str">
        <f>IFERROR(TEXT(Table4[[#This Row],[Confirmed Pick-up Date]],"yy-mm"),"TBD")</f>
        <v>25-11</v>
      </c>
      <c r="I510" s="13" t="s">
        <v>1628</v>
      </c>
      <c r="J510" s="20" t="str">
        <f>IFERROR(VLOOKUP(Table4[[#This Row],[FromSite-UPS]],Table1[[#All],[Company or Name]:[FromSite3]],15,FALSE),"")</f>
        <v>Funchal WWTP</v>
      </c>
      <c r="K510" s="20" t="str">
        <f>IFERROR(VLOOKUP(Table4[[#This Row],[FromSite-UPS]],Table1[[#All],[Company or Name]:[FromSite3]],16,FALSE),"")</f>
        <v>Madeira, 10 locations</v>
      </c>
      <c r="L510" s="20">
        <f>IFERROR(VLOOKUP(Table4[[#This Row],[FromSite-UPS]],Table1[[#All],[Company or Name]:[FromSite3]],14,FALSE),"")</f>
        <v>0.70833333333333337</v>
      </c>
      <c r="M510" s="13" t="s">
        <v>1283</v>
      </c>
      <c r="N510" s="20"/>
      <c r="O510" s="20"/>
      <c r="P510" s="20"/>
      <c r="Q510" s="20"/>
      <c r="R510" s="20"/>
      <c r="S510" s="20" t="s">
        <v>126</v>
      </c>
      <c r="T510" s="20"/>
      <c r="U510" s="20"/>
      <c r="V510" s="20"/>
      <c r="W510" s="20" t="str">
        <f>TEXT(Table4[[#This Row],[Confirmed Sampling Date]], "yyyy") &amp; "_" &amp; TEXT(Table4[[#This Row],[Confirmed Sampling Date]], "mm") &amp; "_" &amp; TEXT(Table4[[#This Row],[Confirmed Sampling Date]], "dd")</f>
        <v>2025_11_19</v>
      </c>
      <c r="X510" s="20" t="str">
        <f t="shared" si="7"/>
        <v>Funchal</v>
      </c>
      <c r="Y510" s="20" t="str">
        <f>VLOOKUP(Table4[[#This Row],[FromSite-UPS]],Table1[[Company or Name]:[NOTES]],2,FALSE)</f>
        <v>Portugal</v>
      </c>
      <c r="Z510" s="20">
        <f>IFERROR(WEEKNUM(Table4[[#This Row],[Confirmed Sampling Date]] - 10, 21), "TBD")</f>
        <v>45</v>
      </c>
      <c r="AA510" s="20" t="str">
        <f>_xlfn.XLOOKUP(Table4[[#This Row],[FromSite-UPS]],sites!D:D,sites!W:W,"",0)</f>
        <v>R. do Matadouro 4, Funchal, 9050-100, Portugal</v>
      </c>
      <c r="AB510" s="20" t="str">
        <f>_xlfn.XLOOKUP(Table4[[#This Row],[ToLab]],labs!D:D,labs!P:P,"no adres",0)</f>
        <v>C. del Dracma 16-18, Labaqua SAU - Sede Alicante, Alicante, 03114 , Spain</v>
      </c>
      <c r="AC510" s="20">
        <f>_xlfn.XLOOKUP(Table4[[#This Row],[combi]],AREA!E:E,AREA!F:F,"",0)</f>
        <v>89</v>
      </c>
      <c r="AD510" s="20" t="str">
        <f>_xlfn.XLOOKUP(Table4[[#This Row],[combi]],AREA!E:E,AREA!G:G,"",0)</f>
        <v>Pick-up service of hypothetic package as defined in the Tech. Specs. and delivery to lots
2 and 3 contractors according to Scenario 1</v>
      </c>
      <c r="AE510" s="20" t="s">
        <v>126</v>
      </c>
      <c r="AF510" s="20" t="str">
        <f>_xlfn.XLOOKUP(Table4[[#This Row],[FromSite-UPS]],sites!D:D,sites!AB:AB,"",0)&amp;_xlfn.XLOOKUP(Table4[[#This Row],[ToLab]],labs!D:D,labs!Q:Q,"",0)</f>
        <v>EUEU</v>
      </c>
    </row>
    <row r="511" spans="2:32" ht="15.6" hidden="1" customHeight="1" x14ac:dyDescent="0.25">
      <c r="B511" s="13">
        <v>568</v>
      </c>
      <c r="C511" s="14" t="s">
        <v>53</v>
      </c>
      <c r="D511" s="13">
        <v>1</v>
      </c>
      <c r="E511" s="83">
        <v>45980</v>
      </c>
      <c r="F511" s="83">
        <v>45981</v>
      </c>
      <c r="G511" s="20">
        <f>IFERROR(WEEKNUM(Table4[[#This Row],[Confirmed Pick-up Date]]),"TBD")</f>
        <v>47</v>
      </c>
      <c r="H511" s="20" t="str">
        <f>IFERROR(TEXT(Table4[[#This Row],[Confirmed Pick-up Date]],"yy-mm"),"TBD")</f>
        <v>25-11</v>
      </c>
      <c r="I511" s="13" t="s">
        <v>1628</v>
      </c>
      <c r="J511" s="20" t="str">
        <f>IFERROR(VLOOKUP(Table4[[#This Row],[FromSite-UPS]],Table1[[#All],[Company or Name]:[FromSite3]],15,FALSE),"")</f>
        <v>Funchal WWTP</v>
      </c>
      <c r="K511" s="20" t="str">
        <f>IFERROR(VLOOKUP(Table4[[#This Row],[FromSite-UPS]],Table1[[#All],[Company or Name]:[FromSite3]],16,FALSE),"")</f>
        <v>Madeira, 10 locations</v>
      </c>
      <c r="L511" s="13" t="s">
        <v>1283</v>
      </c>
      <c r="M511" s="13" t="s">
        <v>1283</v>
      </c>
      <c r="N511" s="20"/>
      <c r="O511" s="20"/>
      <c r="P511" s="20"/>
      <c r="Q511" s="20"/>
      <c r="R511" s="20"/>
      <c r="S511" s="20" t="s">
        <v>126</v>
      </c>
      <c r="T511" s="20"/>
      <c r="U511" s="20"/>
      <c r="V511" s="20"/>
      <c r="W511" s="20" t="str">
        <f>TEXT(Table4[[#This Row],[Confirmed Sampling Date]], "yyyy") &amp; "_" &amp; TEXT(Table4[[#This Row],[Confirmed Sampling Date]], "mm") &amp; "_" &amp; TEXT(Table4[[#This Row],[Confirmed Sampling Date]], "dd")</f>
        <v>2025_11_19</v>
      </c>
      <c r="X511" s="20" t="str">
        <f t="shared" si="7"/>
        <v>Funchal</v>
      </c>
      <c r="Y511" s="20" t="str">
        <f>VLOOKUP(Table4[[#This Row],[FromSite-UPS]],Table1[[Company or Name]:[NOTES]],2,FALSE)</f>
        <v>Portugal</v>
      </c>
      <c r="Z511" s="20">
        <f>IFERROR(WEEKNUM(Table4[[#This Row],[Confirmed Sampling Date]] - 10, 21), "TBD")</f>
        <v>45</v>
      </c>
      <c r="AA511" s="20" t="str">
        <f>_xlfn.XLOOKUP(Table4[[#This Row],[FromSite-UPS]],sites!D:D,sites!W:W,"",0)</f>
        <v>R. do Matadouro 4, Funchal, 9050-100, Portugal</v>
      </c>
      <c r="AB511" s="20" t="str">
        <f>_xlfn.XLOOKUP(Table4[[#This Row],[ToLab]],labs!D:D,labs!P:P,"no adres",0)</f>
        <v>C. del Dracma 16-18, Labaqua SAU - Sede Alicante, Alicante, 03114 , Spain</v>
      </c>
      <c r="AC511" s="20">
        <f>_xlfn.XLOOKUP(Table4[[#This Row],[combi]],AREA!E:E,AREA!F:F,"",0)</f>
        <v>89</v>
      </c>
      <c r="AD511" s="20" t="str">
        <f>_xlfn.XLOOKUP(Table4[[#This Row],[combi]],AREA!E:E,AREA!G:G,"",0)</f>
        <v>Pick-up service of hypothetic package as defined in the Tech. Specs. and delivery to lots
2 and 3 contractors according to Scenario 1</v>
      </c>
      <c r="AE511" s="20" t="s">
        <v>126</v>
      </c>
      <c r="AF511" s="20" t="str">
        <f>_xlfn.XLOOKUP(Table4[[#This Row],[FromSite-UPS]],sites!D:D,sites!AB:AB,"",0)&amp;_xlfn.XLOOKUP(Table4[[#This Row],[ToLab]],labs!D:D,labs!Q:Q,"",0)</f>
        <v>EUEU</v>
      </c>
    </row>
    <row r="512" spans="2:32" ht="15.6" hidden="1" customHeight="1" x14ac:dyDescent="0.25">
      <c r="B512" s="13">
        <v>576</v>
      </c>
      <c r="C512" s="14" t="s">
        <v>53</v>
      </c>
      <c r="D512" s="13">
        <v>1</v>
      </c>
      <c r="E512" s="83">
        <v>45980</v>
      </c>
      <c r="F512" s="34">
        <v>45981</v>
      </c>
      <c r="G512" s="20">
        <f>IFERROR(WEEKNUM(Table4[[#This Row],[Confirmed Pick-up Date]]),"TBD")</f>
        <v>47</v>
      </c>
      <c r="H512" s="20" t="str">
        <f>IFERROR(TEXT(Table4[[#This Row],[Confirmed Pick-up Date]],"yy-mm"),"TBD")</f>
        <v>25-11</v>
      </c>
      <c r="I512" s="13" t="s">
        <v>1628</v>
      </c>
      <c r="J512" s="20" t="str">
        <f>IFERROR(VLOOKUP(Table4[[#This Row],[FromSite-UPS]],Table1[[#All],[Company or Name]:[FromSite3]],15,FALSE),"")</f>
        <v>Funchal WWTP</v>
      </c>
      <c r="K512" s="20" t="str">
        <f>IFERROR(VLOOKUP(Table4[[#This Row],[FromSite-UPS]],Table1[[#All],[Company or Name]:[FromSite3]],16,FALSE),"")</f>
        <v>Madeira, 10 locations</v>
      </c>
      <c r="L512" s="13" t="s">
        <v>1283</v>
      </c>
      <c r="M512" s="13" t="s">
        <v>1283</v>
      </c>
      <c r="N512" s="20"/>
      <c r="O512" s="20"/>
      <c r="P512" s="20"/>
      <c r="Q512" s="20"/>
      <c r="R512" s="20"/>
      <c r="S512" s="20" t="s">
        <v>126</v>
      </c>
      <c r="T512" s="20"/>
      <c r="U512" s="20"/>
      <c r="V512" s="20"/>
      <c r="W512" s="20" t="str">
        <f>TEXT(Table4[[#This Row],[Confirmed Sampling Date]], "yyyy") &amp; "_" &amp; TEXT(Table4[[#This Row],[Confirmed Sampling Date]], "mm") &amp; "_" &amp; TEXT(Table4[[#This Row],[Confirmed Sampling Date]], "dd")</f>
        <v>2025_11_19</v>
      </c>
      <c r="X512" s="20" t="str">
        <f t="shared" si="7"/>
        <v>Funchal</v>
      </c>
      <c r="Y512" s="20" t="str">
        <f>VLOOKUP(Table4[[#This Row],[FromSite-UPS]],Table1[[Company or Name]:[NOTES]],2,FALSE)</f>
        <v>Portugal</v>
      </c>
      <c r="Z512" s="20">
        <f>IFERROR(WEEKNUM(Table4[[#This Row],[Confirmed Sampling Date]] - 10, 21), "TBD")</f>
        <v>45</v>
      </c>
      <c r="AA512" s="20" t="str">
        <f>_xlfn.XLOOKUP(Table4[[#This Row],[FromSite-UPS]],sites!D:D,sites!W:W,"",0)</f>
        <v>R. do Matadouro 4, Funchal, 9050-100, Portugal</v>
      </c>
      <c r="AB512" s="20" t="str">
        <f>_xlfn.XLOOKUP(Table4[[#This Row],[ToLab]],labs!D:D,labs!P:P,"no adres",0)</f>
        <v>C. del Dracma 16-18, Labaqua SAU - Sede Alicante, Alicante, 03114 , Spain</v>
      </c>
      <c r="AC512" s="20">
        <f>_xlfn.XLOOKUP(Table4[[#This Row],[combi]],AREA!E:E,AREA!F:F,"",0)</f>
        <v>89</v>
      </c>
      <c r="AD512" s="20" t="str">
        <f>_xlfn.XLOOKUP(Table4[[#This Row],[combi]],AREA!E:E,AREA!G:G,"",0)</f>
        <v>Pick-up service of hypothetic package as defined in the Tech. Specs. and delivery to lots
2 and 3 contractors according to Scenario 1</v>
      </c>
      <c r="AE512" s="20" t="s">
        <v>126</v>
      </c>
      <c r="AF512" s="20" t="str">
        <f>_xlfn.XLOOKUP(Table4[[#This Row],[FromSite-UPS]],sites!D:D,sites!AB:AB,"",0)&amp;_xlfn.XLOOKUP(Table4[[#This Row],[ToLab]],labs!D:D,labs!Q:Q,"",0)</f>
        <v>EUEU</v>
      </c>
    </row>
    <row r="513" spans="2:32" ht="15.6" hidden="1" customHeight="1" x14ac:dyDescent="0.25">
      <c r="B513" s="13">
        <v>584</v>
      </c>
      <c r="C513" s="14" t="s">
        <v>53</v>
      </c>
      <c r="D513" s="13">
        <v>1</v>
      </c>
      <c r="E513" s="83">
        <v>45980</v>
      </c>
      <c r="F513" s="83">
        <v>45981</v>
      </c>
      <c r="G513" s="20">
        <f>IFERROR(WEEKNUM(Table4[[#This Row],[Confirmed Pick-up Date]]),"TBD")</f>
        <v>47</v>
      </c>
      <c r="H513" s="20" t="str">
        <f>IFERROR(TEXT(Table4[[#This Row],[Confirmed Pick-up Date]],"yy-mm"),"TBD")</f>
        <v>25-11</v>
      </c>
      <c r="I513" s="13" t="s">
        <v>1628</v>
      </c>
      <c r="J513" s="20" t="str">
        <f>IFERROR(VLOOKUP(Table4[[#This Row],[FromSite-UPS]],Table1[[#All],[Company or Name]:[FromSite3]],15,FALSE),"")</f>
        <v>Funchal WWTP</v>
      </c>
      <c r="K513" s="20" t="str">
        <f>IFERROR(VLOOKUP(Table4[[#This Row],[FromSite-UPS]],Table1[[#All],[Company or Name]:[FromSite3]],16,FALSE),"")</f>
        <v>Madeira, 10 locations</v>
      </c>
      <c r="L513" s="13" t="s">
        <v>1283</v>
      </c>
      <c r="M513" s="13" t="s">
        <v>1283</v>
      </c>
      <c r="N513" s="20"/>
      <c r="O513" s="20"/>
      <c r="P513" s="20"/>
      <c r="Q513" s="20"/>
      <c r="R513" s="20"/>
      <c r="S513" s="20" t="s">
        <v>126</v>
      </c>
      <c r="T513" s="20"/>
      <c r="U513" s="20"/>
      <c r="V513" s="20"/>
      <c r="W513" s="20" t="str">
        <f>TEXT(Table4[[#This Row],[Confirmed Sampling Date]], "yyyy") &amp; "_" &amp; TEXT(Table4[[#This Row],[Confirmed Sampling Date]], "mm") &amp; "_" &amp; TEXT(Table4[[#This Row],[Confirmed Sampling Date]], "dd")</f>
        <v>2025_11_19</v>
      </c>
      <c r="X513" s="20" t="str">
        <f t="shared" si="7"/>
        <v>Funchal</v>
      </c>
      <c r="Y513" s="20" t="str">
        <f>VLOOKUP(Table4[[#This Row],[FromSite-UPS]],Table1[[Company or Name]:[NOTES]],2,FALSE)</f>
        <v>Portugal</v>
      </c>
      <c r="Z513" s="20">
        <f>IFERROR(WEEKNUM(Table4[[#This Row],[Confirmed Sampling Date]] - 10, 21), "TBD")</f>
        <v>45</v>
      </c>
      <c r="AA513" s="20" t="str">
        <f>_xlfn.XLOOKUP(Table4[[#This Row],[FromSite-UPS]],sites!D:D,sites!W:W,"",0)</f>
        <v>R. do Matadouro 4, Funchal, 9050-100, Portugal</v>
      </c>
      <c r="AB513" s="20" t="str">
        <f>_xlfn.XLOOKUP(Table4[[#This Row],[ToLab]],labs!D:D,labs!P:P,"no adres",0)</f>
        <v>C. del Dracma 16-18, Labaqua SAU - Sede Alicante, Alicante, 03114 , Spain</v>
      </c>
      <c r="AC513" s="20">
        <f>_xlfn.XLOOKUP(Table4[[#This Row],[combi]],AREA!E:E,AREA!F:F,"",0)</f>
        <v>89</v>
      </c>
      <c r="AD513" s="20" t="str">
        <f>_xlfn.XLOOKUP(Table4[[#This Row],[combi]],AREA!E:E,AREA!G:G,"",0)</f>
        <v>Pick-up service of hypothetic package as defined in the Tech. Specs. and delivery to lots
2 and 3 contractors according to Scenario 1</v>
      </c>
      <c r="AE513" s="20" t="s">
        <v>126</v>
      </c>
      <c r="AF513" s="20" t="str">
        <f>_xlfn.XLOOKUP(Table4[[#This Row],[FromSite-UPS]],sites!D:D,sites!AB:AB,"",0)&amp;_xlfn.XLOOKUP(Table4[[#This Row],[ToLab]],labs!D:D,labs!Q:Q,"",0)</f>
        <v>EUEU</v>
      </c>
    </row>
    <row r="514" spans="2:32" ht="15.6" hidden="1" customHeight="1" x14ac:dyDescent="0.25">
      <c r="B514" s="13">
        <v>609</v>
      </c>
      <c r="C514" s="14" t="s">
        <v>53</v>
      </c>
      <c r="D514" s="13">
        <v>1</v>
      </c>
      <c r="E514" s="83">
        <v>45980</v>
      </c>
      <c r="F514" s="83">
        <v>45981</v>
      </c>
      <c r="G514" s="20">
        <f>IFERROR(WEEKNUM(Table4[[#This Row],[Confirmed Pick-up Date]]),"TBD")</f>
        <v>47</v>
      </c>
      <c r="H514" s="20" t="str">
        <f>IFERROR(TEXT(Table4[[#This Row],[Confirmed Pick-up Date]],"yy-mm"),"TBD")</f>
        <v>25-11</v>
      </c>
      <c r="I514" s="13" t="s">
        <v>1590</v>
      </c>
      <c r="J514" s="20" t="str">
        <f>IFERROR(VLOOKUP(Table4[[#This Row],[FromSite-UPS]],Table1[[#All],[Company or Name]:[FromSite3]],15,FALSE),"")</f>
        <v>Àthens WWTP</v>
      </c>
      <c r="K514" s="20" t="str">
        <f>IFERROR(VLOOKUP(Table4[[#This Row],[FromSite-UPS]],Table1[[#All],[Company or Name]:[FromSite3]],16,FALSE),"")</f>
        <v>Athens Airport</v>
      </c>
      <c r="L514" s="20">
        <f>IFERROR(VLOOKUP(Table4[[#This Row],[FromSite-UPS]],Table1[[#All],[Company or Name]:[FromSite3]],14,FALSE),"")</f>
        <v>0.66666666666666663</v>
      </c>
      <c r="M514" s="13" t="s">
        <v>1011</v>
      </c>
      <c r="N514" s="20"/>
      <c r="O514" s="20"/>
      <c r="P514" s="20"/>
      <c r="Q514" s="20"/>
      <c r="R514" s="20"/>
      <c r="S514" s="20" t="s">
        <v>126</v>
      </c>
      <c r="T514" s="20"/>
      <c r="U514" s="20"/>
      <c r="V514" s="20"/>
      <c r="W514" s="20" t="str">
        <f>TEXT(Table4[[#This Row],[Confirmed Sampling Date]], "yyyy") &amp; "_" &amp; TEXT(Table4[[#This Row],[Confirmed Sampling Date]], "mm") &amp; "_" &amp; TEXT(Table4[[#This Row],[Confirmed Sampling Date]], "dd")</f>
        <v>2025_11_19</v>
      </c>
      <c r="X514" s="20" t="str">
        <f t="shared" si="7"/>
        <v>Àthens</v>
      </c>
      <c r="Y514" s="20" t="str">
        <f>VLOOKUP(Table4[[#This Row],[FromSite-UPS]],Table1[[Company or Name]:[NOTES]],2,FALSE)</f>
        <v>Greece</v>
      </c>
      <c r="Z514" s="20">
        <f>IFERROR(WEEKNUM(Table4[[#This Row],[Confirmed Sampling Date]] - 10, 21), "TBD")</f>
        <v>45</v>
      </c>
      <c r="AA514" s="20" t="str">
        <f>_xlfn.XLOOKUP(Table4[[#This Row],[FromSite-UPS]],sites!D:D,sites!W:W,"",0)</f>
        <v>Zografou, 4ος όροφος, εργαστήριο αριθμός 8, Athens,  157 71, Greece</v>
      </c>
      <c r="AB514" s="20" t="str">
        <f>_xlfn.XLOOKUP(Table4[[#This Row],[ToLab]],labs!D:D,labs!P:P,"no adres",0)</f>
        <v>Av. Rovisco Pais 1, Laboratorio de Analises de Agua, Lisbon, 1049-001, Portugal</v>
      </c>
      <c r="AC514" s="20">
        <f>_xlfn.XLOOKUP(Table4[[#This Row],[combi]],AREA!E:E,AREA!F:F,"",0)</f>
        <v>89</v>
      </c>
      <c r="AD514" s="20" t="str">
        <f>_xlfn.XLOOKUP(Table4[[#This Row],[combi]],AREA!E:E,AREA!G:G,"",0)</f>
        <v>Pick-up service of hypothetic package as defined in the Tech. Specs. and delivery to lots
2 and 3 contractors according to Scenario 1</v>
      </c>
      <c r="AE514" s="20" t="s">
        <v>126</v>
      </c>
      <c r="AF514" s="20" t="str">
        <f>_xlfn.XLOOKUP(Table4[[#This Row],[FromSite-UPS]],sites!D:D,sites!AB:AB,"",0)&amp;_xlfn.XLOOKUP(Table4[[#This Row],[ToLab]],labs!D:D,labs!Q:Q,"",0)</f>
        <v>EUEU</v>
      </c>
    </row>
    <row r="515" spans="2:32" ht="15.6" hidden="1" customHeight="1" x14ac:dyDescent="0.25">
      <c r="B515" s="13">
        <v>616</v>
      </c>
      <c r="C515" s="14" t="s">
        <v>53</v>
      </c>
      <c r="D515" s="13">
        <v>1</v>
      </c>
      <c r="E515" s="83">
        <v>45981</v>
      </c>
      <c r="F515" s="83">
        <v>45982</v>
      </c>
      <c r="G515" s="20">
        <f>IFERROR(WEEKNUM(Table4[[#This Row],[Confirmed Pick-up Date]]),"TBD")</f>
        <v>47</v>
      </c>
      <c r="H515" s="20" t="str">
        <f>IFERROR(TEXT(Table4[[#This Row],[Confirmed Pick-up Date]],"yy-mm"),"TBD")</f>
        <v>25-11</v>
      </c>
      <c r="I515" s="13" t="s">
        <v>1590</v>
      </c>
      <c r="J515" s="20" t="str">
        <f>IFERROR(VLOOKUP(Table4[[#This Row],[FromSite-UPS]],Table1[[#All],[Company or Name]:[FromSite3]],15,FALSE),"")</f>
        <v>Àthens WWTP</v>
      </c>
      <c r="K515" s="20" t="str">
        <f>IFERROR(VLOOKUP(Table4[[#This Row],[FromSite-UPS]],Table1[[#All],[Company or Name]:[FromSite3]],16,FALSE),"")</f>
        <v>Athens Airport</v>
      </c>
      <c r="L515" s="20">
        <f>IFERROR(VLOOKUP(Table4[[#This Row],[FromSite-UPS]],Table1[[#All],[Company or Name]:[FromSite3]],14,FALSE),"")</f>
        <v>0.66666666666666663</v>
      </c>
      <c r="M515" s="13" t="s">
        <v>1011</v>
      </c>
      <c r="N515" s="20"/>
      <c r="O515" s="20"/>
      <c r="P515" s="20"/>
      <c r="Q515" s="20"/>
      <c r="R515" s="20"/>
      <c r="S515" s="20" t="s">
        <v>126</v>
      </c>
      <c r="T515" s="20"/>
      <c r="U515" s="20"/>
      <c r="V515" s="20"/>
      <c r="W515" s="20" t="str">
        <f>TEXT(Table4[[#This Row],[Confirmed Sampling Date]], "yyyy") &amp; "_" &amp; TEXT(Table4[[#This Row],[Confirmed Sampling Date]], "mm") &amp; "_" &amp; TEXT(Table4[[#This Row],[Confirmed Sampling Date]], "dd")</f>
        <v>2025_11_20</v>
      </c>
      <c r="X515" s="20" t="str">
        <f t="shared" si="7"/>
        <v>Àthens</v>
      </c>
      <c r="Y515" s="20" t="str">
        <f>VLOOKUP(Table4[[#This Row],[FromSite-UPS]],Table1[[Company or Name]:[NOTES]],2,FALSE)</f>
        <v>Greece</v>
      </c>
      <c r="Z515" s="20">
        <f>IFERROR(WEEKNUM(Table4[[#This Row],[Confirmed Sampling Date]] - 10, 21), "TBD")</f>
        <v>46</v>
      </c>
      <c r="AA515" s="20" t="str">
        <f>_xlfn.XLOOKUP(Table4[[#This Row],[FromSite-UPS]],sites!D:D,sites!W:W,"",0)</f>
        <v>Zografou, 4ος όροφος, εργαστήριο αριθμός 8, Athens,  157 71, Greece</v>
      </c>
      <c r="AB515" s="20" t="str">
        <f>_xlfn.XLOOKUP(Table4[[#This Row],[ToLab]],labs!D:D,labs!P:P,"no adres",0)</f>
        <v>Av. Rovisco Pais 1, Laboratorio de Analises de Agua, Lisbon, 1049-001, Portugal</v>
      </c>
      <c r="AC515" s="20">
        <f>_xlfn.XLOOKUP(Table4[[#This Row],[combi]],AREA!E:E,AREA!F:F,"",0)</f>
        <v>89</v>
      </c>
      <c r="AD515" s="20" t="str">
        <f>_xlfn.XLOOKUP(Table4[[#This Row],[combi]],AREA!E:E,AREA!G:G,"",0)</f>
        <v>Pick-up service of hypothetic package as defined in the Tech. Specs. and delivery to lots
2 and 3 contractors according to Scenario 1</v>
      </c>
      <c r="AE515" s="20" t="s">
        <v>126</v>
      </c>
      <c r="AF515" s="20" t="str">
        <f>_xlfn.XLOOKUP(Table4[[#This Row],[FromSite-UPS]],sites!D:D,sites!AB:AB,"",0)&amp;_xlfn.XLOOKUP(Table4[[#This Row],[ToLab]],labs!D:D,labs!Q:Q,"",0)</f>
        <v>EUEU</v>
      </c>
    </row>
    <row r="516" spans="2:32" ht="15.6" hidden="1" customHeight="1" x14ac:dyDescent="0.25">
      <c r="B516" s="13">
        <v>623</v>
      </c>
      <c r="C516" s="14" t="s">
        <v>53</v>
      </c>
      <c r="D516" s="13">
        <v>1</v>
      </c>
      <c r="E516" s="83">
        <v>45981</v>
      </c>
      <c r="F516" s="83">
        <v>45982</v>
      </c>
      <c r="G516" s="20">
        <f>IFERROR(WEEKNUM(Table4[[#This Row],[Confirmed Pick-up Date]]),"TBD")</f>
        <v>47</v>
      </c>
      <c r="H516" s="20" t="str">
        <f>IFERROR(TEXT(Table4[[#This Row],[Confirmed Pick-up Date]],"yy-mm"),"TBD")</f>
        <v>25-11</v>
      </c>
      <c r="I516" s="13" t="s">
        <v>1598</v>
      </c>
      <c r="J516" s="20" t="str">
        <f>IFERROR(VLOOKUP(Table4[[#This Row],[FromSite-UPS]],Table1[[#All],[Company or Name]:[FromSite3]],15,FALSE),"")</f>
        <v>Heraklion WWTP</v>
      </c>
      <c r="K516" s="20" t="str">
        <f>IFERROR(VLOOKUP(Table4[[#This Row],[FromSite-UPS]],Table1[[#All],[Company or Name]:[FromSite3]],16,FALSE),"")</f>
        <v>Heraklion Airport</v>
      </c>
      <c r="L516" s="20">
        <f>IFERROR(VLOOKUP(Table4[[#This Row],[FromSite-UPS]],Table1[[#All],[Company or Name]:[FromSite3]],14,FALSE),"")</f>
        <v>0.5</v>
      </c>
      <c r="M516" s="13" t="s">
        <v>1011</v>
      </c>
      <c r="N516" s="20"/>
      <c r="O516" s="20"/>
      <c r="P516" s="20"/>
      <c r="Q516" s="20"/>
      <c r="R516" s="20"/>
      <c r="S516" s="20" t="s">
        <v>126</v>
      </c>
      <c r="T516" s="20"/>
      <c r="U516" s="20"/>
      <c r="V516" s="20"/>
      <c r="W516" s="20" t="str">
        <f>TEXT(Table4[[#This Row],[Confirmed Sampling Date]], "yyyy") &amp; "_" &amp; TEXT(Table4[[#This Row],[Confirmed Sampling Date]], "mm") &amp; "_" &amp; TEXT(Table4[[#This Row],[Confirmed Sampling Date]], "dd")</f>
        <v>2025_11_20</v>
      </c>
      <c r="X516" s="20" t="str">
        <f t="shared" si="7"/>
        <v>Heraklion</v>
      </c>
      <c r="Y516" s="20" t="str">
        <f>VLOOKUP(Table4[[#This Row],[FromSite-UPS]],Table1[[Company or Name]:[NOTES]],2,FALSE)</f>
        <v>Greece</v>
      </c>
      <c r="Z516" s="20">
        <f>IFERROR(WEEKNUM(Table4[[#This Row],[Confirmed Sampling Date]] - 10, 21), "TBD")</f>
        <v>46</v>
      </c>
      <c r="AA516" s="20" t="str">
        <f>_xlfn.XLOOKUP(Table4[[#This Row],[FromSite-UPS]],sites!D:D,sites!W:W,"",0)</f>
        <v>Andrea Kalokerinou 13, Pteryga 3D, Giofirakia, 715 00, Greece</v>
      </c>
      <c r="AB516" s="20" t="str">
        <f>_xlfn.XLOOKUP(Table4[[#This Row],[ToLab]],labs!D:D,labs!P:P,"no adres",0)</f>
        <v>Av. Rovisco Pais 1, Laboratorio de Analises de Agua, Lisbon, 1049-001, Portugal</v>
      </c>
      <c r="AC516" s="20">
        <f>_xlfn.XLOOKUP(Table4[[#This Row],[combi]],AREA!E:E,AREA!F:F,"",0)</f>
        <v>89</v>
      </c>
      <c r="AD516" s="20" t="str">
        <f>_xlfn.XLOOKUP(Table4[[#This Row],[combi]],AREA!E:E,AREA!G:G,"",0)</f>
        <v>Pick-up service of hypothetic package as defined in the Tech. Specs. and delivery to lots
2 and 3 contractors according to Scenario 1</v>
      </c>
      <c r="AE516" s="20" t="s">
        <v>126</v>
      </c>
      <c r="AF516" s="20" t="str">
        <f>_xlfn.XLOOKUP(Table4[[#This Row],[FromSite-UPS]],sites!D:D,sites!AB:AB,"",0)&amp;_xlfn.XLOOKUP(Table4[[#This Row],[ToLab]],labs!D:D,labs!Q:Q,"",0)</f>
        <v>EUEU</v>
      </c>
    </row>
    <row r="517" spans="2:32" ht="15.6" hidden="1" customHeight="1" x14ac:dyDescent="0.25">
      <c r="B517" s="13">
        <v>630</v>
      </c>
      <c r="C517" s="14" t="s">
        <v>53</v>
      </c>
      <c r="D517" s="13">
        <v>1</v>
      </c>
      <c r="E517" s="83">
        <v>45981</v>
      </c>
      <c r="F517" s="83">
        <v>45982</v>
      </c>
      <c r="G517" s="20">
        <f>IFERROR(WEEKNUM(Table4[[#This Row],[Confirmed Pick-up Date]]),"TBD")</f>
        <v>47</v>
      </c>
      <c r="H517" s="20" t="str">
        <f>IFERROR(TEXT(Table4[[#This Row],[Confirmed Pick-up Date]],"yy-mm"),"TBD")</f>
        <v>25-11</v>
      </c>
      <c r="I517" s="13" t="s">
        <v>1598</v>
      </c>
      <c r="J517" s="20" t="str">
        <f>IFERROR(VLOOKUP(Table4[[#This Row],[FromSite-UPS]],Table1[[#All],[Company or Name]:[FromSite3]],15,FALSE),"")</f>
        <v>Heraklion WWTP</v>
      </c>
      <c r="K517" s="20" t="str">
        <f>IFERROR(VLOOKUP(Table4[[#This Row],[FromSite-UPS]],Table1[[#All],[Company or Name]:[FromSite3]],16,FALSE),"")</f>
        <v>Heraklion Airport</v>
      </c>
      <c r="L517" s="20">
        <f>IFERROR(VLOOKUP(Table4[[#This Row],[FromSite-UPS]],Table1[[#All],[Company or Name]:[FromSite3]],14,FALSE),"")</f>
        <v>0.5</v>
      </c>
      <c r="M517" s="13" t="s">
        <v>1011</v>
      </c>
      <c r="N517" s="20"/>
      <c r="O517" s="20"/>
      <c r="P517" s="20"/>
      <c r="Q517" s="20"/>
      <c r="R517" s="20"/>
      <c r="S517" s="20" t="s">
        <v>126</v>
      </c>
      <c r="T517" s="20"/>
      <c r="U517" s="20"/>
      <c r="V517" s="20"/>
      <c r="W517" s="20" t="str">
        <f>TEXT(Table4[[#This Row],[Confirmed Sampling Date]], "yyyy") &amp; "_" &amp; TEXT(Table4[[#This Row],[Confirmed Sampling Date]], "mm") &amp; "_" &amp; TEXT(Table4[[#This Row],[Confirmed Sampling Date]], "dd")</f>
        <v>2025_11_20</v>
      </c>
      <c r="X517" s="20" t="str">
        <f t="shared" ref="X517:X580" si="8">IFERROR(LEFT(J517, FIND(" ", J517) - 1), J517)</f>
        <v>Heraklion</v>
      </c>
      <c r="Y517" s="20" t="str">
        <f>VLOOKUP(Table4[[#This Row],[FromSite-UPS]],Table1[[Company or Name]:[NOTES]],2,FALSE)</f>
        <v>Greece</v>
      </c>
      <c r="Z517" s="20">
        <f>IFERROR(WEEKNUM(Table4[[#This Row],[Confirmed Sampling Date]] - 10, 21), "TBD")</f>
        <v>46</v>
      </c>
      <c r="AA517" s="20" t="str">
        <f>_xlfn.XLOOKUP(Table4[[#This Row],[FromSite-UPS]],sites!D:D,sites!W:W,"",0)</f>
        <v>Andrea Kalokerinou 13, Pteryga 3D, Giofirakia, 715 00, Greece</v>
      </c>
      <c r="AB517" s="20" t="str">
        <f>_xlfn.XLOOKUP(Table4[[#This Row],[ToLab]],labs!D:D,labs!P:P,"no adres",0)</f>
        <v>Av. Rovisco Pais 1, Laboratorio de Analises de Agua, Lisbon, 1049-001, Portugal</v>
      </c>
      <c r="AC517" s="20">
        <f>_xlfn.XLOOKUP(Table4[[#This Row],[combi]],AREA!E:E,AREA!F:F,"",0)</f>
        <v>89</v>
      </c>
      <c r="AD517" s="20" t="str">
        <f>_xlfn.XLOOKUP(Table4[[#This Row],[combi]],AREA!E:E,AREA!G:G,"",0)</f>
        <v>Pick-up service of hypothetic package as defined in the Tech. Specs. and delivery to lots
2 and 3 contractors according to Scenario 1</v>
      </c>
      <c r="AE517" s="20" t="s">
        <v>126</v>
      </c>
      <c r="AF517" s="20" t="str">
        <f>_xlfn.XLOOKUP(Table4[[#This Row],[FromSite-UPS]],sites!D:D,sites!AB:AB,"",0)&amp;_xlfn.XLOOKUP(Table4[[#This Row],[ToLab]],labs!D:D,labs!Q:Q,"",0)</f>
        <v>EUEU</v>
      </c>
    </row>
    <row r="518" spans="2:32" ht="15.6" hidden="1" customHeight="1" x14ac:dyDescent="0.25">
      <c r="B518" s="13">
        <v>644</v>
      </c>
      <c r="C518" s="14" t="s">
        <v>53</v>
      </c>
      <c r="D518" s="13">
        <v>1</v>
      </c>
      <c r="E518" s="34">
        <v>45982</v>
      </c>
      <c r="F518" s="22">
        <v>45983</v>
      </c>
      <c r="G518" s="20">
        <f>IFERROR(WEEKNUM(Table4[[#This Row],[Confirmed Pick-up Date]]),"TBD")</f>
        <v>47</v>
      </c>
      <c r="H518" s="20" t="str">
        <f>IFERROR(TEXT(Table4[[#This Row],[Confirmed Pick-up Date]],"yy-mm"),"TBD")</f>
        <v>25-11</v>
      </c>
      <c r="I518" s="13" t="s">
        <v>637</v>
      </c>
      <c r="J518" s="20" t="str">
        <f>IFERROR(VLOOKUP(Table4[[#This Row],[FromSite-UPS]],Table1[[#All],[Company or Name]:[FromSite3]],15,FALSE),"")</f>
        <v>Luxembourg (Beggen) WWTP</v>
      </c>
      <c r="K518" s="20" t="str">
        <f>IFERROR(VLOOKUP(Table4[[#This Row],[FromSite-UPS]],Table1[[#All],[Company or Name]:[FromSite3]],16,FALSE),"")</f>
        <v>Luxembourg Airport</v>
      </c>
      <c r="L518" s="20">
        <f>IFERROR(VLOOKUP(Table4[[#This Row],[FromSite-UPS]],Table1[[#All],[Company or Name]:[FromSite3]],14,FALSE),"")</f>
        <v>0.66666666666666663</v>
      </c>
      <c r="M518" s="13" t="s">
        <v>1011</v>
      </c>
      <c r="N518" s="20"/>
      <c r="O518" s="20"/>
      <c r="P518" s="20"/>
      <c r="Q518" s="65"/>
      <c r="R518" s="20"/>
      <c r="S518" s="20" t="s">
        <v>126</v>
      </c>
      <c r="T518" s="20"/>
      <c r="U518" s="20"/>
      <c r="V518" s="20"/>
      <c r="W518" s="20" t="str">
        <f>TEXT(Table4[[#This Row],[Confirmed Sampling Date]], "yyyy") &amp; "_" &amp; TEXT(Table4[[#This Row],[Confirmed Sampling Date]], "mm") &amp; "_" &amp; TEXT(Table4[[#This Row],[Confirmed Sampling Date]], "dd")</f>
        <v>2025_11_21</v>
      </c>
      <c r="X518" s="20" t="str">
        <f t="shared" si="8"/>
        <v>Luxembourg</v>
      </c>
      <c r="Y518" s="20" t="str">
        <f>VLOOKUP(Table4[[#This Row],[FromSite-UPS]],Table1[[Company or Name]:[NOTES]],2,FALSE)</f>
        <v>Luxembourg</v>
      </c>
      <c r="Z518" s="20">
        <f>IFERROR(WEEKNUM(Table4[[#This Row],[Confirmed Sampling Date]] - 10, 21), "TBD")</f>
        <v>46</v>
      </c>
      <c r="AA518" s="20" t="str">
        <f>_xlfn.XLOOKUP(Table4[[#This Row],[FromSite-UPS]],sites!D:D,sites!W:W,"",0)</f>
        <v>41 rue du Brill, Luxembourg, L-4422 , Luxembourg</v>
      </c>
      <c r="AB518" s="20" t="str">
        <f>_xlfn.XLOOKUP(Table4[[#This Row],[ToLab]],labs!D:D,labs!P:P,"no adres",0)</f>
        <v>Av. Rovisco Pais 1, Laboratorio de Analises de Agua, Lisbon, 1049-001, Portugal</v>
      </c>
      <c r="AC518" s="20">
        <f>_xlfn.XLOOKUP(Table4[[#This Row],[combi]],AREA!E:E,AREA!F:F,"",0)</f>
        <v>89</v>
      </c>
      <c r="AD518" s="20" t="str">
        <f>_xlfn.XLOOKUP(Table4[[#This Row],[combi]],AREA!E:E,AREA!G:G,"",0)</f>
        <v>Pick-up service of hypothetic package as defined in the Tech. Specs. and delivery to lots
2 and 3 contractors according to Scenario 1</v>
      </c>
      <c r="AE518" s="20" t="s">
        <v>126</v>
      </c>
      <c r="AF518" s="20" t="str">
        <f>_xlfn.XLOOKUP(Table4[[#This Row],[FromSite-UPS]],sites!D:D,sites!AB:AB,"",0)&amp;_xlfn.XLOOKUP(Table4[[#This Row],[ToLab]],labs!D:D,labs!Q:Q,"",0)</f>
        <v>EUEU</v>
      </c>
    </row>
    <row r="519" spans="2:32" ht="15.6" hidden="1" customHeight="1" x14ac:dyDescent="0.25">
      <c r="B519" s="13">
        <v>650</v>
      </c>
      <c r="C519" s="14" t="s">
        <v>53</v>
      </c>
      <c r="D519" s="13">
        <v>1</v>
      </c>
      <c r="E519" s="34">
        <v>45982</v>
      </c>
      <c r="F519" s="22">
        <v>45983</v>
      </c>
      <c r="G519" s="20">
        <f>IFERROR(WEEKNUM(Table4[[#This Row],[Confirmed Pick-up Date]]),"TBD")</f>
        <v>47</v>
      </c>
      <c r="H519" s="20" t="str">
        <f>IFERROR(TEXT(Table4[[#This Row],[Confirmed Pick-up Date]],"yy-mm"),"TBD")</f>
        <v>25-11</v>
      </c>
      <c r="I519" s="13" t="s">
        <v>637</v>
      </c>
      <c r="J519" s="20" t="str">
        <f>IFERROR(VLOOKUP(Table4[[#This Row],[FromSite-UPS]],Table1[[#All],[Company or Name]:[FromSite3]],15,FALSE),"")</f>
        <v>Luxembourg (Beggen) WWTP</v>
      </c>
      <c r="K519" s="20" t="str">
        <f>IFERROR(VLOOKUP(Table4[[#This Row],[FromSite-UPS]],Table1[[#All],[Company or Name]:[FromSite3]],16,FALSE),"")</f>
        <v>Luxembourg Airport</v>
      </c>
      <c r="L519" s="20">
        <f>IFERROR(VLOOKUP(Table4[[#This Row],[FromSite-UPS]],Table1[[#All],[Company or Name]:[FromSite3]],14,FALSE),"")</f>
        <v>0.66666666666666663</v>
      </c>
      <c r="M519" s="13" t="s">
        <v>1011</v>
      </c>
      <c r="N519" s="20"/>
      <c r="O519" s="20"/>
      <c r="P519" s="20"/>
      <c r="Q519" s="65"/>
      <c r="R519" s="20"/>
      <c r="S519" s="20" t="s">
        <v>126</v>
      </c>
      <c r="T519" s="20"/>
      <c r="U519" s="20"/>
      <c r="V519" s="20"/>
      <c r="W519" s="20" t="str">
        <f>TEXT(Table4[[#This Row],[Confirmed Sampling Date]], "yyyy") &amp; "_" &amp; TEXT(Table4[[#This Row],[Confirmed Sampling Date]], "mm") &amp; "_" &amp; TEXT(Table4[[#This Row],[Confirmed Sampling Date]], "dd")</f>
        <v>2025_11_21</v>
      </c>
      <c r="X519" s="20" t="str">
        <f t="shared" si="8"/>
        <v>Luxembourg</v>
      </c>
      <c r="Y519" s="20" t="str">
        <f>VLOOKUP(Table4[[#This Row],[FromSite-UPS]],Table1[[Company or Name]:[NOTES]],2,FALSE)</f>
        <v>Luxembourg</v>
      </c>
      <c r="Z519" s="20">
        <f>IFERROR(WEEKNUM(Table4[[#This Row],[Confirmed Sampling Date]] - 10, 21), "TBD")</f>
        <v>46</v>
      </c>
      <c r="AA519" s="20" t="str">
        <f>_xlfn.XLOOKUP(Table4[[#This Row],[FromSite-UPS]],sites!D:D,sites!W:W,"",0)</f>
        <v>41 rue du Brill, Luxembourg, L-4422 , Luxembourg</v>
      </c>
      <c r="AB519" s="20" t="str">
        <f>_xlfn.XLOOKUP(Table4[[#This Row],[ToLab]],labs!D:D,labs!P:P,"no adres",0)</f>
        <v>Av. Rovisco Pais 1, Laboratorio de Analises de Agua, Lisbon, 1049-001, Portugal</v>
      </c>
      <c r="AC519" s="20">
        <f>_xlfn.XLOOKUP(Table4[[#This Row],[combi]],AREA!E:E,AREA!F:F,"",0)</f>
        <v>89</v>
      </c>
      <c r="AD519" s="20" t="str">
        <f>_xlfn.XLOOKUP(Table4[[#This Row],[combi]],AREA!E:E,AREA!G:G,"",0)</f>
        <v>Pick-up service of hypothetic package as defined in the Tech. Specs. and delivery to lots
2 and 3 contractors according to Scenario 1</v>
      </c>
      <c r="AE519" s="20" t="s">
        <v>126</v>
      </c>
      <c r="AF519" s="20" t="str">
        <f>_xlfn.XLOOKUP(Table4[[#This Row],[FromSite-UPS]],sites!D:D,sites!AB:AB,"",0)&amp;_xlfn.XLOOKUP(Table4[[#This Row],[ToLab]],labs!D:D,labs!Q:Q,"",0)</f>
        <v>EUEU</v>
      </c>
    </row>
    <row r="520" spans="2:32" ht="15.6" hidden="1" customHeight="1" x14ac:dyDescent="0.25">
      <c r="B520" s="13">
        <v>19</v>
      </c>
      <c r="C520" s="14" t="s">
        <v>53</v>
      </c>
      <c r="D520" s="13">
        <v>1</v>
      </c>
      <c r="E520" s="79">
        <v>45991</v>
      </c>
      <c r="F520" s="80">
        <v>45992</v>
      </c>
      <c r="G520" s="13">
        <f>IFERROR(WEEKNUM(Table4[[#This Row],[Confirmed Pick-up Date]]),"TBD")</f>
        <v>49</v>
      </c>
      <c r="H520" s="13" t="str">
        <f>IFERROR(TEXT(Table4[[#This Row],[Confirmed Pick-up Date]],"yy-mm"),"TBD")</f>
        <v>25-12</v>
      </c>
      <c r="I520" s="64" t="s">
        <v>13</v>
      </c>
      <c r="J520" s="13" t="str">
        <f>IFERROR(VLOOKUP(Table4[[#This Row],[FromSite-UPS]],Table1[[#All],[Company or Name]:[FromSite3]],15,FALSE),"")</f>
        <v>Berlin (Schoenefeld) WWTP</v>
      </c>
      <c r="K520" s="13" t="str">
        <f>IFERROR(VLOOKUP(Table4[[#This Row],[FromSite-UPS]],Table1[[#All],[Company or Name]:[FromSite3]],16,FALSE),"")</f>
        <v>Berlin Airport</v>
      </c>
      <c r="L520" s="13">
        <f>IFERROR(VLOOKUP(Table4[[#This Row],[FromSite-UPS]],Table1[[#All],[Company or Name]:[FromSite3]],14,FALSE),"")</f>
        <v>0.58333333333333337</v>
      </c>
      <c r="M520" s="13" t="s">
        <v>1011</v>
      </c>
      <c r="N520" s="20"/>
      <c r="O520" s="13"/>
      <c r="P520" s="13"/>
      <c r="Q520" s="20"/>
      <c r="R520" s="20"/>
      <c r="S520" s="20" t="s">
        <v>126</v>
      </c>
      <c r="T520" s="20"/>
      <c r="U520" s="20"/>
      <c r="V520" s="20"/>
      <c r="W520" s="20" t="str">
        <f>TEXT(Table4[[#This Row],[Confirmed Sampling Date]], "yyyy") &amp; "_" &amp; TEXT(Table4[[#This Row],[Confirmed Sampling Date]], "mm") &amp; "_" &amp; TEXT(Table4[[#This Row],[Confirmed Sampling Date]], "dd")</f>
        <v>2025_11_30</v>
      </c>
      <c r="X520" s="20" t="str">
        <f t="shared" si="8"/>
        <v>Berlin</v>
      </c>
      <c r="Y520" s="20" t="str">
        <f>VLOOKUP(Table4[[#This Row],[FromSite-UPS]],Table1[[Company or Name]:[NOTES]],2,FALSE)</f>
        <v>Germany</v>
      </c>
      <c r="Z520" s="20">
        <f>IFERROR(WEEKNUM(Table4[[#This Row],[Confirmed Sampling Date]] - 10, 21), "TBD")</f>
        <v>47</v>
      </c>
      <c r="AA520" s="20" t="str">
        <f>_xlfn.XLOOKUP(Table4[[#This Row],[FromSite-UPS]],sites!D:D,sites!W:W,"",0)</f>
        <v>Strasse am Klarwerk 4, Klarwerk Wassmannsdorf, Schoenefeld, 12529, Germany</v>
      </c>
      <c r="AB520" s="20" t="str">
        <f>_xlfn.XLOOKUP(Table4[[#This Row],[ToLab]],labs!D:D,labs!P:P,"no adres",0)</f>
        <v>Av. Rovisco Pais 1, Laboratorio de Analises de Agua, Lisbon, 1049-001, Portugal</v>
      </c>
      <c r="AC520" s="20">
        <f>_xlfn.XLOOKUP(Table4[[#This Row],[combi]],AREA!E:E,AREA!F:F,"",0)</f>
        <v>89</v>
      </c>
      <c r="AD520" s="20" t="str">
        <f>_xlfn.XLOOKUP(Table4[[#This Row],[combi]],AREA!E:E,AREA!G:G,"",0)</f>
        <v>Pick-up service of hypothetic package as defined in the Tech. Specs. and delivery to lots
2 and 3 contractors according to Scenario 1</v>
      </c>
      <c r="AE520" s="20" t="s">
        <v>126</v>
      </c>
      <c r="AF520" s="20" t="str">
        <f>_xlfn.XLOOKUP(Table4[[#This Row],[FromSite-UPS]],sites!D:D,sites!AB:AB,"",0)&amp;_xlfn.XLOOKUP(Table4[[#This Row],[ToLab]],labs!D:D,labs!Q:Q,"",0)</f>
        <v>EUEU</v>
      </c>
    </row>
    <row r="521" spans="2:32" ht="15.6" hidden="1" customHeight="1" x14ac:dyDescent="0.25">
      <c r="B521" s="13">
        <v>82</v>
      </c>
      <c r="C521" s="14" t="s">
        <v>53</v>
      </c>
      <c r="D521" s="13">
        <v>1</v>
      </c>
      <c r="E521" s="79">
        <v>45991</v>
      </c>
      <c r="F521" s="80">
        <v>45992</v>
      </c>
      <c r="G521" s="20">
        <f>IFERROR(WEEKNUM(Table4[[#This Row],[Confirmed Pick-up Date]]),"TBD")</f>
        <v>49</v>
      </c>
      <c r="H521" s="20" t="str">
        <f>IFERROR(TEXT(Table4[[#This Row],[Confirmed Pick-up Date]],"yy-mm"),"TBD")</f>
        <v>25-12</v>
      </c>
      <c r="I521" s="64" t="s">
        <v>13</v>
      </c>
      <c r="J521" s="20" t="str">
        <f>IFERROR(VLOOKUP(Table4[[#This Row],[FromSite-UPS]],Table1[[#All],[Company or Name]:[FromSite3]],15,FALSE),"")</f>
        <v>Berlin (Schoenefeld) WWTP</v>
      </c>
      <c r="K521" s="20" t="str">
        <f>IFERROR(VLOOKUP(Table4[[#This Row],[FromSite-UPS]],Table1[[#All],[Company or Name]:[FromSite3]],16,FALSE),"")</f>
        <v>Berlin Airport</v>
      </c>
      <c r="L521" s="20">
        <f>IFERROR(VLOOKUP(Table4[[#This Row],[FromSite-UPS]],Table1[[#All],[Company or Name]:[FromSite3]],14,FALSE),"")</f>
        <v>0.58333333333333337</v>
      </c>
      <c r="M521" s="13" t="s">
        <v>1011</v>
      </c>
      <c r="N521" s="20"/>
      <c r="O521" s="13"/>
      <c r="P521" s="13"/>
      <c r="Q521" s="20"/>
      <c r="R521" s="20"/>
      <c r="S521" s="20" t="s">
        <v>126</v>
      </c>
      <c r="T521" s="20"/>
      <c r="U521" s="20"/>
      <c r="V521" s="20"/>
      <c r="W521" s="20" t="str">
        <f>TEXT(Table4[[#This Row],[Confirmed Sampling Date]], "yyyy") &amp; "_" &amp; TEXT(Table4[[#This Row],[Confirmed Sampling Date]], "mm") &amp; "_" &amp; TEXT(Table4[[#This Row],[Confirmed Sampling Date]], "dd")</f>
        <v>2025_11_30</v>
      </c>
      <c r="X521" s="20" t="str">
        <f t="shared" si="8"/>
        <v>Berlin</v>
      </c>
      <c r="Y521" s="20" t="str">
        <f>VLOOKUP(Table4[[#This Row],[FromSite-UPS]],Table1[[Company or Name]:[NOTES]],2,FALSE)</f>
        <v>Germany</v>
      </c>
      <c r="Z521" s="20">
        <f>IFERROR(WEEKNUM(Table4[[#This Row],[Confirmed Sampling Date]] - 10, 21), "TBD")</f>
        <v>47</v>
      </c>
      <c r="AA521" s="20" t="str">
        <f>_xlfn.XLOOKUP(Table4[[#This Row],[FromSite-UPS]],sites!D:D,sites!W:W,"",0)</f>
        <v>Strasse am Klarwerk 4, Klarwerk Wassmannsdorf, Schoenefeld, 12529, Germany</v>
      </c>
      <c r="AB521" s="20" t="str">
        <f>_xlfn.XLOOKUP(Table4[[#This Row],[ToLab]],labs!D:D,labs!P:P,"no adres",0)</f>
        <v>Av. Rovisco Pais 1, Laboratorio de Analises de Agua, Lisbon, 1049-001, Portugal</v>
      </c>
      <c r="AC521" s="20">
        <f>_xlfn.XLOOKUP(Table4[[#This Row],[combi]],AREA!E:E,AREA!F:F,"",0)</f>
        <v>89</v>
      </c>
      <c r="AD521" s="20" t="str">
        <f>_xlfn.XLOOKUP(Table4[[#This Row],[combi]],AREA!E:E,AREA!G:G,"",0)</f>
        <v>Pick-up service of hypothetic package as defined in the Tech. Specs. and delivery to lots
2 and 3 contractors according to Scenario 1</v>
      </c>
      <c r="AE521" s="20" t="s">
        <v>126</v>
      </c>
      <c r="AF521" s="20" t="str">
        <f>_xlfn.XLOOKUP(Table4[[#This Row],[FromSite-UPS]],sites!D:D,sites!AB:AB,"",0)&amp;_xlfn.XLOOKUP(Table4[[#This Row],[ToLab]],labs!D:D,labs!Q:Q,"",0)</f>
        <v>EUEU</v>
      </c>
    </row>
    <row r="522" spans="2:32" ht="15.6" hidden="1" customHeight="1" x14ac:dyDescent="0.25">
      <c r="B522" s="13">
        <v>553</v>
      </c>
      <c r="C522" s="14" t="s">
        <v>53</v>
      </c>
      <c r="D522" s="13">
        <v>1</v>
      </c>
      <c r="E522" s="83">
        <v>45991</v>
      </c>
      <c r="F522" s="83">
        <v>45992</v>
      </c>
      <c r="G522" s="20">
        <f>IFERROR(WEEKNUM(Table4[[#This Row],[Confirmed Pick-up Date]]),"TBD")</f>
        <v>49</v>
      </c>
      <c r="H522" s="20" t="str">
        <f>IFERROR(TEXT(Table4[[#This Row],[Confirmed Pick-up Date]],"yy-mm"),"TBD")</f>
        <v>25-12</v>
      </c>
      <c r="I522" s="13" t="s">
        <v>13</v>
      </c>
      <c r="J522" s="20" t="str">
        <f>IFERROR(VLOOKUP(Table4[[#This Row],[FromSite-UPS]],Table1[[#All],[Company or Name]:[FromSite3]],15,FALSE),"")</f>
        <v>Berlin (Schoenefeld) WWTP</v>
      </c>
      <c r="K522" s="20" t="str">
        <f>IFERROR(VLOOKUP(Table4[[#This Row],[FromSite-UPS]],Table1[[#All],[Company or Name]:[FromSite3]],16,FALSE),"")</f>
        <v>Berlin Airport</v>
      </c>
      <c r="L522" s="20">
        <f>IFERROR(VLOOKUP(Table4[[#This Row],[FromSite-UPS]],Table1[[#All],[Company or Name]:[FromSite3]],14,FALSE),"")</f>
        <v>0.58333333333333337</v>
      </c>
      <c r="M522" s="13" t="s">
        <v>1283</v>
      </c>
      <c r="N522" s="20"/>
      <c r="O522" s="20"/>
      <c r="P522" s="20"/>
      <c r="Q522" s="20"/>
      <c r="R522" s="20"/>
      <c r="S522" s="20" t="s">
        <v>126</v>
      </c>
      <c r="T522" s="20"/>
      <c r="U522" s="20"/>
      <c r="V522" s="20"/>
      <c r="W522" s="20" t="str">
        <f>TEXT(Table4[[#This Row],[Confirmed Sampling Date]], "yyyy") &amp; "_" &amp; TEXT(Table4[[#This Row],[Confirmed Sampling Date]], "mm") &amp; "_" &amp; TEXT(Table4[[#This Row],[Confirmed Sampling Date]], "dd")</f>
        <v>2025_11_30</v>
      </c>
      <c r="X522" s="20" t="str">
        <f t="shared" si="8"/>
        <v>Berlin</v>
      </c>
      <c r="Y522" s="20" t="str">
        <f>VLOOKUP(Table4[[#This Row],[FromSite-UPS]],Table1[[Company or Name]:[NOTES]],2,FALSE)</f>
        <v>Germany</v>
      </c>
      <c r="Z522" s="20">
        <f>IFERROR(WEEKNUM(Table4[[#This Row],[Confirmed Sampling Date]] - 10, 21), "TBD")</f>
        <v>47</v>
      </c>
      <c r="AA522" s="20" t="str">
        <f>_xlfn.XLOOKUP(Table4[[#This Row],[FromSite-UPS]],sites!D:D,sites!W:W,"",0)</f>
        <v>Strasse am Klarwerk 4, Klarwerk Wassmannsdorf, Schoenefeld, 12529, Germany</v>
      </c>
      <c r="AB522" s="20" t="str">
        <f>_xlfn.XLOOKUP(Table4[[#This Row],[ToLab]],labs!D:D,labs!P:P,"no adres",0)</f>
        <v>C. del Dracma 16-18, Labaqua SAU - Sede Alicante, Alicante, 03114 , Spain</v>
      </c>
      <c r="AC522" s="20">
        <f>_xlfn.XLOOKUP(Table4[[#This Row],[combi]],AREA!E:E,AREA!F:F,"",0)</f>
        <v>89</v>
      </c>
      <c r="AD522" s="20" t="str">
        <f>_xlfn.XLOOKUP(Table4[[#This Row],[combi]],AREA!E:E,AREA!G:G,"",0)</f>
        <v>Pick-up service of hypothetic package as defined in the Tech. Specs. and delivery to lots
2 and 3 contractors according to Scenario 1</v>
      </c>
      <c r="AE522" s="20" t="s">
        <v>126</v>
      </c>
      <c r="AF522" s="20" t="str">
        <f>_xlfn.XLOOKUP(Table4[[#This Row],[FromSite-UPS]],sites!D:D,sites!AB:AB,"",0)&amp;_xlfn.XLOOKUP(Table4[[#This Row],[ToLab]],labs!D:D,labs!Q:Q,"",0)</f>
        <v>EUEU</v>
      </c>
    </row>
    <row r="523" spans="2:32" ht="15.6" hidden="1" customHeight="1" x14ac:dyDescent="0.25">
      <c r="B523" s="13">
        <v>561</v>
      </c>
      <c r="C523" s="14" t="s">
        <v>53</v>
      </c>
      <c r="D523" s="13">
        <v>1</v>
      </c>
      <c r="E523" s="34">
        <v>45991</v>
      </c>
      <c r="F523" s="34">
        <v>45992</v>
      </c>
      <c r="G523" s="20">
        <v>49</v>
      </c>
      <c r="H523" s="20" t="s">
        <v>1289</v>
      </c>
      <c r="I523" s="13" t="s">
        <v>13</v>
      </c>
      <c r="J523" s="20" t="s">
        <v>363</v>
      </c>
      <c r="K523" s="20" t="s">
        <v>58</v>
      </c>
      <c r="L523" s="13" t="s">
        <v>1283</v>
      </c>
      <c r="M523" s="13" t="s">
        <v>1283</v>
      </c>
      <c r="N523" s="20"/>
      <c r="O523" s="20"/>
      <c r="P523" s="20"/>
      <c r="Q523" s="20"/>
      <c r="R523" s="20"/>
      <c r="S523" s="20" t="s">
        <v>126</v>
      </c>
      <c r="T523" s="20"/>
      <c r="U523" s="20"/>
      <c r="V523" s="20"/>
      <c r="W523" s="20" t="str">
        <f>TEXT(Table4[[#This Row],[Confirmed Sampling Date]], "yyyy") &amp; "_" &amp; TEXT(Table4[[#This Row],[Confirmed Sampling Date]], "mm") &amp; "_" &amp; TEXT(Table4[[#This Row],[Confirmed Sampling Date]], "dd")</f>
        <v>2025_11_30</v>
      </c>
      <c r="X523" s="20" t="str">
        <f t="shared" si="8"/>
        <v>Berlin</v>
      </c>
      <c r="Y523" s="20" t="str">
        <f>VLOOKUP(Table4[[#This Row],[FromSite-UPS]],Table1[[Company or Name]:[NOTES]],2,FALSE)</f>
        <v>Germany</v>
      </c>
      <c r="Z523" s="20">
        <f>IFERROR(WEEKNUM(Table4[[#This Row],[Confirmed Sampling Date]] - 10, 21), "TBD")</f>
        <v>47</v>
      </c>
      <c r="AA523" s="20" t="str">
        <f>_xlfn.XLOOKUP(Table4[[#This Row],[FromSite-UPS]],sites!D:D,sites!W:W,"",0)</f>
        <v>Strasse am Klarwerk 4, Klarwerk Wassmannsdorf, Schoenefeld, 12529, Germany</v>
      </c>
      <c r="AB523" s="20" t="str">
        <f>_xlfn.XLOOKUP(Table4[[#This Row],[ToLab]],labs!D:D,labs!P:P,"no adres",0)</f>
        <v>C. del Dracma 16-18, Labaqua SAU - Sede Alicante, Alicante, 03114 , Spain</v>
      </c>
      <c r="AC523" s="20">
        <f>_xlfn.XLOOKUP(Table4[[#This Row],[combi]],AREA!E:E,AREA!F:F,"",0)</f>
        <v>89</v>
      </c>
      <c r="AD523" s="20" t="str">
        <f>_xlfn.XLOOKUP(Table4[[#This Row],[combi]],AREA!E:E,AREA!G:G,"",0)</f>
        <v>Pick-up service of hypothetic package as defined in the Tech. Specs. and delivery to lots
2 and 3 contractors according to Scenario 1</v>
      </c>
      <c r="AE523" s="20" t="s">
        <v>126</v>
      </c>
      <c r="AF523" s="20" t="str">
        <f>_xlfn.XLOOKUP(Table4[[#This Row],[FromSite-UPS]],sites!D:D,sites!AB:AB,"",0)&amp;_xlfn.XLOOKUP(Table4[[#This Row],[ToLab]],labs!D:D,labs!Q:Q,"",0)</f>
        <v>EUEU</v>
      </c>
    </row>
    <row r="524" spans="2:32" ht="15.6" hidden="1" customHeight="1" x14ac:dyDescent="0.25">
      <c r="B524" s="13">
        <v>60</v>
      </c>
      <c r="C524" s="14" t="s">
        <v>53</v>
      </c>
      <c r="D524" s="13">
        <v>1</v>
      </c>
      <c r="E524" s="79">
        <v>45992</v>
      </c>
      <c r="F524" s="80">
        <v>45993</v>
      </c>
      <c r="G524" s="20">
        <f>IFERROR(WEEKNUM(Table4[[#This Row],[Confirmed Pick-up Date]]),"TBD")</f>
        <v>49</v>
      </c>
      <c r="H524" s="20" t="str">
        <f>IFERROR(TEXT(Table4[[#This Row],[Confirmed Pick-up Date]],"yy-mm"),"TBD")</f>
        <v>25-12</v>
      </c>
      <c r="I524" s="13" t="s">
        <v>364</v>
      </c>
      <c r="J524" s="20" t="str">
        <f>IFERROR(VLOOKUP(Table4[[#This Row],[FromSite-UPS]],Table1[[#All],[Company or Name]:[FromSite3]],15,FALSE),"")</f>
        <v>Brussels WWTP</v>
      </c>
      <c r="K524" s="20" t="str">
        <f>IFERROR(VLOOKUP(Table4[[#This Row],[FromSite-UPS]],Table1[[#All],[Company or Name]:[FromSite3]],16,FALSE),"")</f>
        <v>Brussels Airport</v>
      </c>
      <c r="L524" s="20">
        <f>IFERROR(VLOOKUP(Table4[[#This Row],[FromSite-UPS]],Table1[[#All],[Company or Name]:[FromSite3]],14,FALSE),"")</f>
        <v>0.70833333333333337</v>
      </c>
      <c r="M524" s="13" t="s">
        <v>1011</v>
      </c>
      <c r="N524" s="20"/>
      <c r="O524" s="13"/>
      <c r="P524" s="13"/>
      <c r="Q524" s="20"/>
      <c r="R524" s="20"/>
      <c r="S524" s="20" t="s">
        <v>126</v>
      </c>
      <c r="T524" s="20"/>
      <c r="U524" s="20"/>
      <c r="V524" s="20"/>
      <c r="W524" s="20" t="str">
        <f>TEXT(Table4[[#This Row],[Confirmed Sampling Date]], "yyyy") &amp; "_" &amp; TEXT(Table4[[#This Row],[Confirmed Sampling Date]], "mm") &amp; "_" &amp; TEXT(Table4[[#This Row],[Confirmed Sampling Date]], "dd")</f>
        <v>2025_12_01</v>
      </c>
      <c r="X524" s="20" t="str">
        <f t="shared" si="8"/>
        <v>Brussels</v>
      </c>
      <c r="Y524" s="20" t="str">
        <f>VLOOKUP(Table4[[#This Row],[FromSite-UPS]],Table1[[Company or Name]:[NOTES]],2,FALSE)</f>
        <v>Belgium</v>
      </c>
      <c r="Z524" s="20">
        <f>IFERROR(WEEKNUM(Table4[[#This Row],[Confirmed Sampling Date]] - 10, 21), "TBD")</f>
        <v>47</v>
      </c>
      <c r="AA524" s="20" t="str">
        <f>_xlfn.XLOOKUP(Table4[[#This Row],[FromSite-UPS]],sites!D:D,sites!W:W,"",0)</f>
        <v>Rue Juliette Wytsmanstraat 14, Brussels, 1050, Belgium</v>
      </c>
      <c r="AB524" s="20" t="str">
        <f>_xlfn.XLOOKUP(Table4[[#This Row],[ToLab]],labs!D:D,labs!P:P,"no adres",0)</f>
        <v>Av. Rovisco Pais 1, Laboratorio de Analises de Agua, Lisbon, 1049-001, Portugal</v>
      </c>
      <c r="AC524" s="20">
        <f>_xlfn.XLOOKUP(Table4[[#This Row],[combi]],AREA!E:E,AREA!F:F,"",0)</f>
        <v>89</v>
      </c>
      <c r="AD524" s="20" t="str">
        <f>_xlfn.XLOOKUP(Table4[[#This Row],[combi]],AREA!E:E,AREA!G:G,"",0)</f>
        <v>Pick-up service of hypothetic package as defined in the Tech. Specs. and delivery to lots
2 and 3 contractors according to Scenario 1</v>
      </c>
      <c r="AE524" s="20" t="s">
        <v>126</v>
      </c>
      <c r="AF524" s="20" t="str">
        <f>_xlfn.XLOOKUP(Table4[[#This Row],[FromSite-UPS]],sites!D:D,sites!AB:AB,"",0)&amp;_xlfn.XLOOKUP(Table4[[#This Row],[ToLab]],labs!D:D,labs!Q:Q,"",0)</f>
        <v>EUEU</v>
      </c>
    </row>
    <row r="525" spans="2:32" ht="15.6" hidden="1" customHeight="1" x14ac:dyDescent="0.25">
      <c r="B525" s="13">
        <v>123</v>
      </c>
      <c r="C525" s="14" t="s">
        <v>53</v>
      </c>
      <c r="D525" s="13">
        <v>1</v>
      </c>
      <c r="E525" s="79">
        <v>45992</v>
      </c>
      <c r="F525" s="80">
        <v>45993</v>
      </c>
      <c r="G525" s="20">
        <f>IFERROR(WEEKNUM(Table4[[#This Row],[Confirmed Pick-up Date]]),"TBD")</f>
        <v>49</v>
      </c>
      <c r="H525" s="20" t="str">
        <f>IFERROR(TEXT(Table4[[#This Row],[Confirmed Pick-up Date]],"yy-mm"),"TBD")</f>
        <v>25-12</v>
      </c>
      <c r="I525" s="13" t="s">
        <v>364</v>
      </c>
      <c r="J525" s="20" t="str">
        <f>IFERROR(VLOOKUP(Table4[[#This Row],[FromSite-UPS]],Table1[[#All],[Company or Name]:[FromSite3]],15,FALSE),"")</f>
        <v>Brussels WWTP</v>
      </c>
      <c r="K525" s="20" t="str">
        <f>IFERROR(VLOOKUP(Table4[[#This Row],[FromSite-UPS]],Table1[[#All],[Company or Name]:[FromSite3]],16,FALSE),"")</f>
        <v>Brussels Airport</v>
      </c>
      <c r="L525" s="20">
        <f>IFERROR(VLOOKUP(Table4[[#This Row],[FromSite-UPS]],Table1[[#All],[Company or Name]:[FromSite3]],14,FALSE),"")</f>
        <v>0.70833333333333337</v>
      </c>
      <c r="M525" s="13" t="s">
        <v>1011</v>
      </c>
      <c r="N525" s="20"/>
      <c r="O525" s="13"/>
      <c r="P525" s="13"/>
      <c r="Q525" s="20"/>
      <c r="R525" s="20"/>
      <c r="S525" s="20" t="s">
        <v>126</v>
      </c>
      <c r="T525" s="20"/>
      <c r="U525" s="20"/>
      <c r="V525" s="20"/>
      <c r="W525" s="20" t="str">
        <f>TEXT(Table4[[#This Row],[Confirmed Sampling Date]], "yyyy") &amp; "_" &amp; TEXT(Table4[[#This Row],[Confirmed Sampling Date]], "mm") &amp; "_" &amp; TEXT(Table4[[#This Row],[Confirmed Sampling Date]], "dd")</f>
        <v>2025_12_01</v>
      </c>
      <c r="X525" s="20" t="str">
        <f t="shared" si="8"/>
        <v>Brussels</v>
      </c>
      <c r="Y525" s="20" t="str">
        <f>VLOOKUP(Table4[[#This Row],[FromSite-UPS]],Table1[[Company or Name]:[NOTES]],2,FALSE)</f>
        <v>Belgium</v>
      </c>
      <c r="Z525" s="20">
        <f>IFERROR(WEEKNUM(Table4[[#This Row],[Confirmed Sampling Date]] - 10, 21), "TBD")</f>
        <v>47</v>
      </c>
      <c r="AA525" s="20" t="str">
        <f>_xlfn.XLOOKUP(Table4[[#This Row],[FromSite-UPS]],sites!D:D,sites!W:W,"",0)</f>
        <v>Rue Juliette Wytsmanstraat 14, Brussels, 1050, Belgium</v>
      </c>
      <c r="AB525" s="20" t="str">
        <f>_xlfn.XLOOKUP(Table4[[#This Row],[ToLab]],labs!D:D,labs!P:P,"no adres",0)</f>
        <v>Av. Rovisco Pais 1, Laboratorio de Analises de Agua, Lisbon, 1049-001, Portugal</v>
      </c>
      <c r="AC525" s="20">
        <f>_xlfn.XLOOKUP(Table4[[#This Row],[combi]],AREA!E:E,AREA!F:F,"",0)</f>
        <v>89</v>
      </c>
      <c r="AD525" s="20" t="str">
        <f>_xlfn.XLOOKUP(Table4[[#This Row],[combi]],AREA!E:E,AREA!G:G,"",0)</f>
        <v>Pick-up service of hypothetic package as defined in the Tech. Specs. and delivery to lots
2 and 3 contractors according to Scenario 1</v>
      </c>
      <c r="AE525" s="20" t="s">
        <v>126</v>
      </c>
      <c r="AF525" s="20" t="str">
        <f>_xlfn.XLOOKUP(Table4[[#This Row],[FromSite-UPS]],sites!D:D,sites!AB:AB,"",0)&amp;_xlfn.XLOOKUP(Table4[[#This Row],[ToLab]],labs!D:D,labs!Q:Q,"",0)</f>
        <v>EUEU</v>
      </c>
    </row>
    <row r="526" spans="2:32" ht="15.6" hidden="1" customHeight="1" x14ac:dyDescent="0.25">
      <c r="B526" s="13">
        <v>249</v>
      </c>
      <c r="C526" s="14" t="s">
        <v>53</v>
      </c>
      <c r="D526" s="13">
        <v>1</v>
      </c>
      <c r="E526" s="79">
        <v>45993</v>
      </c>
      <c r="F526" s="80">
        <v>45993</v>
      </c>
      <c r="G526" s="20">
        <f>IFERROR(WEEKNUM(Table4[[#This Row],[Confirmed Pick-up Date]]),"TBD")</f>
        <v>49</v>
      </c>
      <c r="H526" s="20" t="str">
        <f>IFERROR(TEXT(Table4[[#This Row],[Confirmed Pick-up Date]],"yy-mm"),"TBD")</f>
        <v>25-12</v>
      </c>
      <c r="I526" s="64" t="s">
        <v>863</v>
      </c>
      <c r="J526" s="20" t="str">
        <f>IFERROR(VLOOKUP(Table4[[#This Row],[FromSite-UPS]],Table1[[#All],[Company or Name]:[FromSite3]],15,FALSE),"")</f>
        <v>Dusseldorf WWTP 2101</v>
      </c>
      <c r="K526" s="20" t="str">
        <f>IFERROR(VLOOKUP(Table4[[#This Row],[FromSite-UPS]],Table1[[#All],[Company or Name]:[FromSite3]],16,FALSE),"")</f>
        <v>Dusseldorf WWTP 601</v>
      </c>
      <c r="L526" s="20">
        <f>IFERROR(VLOOKUP(Table4[[#This Row],[FromSite-UPS]],Table1[[#All],[Company or Name]:[FromSite3]],14,FALSE),"")</f>
        <v>0.625</v>
      </c>
      <c r="M526" s="43" t="s">
        <v>1011</v>
      </c>
      <c r="N526" s="20"/>
      <c r="O526" s="20"/>
      <c r="P526" s="20"/>
      <c r="Q526" s="20"/>
      <c r="R526" s="20"/>
      <c r="S526" s="20" t="s">
        <v>126</v>
      </c>
      <c r="T526" s="20"/>
      <c r="U526" s="20"/>
      <c r="V526" s="20"/>
      <c r="W526" s="20" t="str">
        <f>TEXT(Table4[[#This Row],[Confirmed Sampling Date]], "yyyy") &amp; "_" &amp; TEXT(Table4[[#This Row],[Confirmed Sampling Date]], "mm") &amp; "_" &amp; TEXT(Table4[[#This Row],[Confirmed Sampling Date]], "dd")</f>
        <v>2025_12_02</v>
      </c>
      <c r="X526" s="20" t="str">
        <f t="shared" si="8"/>
        <v>Dusseldorf</v>
      </c>
      <c r="Y526" s="20" t="str">
        <f>VLOOKUP(Table4[[#This Row],[FromSite-UPS]],Table1[[Company or Name]:[NOTES]],2,FALSE)</f>
        <v>Germany</v>
      </c>
      <c r="Z526" s="20">
        <f>IFERROR(WEEKNUM(Table4[[#This Row],[Confirmed Sampling Date]] - 10, 21), "TBD")</f>
        <v>47</v>
      </c>
      <c r="AA526" s="20" t="str">
        <f>_xlfn.XLOOKUP(Table4[[#This Row],[FromSite-UPS]],sites!D:D,sites!W:W,"",0)</f>
        <v>Auf dem Draap 15, Chemisch-Biologische Laboratorien, Dusseldorf, 40221, Germany</v>
      </c>
      <c r="AB526" s="20" t="str">
        <f>_xlfn.XLOOKUP(Table4[[#This Row],[ToLab]],labs!D:D,labs!P:P,"no adres",0)</f>
        <v>Av. Rovisco Pais 1, Laboratorio de Analises de Agua, Lisbon, 1049-001, Portugal</v>
      </c>
      <c r="AC526" s="20">
        <f>_xlfn.XLOOKUP(Table4[[#This Row],[combi]],AREA!E:E,AREA!F:F,"",0)</f>
        <v>89</v>
      </c>
      <c r="AD526" s="20" t="str">
        <f>_xlfn.XLOOKUP(Table4[[#This Row],[combi]],AREA!E:E,AREA!G:G,"",0)</f>
        <v>Pick-up service of hypothetic package as defined in the Tech. Specs. and delivery to lots
2 and 3 contractors according to Scenario 1</v>
      </c>
      <c r="AE526" s="20" t="s">
        <v>126</v>
      </c>
      <c r="AF526" s="20" t="str">
        <f>_xlfn.XLOOKUP(Table4[[#This Row],[FromSite-UPS]],sites!D:D,sites!AB:AB,"",0)&amp;_xlfn.XLOOKUP(Table4[[#This Row],[ToLab]],labs!D:D,labs!Q:Q,"",0)</f>
        <v>EUEU</v>
      </c>
    </row>
    <row r="527" spans="2:32" ht="15.6" hidden="1" customHeight="1" x14ac:dyDescent="0.25">
      <c r="B527" s="13">
        <v>261</v>
      </c>
      <c r="C527" s="14" t="s">
        <v>53</v>
      </c>
      <c r="D527" s="13">
        <v>1</v>
      </c>
      <c r="E527" s="79">
        <v>45993</v>
      </c>
      <c r="F527" s="81">
        <v>45993</v>
      </c>
      <c r="G527" s="65">
        <f>IFERROR(WEEKNUM(Table4[[#This Row],[Confirmed Pick-up Date]]),"TBD")</f>
        <v>49</v>
      </c>
      <c r="H527" s="65" t="str">
        <f>IFERROR(TEXT(Table4[[#This Row],[Confirmed Pick-up Date]],"yy-mm"),"TBD")</f>
        <v>25-12</v>
      </c>
      <c r="I527" s="66" t="s">
        <v>863</v>
      </c>
      <c r="J527" s="65" t="str">
        <f>IFERROR(VLOOKUP(Table4[[#This Row],[FromSite-UPS]],Table1[[#All],[Company or Name]:[FromSite3]],15,FALSE),"")</f>
        <v>Dusseldorf WWTP 2101</v>
      </c>
      <c r="K527" s="65" t="str">
        <f>IFERROR(VLOOKUP(Table4[[#This Row],[FromSite-UPS]],Table1[[#All],[Company or Name]:[FromSite3]],16,FALSE),"")</f>
        <v>Dusseldorf WWTP 601</v>
      </c>
      <c r="L527" s="65">
        <f>IFERROR(VLOOKUP(Table4[[#This Row],[FromSite-UPS]],Table1[[#All],[Company or Name]:[FromSite3]],14,FALSE),"")</f>
        <v>0.625</v>
      </c>
      <c r="M527" s="64" t="s">
        <v>1011</v>
      </c>
      <c r="N527" s="65"/>
      <c r="O527" s="65"/>
      <c r="P527" s="65"/>
      <c r="Q527" s="65" t="s">
        <v>768</v>
      </c>
      <c r="R527" s="20"/>
      <c r="S527" s="20" t="s">
        <v>126</v>
      </c>
      <c r="T527" s="65"/>
      <c r="U527" s="65"/>
      <c r="V527" s="65"/>
      <c r="W527" s="65" t="str">
        <f>TEXT(Table4[[#This Row],[Confirmed Sampling Date]], "yyyy") &amp; "_" &amp; TEXT(Table4[[#This Row],[Confirmed Sampling Date]], "mm") &amp; "_" &amp; TEXT(Table4[[#This Row],[Confirmed Sampling Date]], "dd")</f>
        <v>2025_12_02</v>
      </c>
      <c r="X527" s="65" t="str">
        <f t="shared" si="8"/>
        <v>Dusseldorf</v>
      </c>
      <c r="Y527" s="65" t="str">
        <f>VLOOKUP(Table4[[#This Row],[FromSite-UPS]],Table1[[Company or Name]:[NOTES]],2,FALSE)</f>
        <v>Germany</v>
      </c>
      <c r="Z527" s="65">
        <f>IFERROR(WEEKNUM(Table4[[#This Row],[Confirmed Sampling Date]] - 10, 21), "TBD")</f>
        <v>47</v>
      </c>
      <c r="AA527" s="20" t="str">
        <f>_xlfn.XLOOKUP(Table4[[#This Row],[FromSite-UPS]],sites!D:D,sites!W:W,"",0)</f>
        <v>Auf dem Draap 15, Chemisch-Biologische Laboratorien, Dusseldorf, 40221, Germany</v>
      </c>
      <c r="AB527" s="20" t="str">
        <f>_xlfn.XLOOKUP(Table4[[#This Row],[ToLab]],labs!D:D,labs!P:P,"no adres",0)</f>
        <v>Av. Rovisco Pais 1, Laboratorio de Analises de Agua, Lisbon, 1049-001, Portugal</v>
      </c>
      <c r="AC527" s="20">
        <f>_xlfn.XLOOKUP(Table4[[#This Row],[combi]],AREA!E:E,AREA!F:F,"",0)</f>
        <v>89</v>
      </c>
      <c r="AD527" s="20" t="str">
        <f>_xlfn.XLOOKUP(Table4[[#This Row],[combi]],AREA!E:E,AREA!G:G,"",0)</f>
        <v>Pick-up service of hypothetic package as defined in the Tech. Specs. and delivery to lots
2 and 3 contractors according to Scenario 1</v>
      </c>
      <c r="AE527" s="20" t="s">
        <v>126</v>
      </c>
      <c r="AF527" s="20" t="str">
        <f>_xlfn.XLOOKUP(Table4[[#This Row],[FromSite-UPS]],sites!D:D,sites!AB:AB,"",0)&amp;_xlfn.XLOOKUP(Table4[[#This Row],[ToLab]],labs!D:D,labs!Q:Q,"",0)</f>
        <v>EUEU</v>
      </c>
    </row>
    <row r="528" spans="2:32" ht="15.6" hidden="1" customHeight="1" x14ac:dyDescent="0.25">
      <c r="B528" s="13">
        <v>518</v>
      </c>
      <c r="C528" s="14" t="s">
        <v>53</v>
      </c>
      <c r="D528" s="13">
        <v>1</v>
      </c>
      <c r="E528" s="79">
        <v>45993</v>
      </c>
      <c r="F528" s="80">
        <v>45993</v>
      </c>
      <c r="G528" s="20">
        <f>IFERROR(WEEKNUM(Table4[[#This Row],[Confirmed Pick-up Date]]),"TBD")</f>
        <v>49</v>
      </c>
      <c r="H528" s="20" t="str">
        <f>IFERROR(TEXT(Table4[[#This Row],[Confirmed Pick-up Date]],"yy-mm"),"TBD")</f>
        <v>25-12</v>
      </c>
      <c r="I528" s="78" t="s">
        <v>1125</v>
      </c>
      <c r="J528" s="20" t="str">
        <f>IFERROR(VLOOKUP(Table4[[#This Row],[FromSite-UPS]],Table1[[#All],[Company or Name]:[FromSite3]],15,FALSE),"")</f>
        <v>Cluj-SCBI</v>
      </c>
      <c r="K528" s="20" t="str">
        <f>IFERROR(VLOOKUP(Table4[[#This Row],[FromSite-UPS]],Table1[[#All],[Company or Name]:[FromSite3]],16,FALSE),"")</f>
        <v>-</v>
      </c>
      <c r="L528" s="20">
        <f>IFERROR(VLOOKUP(Table4[[#This Row],[FromSite-UPS]],Table1[[#All],[Company or Name]:[FromSite3]],14,FALSE),"")</f>
        <v>0.66666666666666663</v>
      </c>
      <c r="M528" s="13" t="s">
        <v>1011</v>
      </c>
      <c r="N528" s="20"/>
      <c r="O528" s="20"/>
      <c r="P528" s="20"/>
      <c r="Q528" s="20"/>
      <c r="R528" s="20"/>
      <c r="S528" s="20" t="s">
        <v>126</v>
      </c>
      <c r="T528" s="20"/>
      <c r="U528" s="20"/>
      <c r="V528" s="20"/>
      <c r="W528" s="20" t="str">
        <f>TEXT(Table4[[#This Row],[Confirmed Sampling Date]], "yyyy") &amp; "_" &amp; TEXT(Table4[[#This Row],[Confirmed Sampling Date]], "mm") &amp; "_" &amp; TEXT(Table4[[#This Row],[Confirmed Sampling Date]], "dd")</f>
        <v>2025_12_02</v>
      </c>
      <c r="X528" s="20" t="str">
        <f t="shared" si="8"/>
        <v>Cluj-SCBI</v>
      </c>
      <c r="Y528" s="20" t="str">
        <f>VLOOKUP(Table4[[#This Row],[FromSite-UPS]],Table1[[Company or Name]:[NOTES]],2,FALSE)</f>
        <v>Romania</v>
      </c>
      <c r="Z528" s="20">
        <f>IFERROR(WEEKNUM(Table4[[#This Row],[Confirmed Sampling Date]] - 10, 21), "TBD")</f>
        <v>47</v>
      </c>
      <c r="AA528" s="20" t="str">
        <f>_xlfn.XLOOKUP(Table4[[#This Row],[FromSite-UPS]],sites!D:D,sites!W:W,"",0)</f>
        <v>Strada Iuliu Moldovan 23, Cluj-Napoca, 400003, Romania</v>
      </c>
      <c r="AB528" s="20" t="str">
        <f>_xlfn.XLOOKUP(Table4[[#This Row],[ToLab]],labs!D:D,labs!P:P,"no adres",0)</f>
        <v>Av. Rovisco Pais 1, Laboratorio de Analises de Agua, Lisbon, 1049-001, Portugal</v>
      </c>
      <c r="AC528" s="20" t="str">
        <f>_xlfn.XLOOKUP(Table4[[#This Row],[combi]],AREA!E:E,AREA!F:F,"",0)</f>
        <v/>
      </c>
      <c r="AD528" s="20" t="str">
        <f>_xlfn.XLOOKUP(Table4[[#This Row],[combi]],AREA!E:E,AREA!G:G,"",0)</f>
        <v/>
      </c>
      <c r="AE528" s="20" t="s">
        <v>126</v>
      </c>
      <c r="AF528" s="20" t="s">
        <v>126</v>
      </c>
    </row>
    <row r="529" spans="2:32" ht="15.6" hidden="1" customHeight="1" x14ac:dyDescent="0.25">
      <c r="B529" s="13">
        <v>527</v>
      </c>
      <c r="C529" s="14" t="s">
        <v>53</v>
      </c>
      <c r="D529" s="13">
        <v>1</v>
      </c>
      <c r="E529" s="79">
        <v>45993</v>
      </c>
      <c r="F529" s="80">
        <v>45993</v>
      </c>
      <c r="G529" s="20">
        <f>IFERROR(WEEKNUM(Table4[[#This Row],[Confirmed Pick-up Date]]),"TBD")</f>
        <v>49</v>
      </c>
      <c r="H529" s="20" t="str">
        <f>IFERROR(TEXT(Table4[[#This Row],[Confirmed Pick-up Date]],"yy-mm"),"TBD")</f>
        <v>25-12</v>
      </c>
      <c r="I529" s="78" t="s">
        <v>1132</v>
      </c>
      <c r="J529" s="20" t="str">
        <f>IFERROR(VLOOKUP(Table4[[#This Row],[FromSite-UPS]],Table1[[#All],[Company or Name]:[FromSite3]],15,FALSE),"")</f>
        <v>Cluj-MNC</v>
      </c>
      <c r="K529" s="20" t="str">
        <f>IFERROR(VLOOKUP(Table4[[#This Row],[FromSite-UPS]],Table1[[#All],[Company or Name]:[FromSite3]],16,FALSE),"")</f>
        <v>-</v>
      </c>
      <c r="L529" s="20">
        <f>IFERROR(VLOOKUP(Table4[[#This Row],[FromSite-UPS]],Table1[[#All],[Company or Name]:[FromSite3]],14,FALSE),"")</f>
        <v>0.66666666666666663</v>
      </c>
      <c r="M529" s="13" t="s">
        <v>1011</v>
      </c>
      <c r="N529" s="20"/>
      <c r="O529" s="20"/>
      <c r="P529" s="20"/>
      <c r="Q529" s="20"/>
      <c r="R529" s="20"/>
      <c r="S529" s="20" t="s">
        <v>126</v>
      </c>
      <c r="T529" s="20"/>
      <c r="U529" s="20"/>
      <c r="V529" s="20"/>
      <c r="W529" s="20" t="str">
        <f>TEXT(Table4[[#This Row],[Confirmed Sampling Date]], "yyyy") &amp; "_" &amp; TEXT(Table4[[#This Row],[Confirmed Sampling Date]], "mm") &amp; "_" &amp; TEXT(Table4[[#This Row],[Confirmed Sampling Date]], "dd")</f>
        <v>2025_12_02</v>
      </c>
      <c r="X529" s="20" t="str">
        <f t="shared" si="8"/>
        <v>Cluj-MNC</v>
      </c>
      <c r="Y529" s="20" t="str">
        <f>VLOOKUP(Table4[[#This Row],[FromSite-UPS]],Table1[[Company or Name]:[NOTES]],2,FALSE)</f>
        <v>Romania</v>
      </c>
      <c r="Z529" s="20">
        <f>IFERROR(WEEKNUM(Table4[[#This Row],[Confirmed Sampling Date]] - 10, 21), "TBD")</f>
        <v>47</v>
      </c>
      <c r="AA529" s="20" t="str">
        <f>_xlfn.XLOOKUP(Table4[[#This Row],[FromSite-UPS]],sites!D:D,sites!W:W,"",0)</f>
        <v>Strada Tăbăcarilor 11, Cluj-Napoca, 400139, Romania</v>
      </c>
      <c r="AB529" s="20" t="str">
        <f>_xlfn.XLOOKUP(Table4[[#This Row],[ToLab]],labs!D:D,labs!P:P,"no adres",0)</f>
        <v>Av. Rovisco Pais 1, Laboratorio de Analises de Agua, Lisbon, 1049-001, Portugal</v>
      </c>
      <c r="AC529" s="20">
        <f>_xlfn.XLOOKUP(Table4[[#This Row],[combi]],AREA!E:E,AREA!F:F,"",0)</f>
        <v>89</v>
      </c>
      <c r="AD529" s="20" t="str">
        <f>_xlfn.XLOOKUP(Table4[[#This Row],[combi]],AREA!E:E,AREA!G:G,"",0)</f>
        <v>Pick-up service of hypothetic package as defined in the Tech. Specs. and delivery to lots
2 and 3 contractors according to Scenario 1</v>
      </c>
      <c r="AE529" s="20" t="s">
        <v>126</v>
      </c>
      <c r="AF529" s="20" t="str">
        <f>_xlfn.XLOOKUP(Table4[[#This Row],[FromSite-UPS]],sites!D:D,sites!AB:AB,"",0)&amp;_xlfn.XLOOKUP(Table4[[#This Row],[ToLab]],labs!D:D,labs!Q:Q,"",0)</f>
        <v>EUEU</v>
      </c>
    </row>
    <row r="530" spans="2:32" ht="15.6" hidden="1" customHeight="1" x14ac:dyDescent="0.25">
      <c r="B530" s="13">
        <v>593</v>
      </c>
      <c r="C530" s="14" t="s">
        <v>53</v>
      </c>
      <c r="D530" s="13">
        <v>1</v>
      </c>
      <c r="E530" s="83">
        <v>45992</v>
      </c>
      <c r="F530" s="83">
        <v>45993</v>
      </c>
      <c r="G530" s="20">
        <f>IFERROR(WEEKNUM(Table4[[#This Row],[Confirmed Pick-up Date]]),"TBD")</f>
        <v>49</v>
      </c>
      <c r="H530" s="20" t="str">
        <f>IFERROR(TEXT(Table4[[#This Row],[Confirmed Pick-up Date]],"yy-mm"),"TBD")</f>
        <v>25-12</v>
      </c>
      <c r="I530" s="13" t="s">
        <v>1292</v>
      </c>
      <c r="J530" s="20" t="str">
        <f>IFERROR(VLOOKUP(Table4[[#This Row],[FromSite-UPS]],Table1[[#All],[Company or Name]:[FromSite3]],15,FALSE),"")</f>
        <v>Bologna WWTP</v>
      </c>
      <c r="K530" s="20" t="s">
        <v>127</v>
      </c>
      <c r="L530" s="20">
        <f>IFERROR(VLOOKUP(Table4[[#This Row],[FromSite-UPS]],Table1[[#All],[Company or Name]:[FromSite3]],14,FALSE),"")</f>
        <v>0.66666666666666663</v>
      </c>
      <c r="M530" s="13" t="s">
        <v>1011</v>
      </c>
      <c r="N530" s="20"/>
      <c r="O530" s="20"/>
      <c r="P530" s="20"/>
      <c r="Q530" s="20"/>
      <c r="R530" s="20"/>
      <c r="S530" s="20" t="s">
        <v>126</v>
      </c>
      <c r="T530" s="20"/>
      <c r="U530" s="20"/>
      <c r="V530" s="20"/>
      <c r="W530" s="20" t="str">
        <f>TEXT(Table4[[#This Row],[Confirmed Sampling Date]], "yyyy") &amp; "_" &amp; TEXT(Table4[[#This Row],[Confirmed Sampling Date]], "mm") &amp; "_" &amp; TEXT(Table4[[#This Row],[Confirmed Sampling Date]], "dd")</f>
        <v>2025_12_01</v>
      </c>
      <c r="X530" s="20" t="str">
        <f t="shared" si="8"/>
        <v>Bologna</v>
      </c>
      <c r="Y530" s="20" t="str">
        <f>VLOOKUP(Table4[[#This Row],[FromSite-UPS]],Table1[[Company or Name]:[NOTES]],2,FALSE)</f>
        <v>Italy</v>
      </c>
      <c r="Z530" s="20">
        <f>IFERROR(WEEKNUM(Table4[[#This Row],[Confirmed Sampling Date]] - 10, 21), "TBD")</f>
        <v>47</v>
      </c>
      <c r="AA530" s="20" t="str">
        <f>_xlfn.XLOOKUP(Table4[[#This Row],[FromSite-UPS]],sites!D:D,sites!W:W,"",0)</f>
        <v>VIA SHAKESPEARE 29, Bologna, 40128, Italy</v>
      </c>
      <c r="AB530" s="20" t="str">
        <f>_xlfn.XLOOKUP(Table4[[#This Row],[ToLab]],labs!D:D,labs!P:P,"no adres",0)</f>
        <v>Av. Rovisco Pais 1, Laboratorio de Analises de Agua, Lisbon, 1049-001, Portugal</v>
      </c>
      <c r="AC530" s="20">
        <f>_xlfn.XLOOKUP(Table4[[#This Row],[combi]],AREA!E:E,AREA!F:F,"",0)</f>
        <v>89</v>
      </c>
      <c r="AD530" s="20" t="str">
        <f>_xlfn.XLOOKUP(Table4[[#This Row],[combi]],AREA!E:E,AREA!G:G,"",0)</f>
        <v>Pick-up service of hypothetic package as defined in the Tech. Specs. and delivery to lots
2 and 3 contractors according to Scenario 1</v>
      </c>
      <c r="AE530" s="20" t="s">
        <v>126</v>
      </c>
      <c r="AF530" s="20" t="str">
        <f>_xlfn.XLOOKUP(Table4[[#This Row],[FromSite-UPS]],sites!D:D,sites!AB:AB,"",0)&amp;_xlfn.XLOOKUP(Table4[[#This Row],[ToLab]],labs!D:D,labs!Q:Q,"",0)</f>
        <v>EUEU</v>
      </c>
    </row>
    <row r="531" spans="2:32" ht="15.6" hidden="1" customHeight="1" x14ac:dyDescent="0.25">
      <c r="B531" s="13">
        <v>33</v>
      </c>
      <c r="C531" s="14" t="s">
        <v>53</v>
      </c>
      <c r="D531" s="13">
        <v>1</v>
      </c>
      <c r="E531" s="79">
        <v>45993</v>
      </c>
      <c r="F531" s="80">
        <v>45994</v>
      </c>
      <c r="G531" s="20">
        <f>IFERROR(WEEKNUM(Table4[[#This Row],[Confirmed Pick-up Date]]),"TBD")</f>
        <v>49</v>
      </c>
      <c r="H531" s="20" t="str">
        <f>IFERROR(TEXT(Table4[[#This Row],[Confirmed Pick-up Date]],"yy-mm"),"TBD")</f>
        <v>25-12</v>
      </c>
      <c r="I531" s="13" t="s">
        <v>19</v>
      </c>
      <c r="J531" s="13" t="str">
        <f>IFERROR(VLOOKUP(Table4[[#This Row],[FromSite-UPS]],Table1[[#All],[Company or Name]:[FromSite3]],15,FALSE),"")</f>
        <v>Munich WWTP</v>
      </c>
      <c r="K531" s="20" t="str">
        <f>IFERROR(VLOOKUP(Table4[[#This Row],[FromSite-UPS]],Table1[[#All],[Company or Name]:[FromSite3]],16,FALSE),"")</f>
        <v>Munich Airport</v>
      </c>
      <c r="L531" s="20">
        <f>IFERROR(VLOOKUP(Table4[[#This Row],[FromSite-UPS]],Table1[[#All],[Company or Name]:[FromSite3]],14,FALSE),"")</f>
        <v>0.58333333333333337</v>
      </c>
      <c r="M531" s="13" t="s">
        <v>1011</v>
      </c>
      <c r="N531" s="20"/>
      <c r="O531" s="13"/>
      <c r="P531" s="13"/>
      <c r="Q531" s="20"/>
      <c r="R531" s="20"/>
      <c r="S531" s="20" t="s">
        <v>126</v>
      </c>
      <c r="T531" s="20"/>
      <c r="U531" s="20"/>
      <c r="V531" s="20"/>
      <c r="W531" s="20" t="str">
        <f>TEXT(Table4[[#This Row],[Confirmed Sampling Date]], "yyyy") &amp; "_" &amp; TEXT(Table4[[#This Row],[Confirmed Sampling Date]], "mm") &amp; "_" &amp; TEXT(Table4[[#This Row],[Confirmed Sampling Date]], "dd")</f>
        <v>2025_12_02</v>
      </c>
      <c r="X531" s="20" t="str">
        <f t="shared" si="8"/>
        <v>Munich</v>
      </c>
      <c r="Y531" s="20" t="str">
        <f>VLOOKUP(Table4[[#This Row],[FromSite-UPS]],Table1[[Company or Name]:[NOTES]],2,FALSE)</f>
        <v>Germany</v>
      </c>
      <c r="Z531" s="20">
        <f>IFERROR(WEEKNUM(Table4[[#This Row],[Confirmed Sampling Date]] - 10, 21), "TBD")</f>
        <v>47</v>
      </c>
      <c r="AA531" s="20" t="str">
        <f>_xlfn.XLOOKUP(Table4[[#This Row],[FromSite-UPS]],sites!D:D,sites!W:W,"",0)</f>
        <v>Leopoldstrasse 5, Institut fuer Infektions- und Tropenmedizin, Munich, 80802, Germany</v>
      </c>
      <c r="AB531" s="20" t="str">
        <f>_xlfn.XLOOKUP(Table4[[#This Row],[ToLab]],labs!D:D,labs!P:P,"no adres",0)</f>
        <v>Av. Rovisco Pais 1, Laboratorio de Analises de Agua, Lisbon, 1049-001, Portugal</v>
      </c>
      <c r="AC531" s="20">
        <f>_xlfn.XLOOKUP(Table4[[#This Row],[combi]],AREA!E:E,AREA!F:F,"",0)</f>
        <v>89</v>
      </c>
      <c r="AD531" s="20" t="str">
        <f>_xlfn.XLOOKUP(Table4[[#This Row],[combi]],AREA!E:E,AREA!G:G,"",0)</f>
        <v>Pick-up service of hypothetic package as defined in the Tech. Specs. and delivery to lots
2 and 3 contractors according to Scenario 1</v>
      </c>
      <c r="AE531" s="20" t="s">
        <v>126</v>
      </c>
      <c r="AF531" s="20" t="str">
        <f>_xlfn.XLOOKUP(Table4[[#This Row],[FromSite-UPS]],sites!D:D,sites!AB:AB,"",0)&amp;_xlfn.XLOOKUP(Table4[[#This Row],[ToLab]],labs!D:D,labs!Q:Q,"",0)</f>
        <v>EUEU</v>
      </c>
    </row>
    <row r="532" spans="2:32" ht="15.6" hidden="1" customHeight="1" x14ac:dyDescent="0.25">
      <c r="B532" s="13">
        <v>47</v>
      </c>
      <c r="C532" s="14" t="s">
        <v>53</v>
      </c>
      <c r="D532" s="13">
        <v>1</v>
      </c>
      <c r="E532" s="79">
        <v>45993</v>
      </c>
      <c r="F532" s="80">
        <v>45994</v>
      </c>
      <c r="G532" s="20">
        <f>IFERROR(WEEKNUM(Table4[[#This Row],[Confirmed Pick-up Date]]),"TBD")</f>
        <v>49</v>
      </c>
      <c r="H532" s="20" t="str">
        <f>IFERROR(TEXT(Table4[[#This Row],[Confirmed Pick-up Date]],"yy-mm"),"TBD")</f>
        <v>25-12</v>
      </c>
      <c r="I532" s="64" t="s">
        <v>677</v>
      </c>
      <c r="J532" s="13" t="str">
        <f>IFERROR(VLOOKUP(Table4[[#This Row],[FromSite-UPS]],Table1[[#All],[Company or Name]:[FromSite3]],15,FALSE),"")</f>
        <v>Frankfurt WWTP</v>
      </c>
      <c r="K532" s="20" t="str">
        <f>IFERROR(VLOOKUP(Table4[[#This Row],[FromSite-UPS]],Table1[[#All],[Company or Name]:[FromSite3]],16,FALSE),"")</f>
        <v>Frankfurt Airport</v>
      </c>
      <c r="L532" s="20">
        <f>IFERROR(VLOOKUP(Table4[[#This Row],[FromSite-UPS]],Table1[[#All],[Company or Name]:[FromSite3]],14,FALSE),"")</f>
        <v>0.58333333333333337</v>
      </c>
      <c r="M532" s="13" t="s">
        <v>1011</v>
      </c>
      <c r="N532" s="20"/>
      <c r="O532" s="13"/>
      <c r="P532" s="13"/>
      <c r="Q532" s="20"/>
      <c r="R532" s="20"/>
      <c r="S532" s="20" t="s">
        <v>126</v>
      </c>
      <c r="T532" s="20"/>
      <c r="U532" s="20"/>
      <c r="V532" s="20"/>
      <c r="W532" s="20" t="str">
        <f>TEXT(Table4[[#This Row],[Confirmed Sampling Date]], "yyyy") &amp; "_" &amp; TEXT(Table4[[#This Row],[Confirmed Sampling Date]], "mm") &amp; "_" &amp; TEXT(Table4[[#This Row],[Confirmed Sampling Date]], "dd")</f>
        <v>2025_12_02</v>
      </c>
      <c r="X532" s="20" t="str">
        <f t="shared" si="8"/>
        <v>Frankfurt</v>
      </c>
      <c r="Y532" s="20" t="str">
        <f>VLOOKUP(Table4[[#This Row],[FromSite-UPS]],Table1[[Company or Name]:[NOTES]],2,FALSE)</f>
        <v>Germany</v>
      </c>
      <c r="Z532" s="20">
        <f>IFERROR(WEEKNUM(Table4[[#This Row],[Confirmed Sampling Date]] - 10, 21), "TBD")</f>
        <v>47</v>
      </c>
      <c r="AA532" s="20" t="str">
        <f>_xlfn.XLOOKUP(Table4[[#This Row],[FromSite-UPS]],sites!D:D,sites!W:W,"",0)</f>
        <v>Goldsteinstraße 160, Gebäude 71 , Frankfurt am Main , 60528, Germany</v>
      </c>
      <c r="AB532" s="20" t="str">
        <f>_xlfn.XLOOKUP(Table4[[#This Row],[ToLab]],labs!D:D,labs!P:P,"no adres",0)</f>
        <v>Av. Rovisco Pais 1, Laboratorio de Analises de Agua, Lisbon, 1049-001, Portugal</v>
      </c>
      <c r="AC532" s="20">
        <f>_xlfn.XLOOKUP(Table4[[#This Row],[combi]],AREA!E:E,AREA!F:F,"",0)</f>
        <v>89</v>
      </c>
      <c r="AD532" s="20" t="str">
        <f>_xlfn.XLOOKUP(Table4[[#This Row],[combi]],AREA!E:E,AREA!G:G,"",0)</f>
        <v>Pick-up service of hypothetic package as defined in the Tech. Specs. and delivery to lots
2 and 3 contractors according to Scenario 1</v>
      </c>
      <c r="AE532" s="20" t="s">
        <v>126</v>
      </c>
      <c r="AF532" s="20" t="str">
        <f>_xlfn.XLOOKUP(Table4[[#This Row],[FromSite-UPS]],sites!D:D,sites!AB:AB,"",0)&amp;_xlfn.XLOOKUP(Table4[[#This Row],[ToLab]],labs!D:D,labs!Q:Q,"",0)</f>
        <v>EUEU</v>
      </c>
    </row>
    <row r="533" spans="2:32" ht="15.6" hidden="1" customHeight="1" x14ac:dyDescent="0.25">
      <c r="B533" s="13">
        <v>96</v>
      </c>
      <c r="C533" s="14" t="s">
        <v>53</v>
      </c>
      <c r="D533" s="13">
        <v>1</v>
      </c>
      <c r="E533" s="79">
        <v>45993</v>
      </c>
      <c r="F533" s="80">
        <v>45994</v>
      </c>
      <c r="G533" s="20">
        <f>IFERROR(WEEKNUM(Table4[[#This Row],[Confirmed Pick-up Date]]),"TBD")</f>
        <v>49</v>
      </c>
      <c r="H533" s="20" t="str">
        <f>IFERROR(TEXT(Table4[[#This Row],[Confirmed Pick-up Date]],"yy-mm"),"TBD")</f>
        <v>25-12</v>
      </c>
      <c r="I533" s="13" t="s">
        <v>19</v>
      </c>
      <c r="J533" s="20" t="str">
        <f>IFERROR(VLOOKUP(Table4[[#This Row],[FromSite-UPS]],Table1[[#All],[Company or Name]:[FromSite3]],15,FALSE),"")</f>
        <v>Munich WWTP</v>
      </c>
      <c r="K533" s="20" t="str">
        <f>IFERROR(VLOOKUP(Table4[[#This Row],[FromSite-UPS]],Table1[[#All],[Company or Name]:[FromSite3]],16,FALSE),"")</f>
        <v>Munich Airport</v>
      </c>
      <c r="L533" s="20">
        <f>IFERROR(VLOOKUP(Table4[[#This Row],[FromSite-UPS]],Table1[[#All],[Company or Name]:[FromSite3]],14,FALSE),"")</f>
        <v>0.58333333333333337</v>
      </c>
      <c r="M533" s="13" t="s">
        <v>1011</v>
      </c>
      <c r="N533" s="20"/>
      <c r="O533" s="13"/>
      <c r="P533" s="13"/>
      <c r="Q533" s="20"/>
      <c r="R533" s="20"/>
      <c r="S533" s="20" t="s">
        <v>126</v>
      </c>
      <c r="T533" s="20"/>
      <c r="U533" s="20"/>
      <c r="V533" s="20"/>
      <c r="W533" s="20" t="str">
        <f>TEXT(Table4[[#This Row],[Confirmed Sampling Date]], "yyyy") &amp; "_" &amp; TEXT(Table4[[#This Row],[Confirmed Sampling Date]], "mm") &amp; "_" &amp; TEXT(Table4[[#This Row],[Confirmed Sampling Date]], "dd")</f>
        <v>2025_12_02</v>
      </c>
      <c r="X533" s="20" t="str">
        <f t="shared" si="8"/>
        <v>Munich</v>
      </c>
      <c r="Y533" s="20" t="str">
        <f>VLOOKUP(Table4[[#This Row],[FromSite-UPS]],Table1[[Company or Name]:[NOTES]],2,FALSE)</f>
        <v>Germany</v>
      </c>
      <c r="Z533" s="20">
        <f>IFERROR(WEEKNUM(Table4[[#This Row],[Confirmed Sampling Date]] - 10, 21), "TBD")</f>
        <v>47</v>
      </c>
      <c r="AA533" s="20" t="str">
        <f>_xlfn.XLOOKUP(Table4[[#This Row],[FromSite-UPS]],sites!D:D,sites!W:W,"",0)</f>
        <v>Leopoldstrasse 5, Institut fuer Infektions- und Tropenmedizin, Munich, 80802, Germany</v>
      </c>
      <c r="AB533" s="20" t="str">
        <f>_xlfn.XLOOKUP(Table4[[#This Row],[ToLab]],labs!D:D,labs!P:P,"no adres",0)</f>
        <v>Av. Rovisco Pais 1, Laboratorio de Analises de Agua, Lisbon, 1049-001, Portugal</v>
      </c>
      <c r="AC533" s="20">
        <f>_xlfn.XLOOKUP(Table4[[#This Row],[combi]],AREA!E:E,AREA!F:F,"",0)</f>
        <v>89</v>
      </c>
      <c r="AD533" s="20" t="str">
        <f>_xlfn.XLOOKUP(Table4[[#This Row],[combi]],AREA!E:E,AREA!G:G,"",0)</f>
        <v>Pick-up service of hypothetic package as defined in the Tech. Specs. and delivery to lots
2 and 3 contractors according to Scenario 1</v>
      </c>
      <c r="AE533" s="20" t="s">
        <v>126</v>
      </c>
      <c r="AF533" s="20" t="str">
        <f>_xlfn.XLOOKUP(Table4[[#This Row],[FromSite-UPS]],sites!D:D,sites!AB:AB,"",0)&amp;_xlfn.XLOOKUP(Table4[[#This Row],[ToLab]],labs!D:D,labs!Q:Q,"",0)</f>
        <v>EUEU</v>
      </c>
    </row>
    <row r="534" spans="2:32" ht="15.6" hidden="1" customHeight="1" x14ac:dyDescent="0.25">
      <c r="B534" s="13">
        <v>145</v>
      </c>
      <c r="C534" s="14" t="s">
        <v>53</v>
      </c>
      <c r="D534" s="13">
        <v>1</v>
      </c>
      <c r="E534" s="79">
        <v>45994</v>
      </c>
      <c r="F534" s="80">
        <v>45994</v>
      </c>
      <c r="G534" s="20">
        <f>IFERROR(WEEKNUM(Table4[[#This Row],[Confirmed Pick-up Date]]),"TBD")</f>
        <v>49</v>
      </c>
      <c r="H534" s="20" t="str">
        <f>IFERROR(TEXT(Table4[[#This Row],[Confirmed Pick-up Date]],"yy-mm"),"TBD")</f>
        <v>25-12</v>
      </c>
      <c r="I534" s="13" t="s">
        <v>680</v>
      </c>
      <c r="J534" s="20" t="str">
        <f>IFERROR(VLOOKUP(Table4[[#This Row],[FromSite-UPS]],Table1[[#All],[Company or Name]:[FromSite3]],15,FALSE),"")</f>
        <v>Rome WWTP</v>
      </c>
      <c r="K534" s="20" t="str">
        <f>IFERROR(VLOOKUP(Table4[[#This Row],[FromSite-UPS]],Table1[[#All],[Company or Name]:[FromSite3]],16,FALSE),"")</f>
        <v>-</v>
      </c>
      <c r="L534" s="20">
        <f>IFERROR(VLOOKUP(Table4[[#This Row],[FromSite-UPS]],Table1[[#All],[Company or Name]:[FromSite3]],14,FALSE),"")</f>
        <v>0.70833333333333337</v>
      </c>
      <c r="M534" s="13" t="s">
        <v>1011</v>
      </c>
      <c r="N534" s="20"/>
      <c r="O534" s="13"/>
      <c r="P534" s="13"/>
      <c r="Q534" s="20"/>
      <c r="R534" s="20"/>
      <c r="S534" s="20" t="s">
        <v>126</v>
      </c>
      <c r="T534" s="20"/>
      <c r="U534" s="20"/>
      <c r="V534" s="20"/>
      <c r="W534" s="20" t="str">
        <f>TEXT(Table4[[#This Row],[Confirmed Sampling Date]], "yyyy") &amp; "_" &amp; TEXT(Table4[[#This Row],[Confirmed Sampling Date]], "mm") &amp; "_" &amp; TEXT(Table4[[#This Row],[Confirmed Sampling Date]], "dd")</f>
        <v>2025_12_03</v>
      </c>
      <c r="X534" s="20" t="str">
        <f t="shared" si="8"/>
        <v>Rome</v>
      </c>
      <c r="Y534" s="20" t="str">
        <f>VLOOKUP(Table4[[#This Row],[FromSite-UPS]],Table1[[Company or Name]:[NOTES]],2,FALSE)</f>
        <v>Italy</v>
      </c>
      <c r="Z534" s="20">
        <f>IFERROR(WEEKNUM(Table4[[#This Row],[Confirmed Sampling Date]] - 10, 21), "TBD")</f>
        <v>47</v>
      </c>
      <c r="AA534" s="20" t="str">
        <f>_xlfn.XLOOKUP(Table4[[#This Row],[FromSite-UPS]],sites!D:D,sites!W:W,"",0)</f>
        <v>Via dell'Equitazione 10, Rome, 00144, Italy</v>
      </c>
      <c r="AB534" s="20" t="str">
        <f>_xlfn.XLOOKUP(Table4[[#This Row],[ToLab]],labs!D:D,labs!P:P,"no adres",0)</f>
        <v>Av. Rovisco Pais 1, Laboratorio de Analises de Agua, Lisbon, 1049-001, Portugal</v>
      </c>
      <c r="AC534" s="20">
        <f>_xlfn.XLOOKUP(Table4[[#This Row],[combi]],AREA!E:E,AREA!F:F,"",0)</f>
        <v>89</v>
      </c>
      <c r="AD534" s="20" t="str">
        <f>_xlfn.XLOOKUP(Table4[[#This Row],[combi]],AREA!E:E,AREA!G:G,"",0)</f>
        <v>Pick-up service of hypothetic package as defined in the Tech. Specs. and delivery to lots
2 and 3 contractors according to Scenario 1</v>
      </c>
      <c r="AE534" s="20" t="s">
        <v>126</v>
      </c>
      <c r="AF534" s="20" t="str">
        <f>_xlfn.XLOOKUP(Table4[[#This Row],[FromSite-UPS]],sites!D:D,sites!AB:AB,"",0)&amp;_xlfn.XLOOKUP(Table4[[#This Row],[ToLab]],labs!D:D,labs!Q:Q,"",0)</f>
        <v>EUEU</v>
      </c>
    </row>
    <row r="535" spans="2:32" ht="15.6" hidden="1" customHeight="1" x14ac:dyDescent="0.25">
      <c r="B535" s="13">
        <v>159</v>
      </c>
      <c r="C535" s="14" t="s">
        <v>53</v>
      </c>
      <c r="D535" s="13">
        <v>1</v>
      </c>
      <c r="E535" s="79">
        <v>45994</v>
      </c>
      <c r="F535" s="80">
        <v>45994</v>
      </c>
      <c r="G535" s="20">
        <f>IFERROR(WEEKNUM(Table4[[#This Row],[Confirmed Pick-up Date]]),"TBD")</f>
        <v>49</v>
      </c>
      <c r="H535" s="20" t="str">
        <f>IFERROR(TEXT(Table4[[#This Row],[Confirmed Pick-up Date]],"yy-mm"),"TBD")</f>
        <v>25-12</v>
      </c>
      <c r="I535" s="13" t="s">
        <v>771</v>
      </c>
      <c r="J535" s="20" t="str">
        <f>IFERROR(VLOOKUP(Table4[[#This Row],[FromSite-UPS]],Table1[[#All],[Company or Name]:[FromSite3]],15,FALSE),"")</f>
        <v>RomeAirport</v>
      </c>
      <c r="K535" s="20" t="str">
        <f>IFERROR(VLOOKUP(Table4[[#This Row],[FromSite-UPS]],Table1[[#All],[Company or Name]:[FromSite3]],16,FALSE),"")</f>
        <v>-</v>
      </c>
      <c r="L535" s="20">
        <f>IFERROR(VLOOKUP(Table4[[#This Row],[FromSite-UPS]],Table1[[#All],[Company or Name]:[FromSite3]],14,FALSE),"")</f>
        <v>0.70833333333333337</v>
      </c>
      <c r="M535" s="13" t="s">
        <v>1011</v>
      </c>
      <c r="N535" s="20"/>
      <c r="O535" s="13"/>
      <c r="P535" s="13"/>
      <c r="Q535" s="20"/>
      <c r="R535" s="20"/>
      <c r="S535" s="20" t="s">
        <v>126</v>
      </c>
      <c r="T535" s="20"/>
      <c r="U535" s="20"/>
      <c r="V535" s="20"/>
      <c r="W535" s="20" t="str">
        <f>TEXT(Table4[[#This Row],[Confirmed Sampling Date]], "yyyy") &amp; "_" &amp; TEXT(Table4[[#This Row],[Confirmed Sampling Date]], "mm") &amp; "_" &amp; TEXT(Table4[[#This Row],[Confirmed Sampling Date]], "dd")</f>
        <v>2025_12_03</v>
      </c>
      <c r="X535" s="20" t="str">
        <f t="shared" si="8"/>
        <v>RomeAirport</v>
      </c>
      <c r="Y535" s="20" t="str">
        <f>VLOOKUP(Table4[[#This Row],[FromSite-UPS]],Table1[[Company or Name]:[NOTES]],2,FALSE)</f>
        <v>Italy</v>
      </c>
      <c r="Z535" s="20">
        <f>IFERROR(WEEKNUM(Table4[[#This Row],[Confirmed Sampling Date]] - 10, 21), "TBD")</f>
        <v>47</v>
      </c>
      <c r="AA535" s="20" t="str">
        <f>_xlfn.XLOOKUP(Table4[[#This Row],[FromSite-UPS]],sites!D:D,sites!W:W,"",0)</f>
        <v>VIA FRATELLI WRIGHT (DEPURATORE BIOLOGICO), FIUMICINO, 00054, Italy</v>
      </c>
      <c r="AB535" s="20" t="str">
        <f>_xlfn.XLOOKUP(Table4[[#This Row],[ToLab]],labs!D:D,labs!P:P,"no adres",0)</f>
        <v>Av. Rovisco Pais 1, Laboratorio de Analises de Agua, Lisbon, 1049-001, Portugal</v>
      </c>
      <c r="AC535" s="20">
        <f>_xlfn.XLOOKUP(Table4[[#This Row],[combi]],AREA!E:E,AREA!F:F,"",0)</f>
        <v>89</v>
      </c>
      <c r="AD535" s="20" t="str">
        <f>_xlfn.XLOOKUP(Table4[[#This Row],[combi]],AREA!E:E,AREA!G:G,"",0)</f>
        <v>Pick-up service of hypothetic package as defined in the Tech. Specs. and delivery to lots
2 and 3 contractors according to Scenario 1</v>
      </c>
      <c r="AE535" s="20" t="s">
        <v>126</v>
      </c>
      <c r="AF535" s="20" t="str">
        <f>_xlfn.XLOOKUP(Table4[[#This Row],[FromSite-UPS]],sites!D:D,sites!AB:AB,"",0)&amp;_xlfn.XLOOKUP(Table4[[#This Row],[ToLab]],labs!D:D,labs!Q:Q,"",0)</f>
        <v>EUEU</v>
      </c>
    </row>
    <row r="536" spans="2:32" ht="15.6" hidden="1" customHeight="1" x14ac:dyDescent="0.25">
      <c r="B536" s="13">
        <v>205</v>
      </c>
      <c r="C536" s="14" t="s">
        <v>53</v>
      </c>
      <c r="D536" s="13">
        <v>1</v>
      </c>
      <c r="E536" s="79">
        <v>45993</v>
      </c>
      <c r="F536" s="80">
        <v>45994</v>
      </c>
      <c r="G536" s="20">
        <f>IFERROR(WEEKNUM(Table4[[#This Row],[Confirmed Pick-up Date]]),"TBD")</f>
        <v>49</v>
      </c>
      <c r="H536" s="20" t="str">
        <f>IFERROR(TEXT(Table4[[#This Row],[Confirmed Pick-up Date]],"yy-mm"),"TBD")</f>
        <v>25-12</v>
      </c>
      <c r="I536" s="13" t="s">
        <v>877</v>
      </c>
      <c r="J536" s="20" t="str">
        <f>IFERROR(VLOOKUP(Table4[[#This Row],[FromSite-UPS]],Table1[[#All],[Company or Name]:[FromSite3]],15,FALSE),"")</f>
        <v>Prague National Institute</v>
      </c>
      <c r="K536" s="20" t="str">
        <f>IFERROR(VLOOKUP(Table4[[#This Row],[FromSite-UPS]],Table1[[#All],[Company or Name]:[FromSite3]],16,FALSE),"")</f>
        <v>Prague WWTP FLOW 1</v>
      </c>
      <c r="L536" s="39">
        <f>IFERROR(VLOOKUP(Table4[[#This Row],[FromSite-UPS]],Table1[[#All],[Company or Name]:[FromSite3]],14,FALSE),"")</f>
        <v>0</v>
      </c>
      <c r="M536" s="39" t="s">
        <v>1011</v>
      </c>
      <c r="O536" s="13"/>
      <c r="P536" s="13"/>
      <c r="R536" s="20"/>
      <c r="S536" s="20" t="s">
        <v>126</v>
      </c>
      <c r="T536" s="20"/>
      <c r="U536" s="20"/>
      <c r="W536" s="20" t="str">
        <f>TEXT(Table4[[#This Row],[Confirmed Sampling Date]], "yyyy") &amp; "_" &amp; TEXT(Table4[[#This Row],[Confirmed Sampling Date]], "mm") &amp; "_" &amp; TEXT(Table4[[#This Row],[Confirmed Sampling Date]], "dd")</f>
        <v>2025_12_02</v>
      </c>
      <c r="X536" s="20" t="str">
        <f t="shared" si="8"/>
        <v>Prague</v>
      </c>
      <c r="Y536" s="20" t="str">
        <f>VLOOKUP(Table4[[#This Row],[FromSite-UPS]],Table1[[Company or Name]:[NOTES]],2,FALSE)</f>
        <v>Czech Republic</v>
      </c>
      <c r="Z536" s="20">
        <f>IFERROR(WEEKNUM(Table4[[#This Row],[Confirmed Sampling Date]] - 10, 21), "TBD")</f>
        <v>47</v>
      </c>
      <c r="AA536" s="20" t="str">
        <f>_xlfn.XLOOKUP(Table4[[#This Row],[FromSite-UPS]],sites!D:D,sites!W:W,"",0)</f>
        <v>Šrobárova 49/48, Státní zdravotní ústav, Praha, 100 00, Czech Republic</v>
      </c>
      <c r="AB536" s="20" t="str">
        <f>_xlfn.XLOOKUP(Table4[[#This Row],[ToLab]],labs!D:D,labs!P:P,"no adres",0)</f>
        <v>Av. Rovisco Pais 1, Laboratorio de Analises de Agua, Lisbon, 1049-001, Portugal</v>
      </c>
      <c r="AC536" s="20">
        <f>_xlfn.XLOOKUP(Table4[[#This Row],[combi]],AREA!E:E,AREA!F:F,"",0)</f>
        <v>89</v>
      </c>
      <c r="AD536" s="20" t="str">
        <f>_xlfn.XLOOKUP(Table4[[#This Row],[combi]],AREA!E:E,AREA!G:G,"",0)</f>
        <v>Pick-up service of hypothetic package as defined in the Tech. Specs. and delivery to lots
2 and 3 contractors according to Scenario 1</v>
      </c>
      <c r="AE536" s="20" t="s">
        <v>126</v>
      </c>
      <c r="AF536" s="20" t="str">
        <f>_xlfn.XLOOKUP(Table4[[#This Row],[FromSite-UPS]],sites!D:D,sites!AB:AB,"",0)&amp;_xlfn.XLOOKUP(Table4[[#This Row],[ToLab]],labs!D:D,labs!Q:Q,"",0)</f>
        <v>EUEU</v>
      </c>
    </row>
    <row r="537" spans="2:32" ht="15.6" hidden="1" customHeight="1" x14ac:dyDescent="0.25">
      <c r="B537" s="13">
        <v>206</v>
      </c>
      <c r="C537" s="14" t="s">
        <v>53</v>
      </c>
      <c r="D537" s="13">
        <v>1</v>
      </c>
      <c r="E537" s="79">
        <v>45993</v>
      </c>
      <c r="F537" s="80">
        <v>45994</v>
      </c>
      <c r="G537" s="20">
        <f>IFERROR(WEEKNUM(Table4[[#This Row],[Confirmed Pick-up Date]]),"TBD")</f>
        <v>49</v>
      </c>
      <c r="H537" s="20" t="str">
        <f>IFERROR(TEXT(Table4[[#This Row],[Confirmed Pick-up Date]],"yy-mm"),"TBD")</f>
        <v>25-12</v>
      </c>
      <c r="I537" s="13" t="s">
        <v>877</v>
      </c>
      <c r="J537" s="20" t="str">
        <f>IFERROR(VLOOKUP(Table4[[#This Row],[FromSite-UPS]],Table1[[#All],[Company or Name]:[FromSite3]],15,FALSE),"")</f>
        <v>Prague National Institute</v>
      </c>
      <c r="K537" s="20" t="str">
        <f>IFERROR(VLOOKUP(Table4[[#This Row],[FromSite-UPS]],Table1[[#All],[Company or Name]:[FromSite3]],16,FALSE),"")</f>
        <v>Prague WWTP FLOW 1</v>
      </c>
      <c r="L537" s="39">
        <f>IFERROR(VLOOKUP(Table4[[#This Row],[FromSite-UPS]],Table1[[#All],[Company or Name]:[FromSite3]],14,FALSE),"")</f>
        <v>0</v>
      </c>
      <c r="M537" s="39" t="s">
        <v>1011</v>
      </c>
      <c r="O537" s="13"/>
      <c r="P537" s="13"/>
      <c r="R537" s="20"/>
      <c r="S537" s="20" t="s">
        <v>126</v>
      </c>
      <c r="T537" s="20"/>
      <c r="U537" s="20"/>
      <c r="W537" s="20" t="str">
        <f>TEXT(Table4[[#This Row],[Confirmed Sampling Date]], "yyyy") &amp; "_" &amp; TEXT(Table4[[#This Row],[Confirmed Sampling Date]], "mm") &amp; "_" &amp; TEXT(Table4[[#This Row],[Confirmed Sampling Date]], "dd")</f>
        <v>2025_12_02</v>
      </c>
      <c r="X537" s="20" t="str">
        <f t="shared" si="8"/>
        <v>Prague</v>
      </c>
      <c r="Y537" s="20" t="str">
        <f>VLOOKUP(Table4[[#This Row],[FromSite-UPS]],Table1[[Company or Name]:[NOTES]],2,FALSE)</f>
        <v>Czech Republic</v>
      </c>
      <c r="Z537" s="20">
        <f>IFERROR(WEEKNUM(Table4[[#This Row],[Confirmed Sampling Date]] - 10, 21), "TBD")</f>
        <v>47</v>
      </c>
      <c r="AA537" s="20" t="str">
        <f>_xlfn.XLOOKUP(Table4[[#This Row],[FromSite-UPS]],sites!D:D,sites!W:W,"",0)</f>
        <v>Šrobárova 49/48, Státní zdravotní ústav, Praha, 100 00, Czech Republic</v>
      </c>
      <c r="AB537" s="20" t="str">
        <f>_xlfn.XLOOKUP(Table4[[#This Row],[ToLab]],labs!D:D,labs!P:P,"no adres",0)</f>
        <v>Av. Rovisco Pais 1, Laboratorio de Analises de Agua, Lisbon, 1049-001, Portugal</v>
      </c>
      <c r="AC537" s="20">
        <f>_xlfn.XLOOKUP(Table4[[#This Row],[combi]],AREA!E:E,AREA!F:F,"",0)</f>
        <v>89</v>
      </c>
      <c r="AD537" s="20" t="str">
        <f>_xlfn.XLOOKUP(Table4[[#This Row],[combi]],AREA!E:E,AREA!G:G,"",0)</f>
        <v>Pick-up service of hypothetic package as defined in the Tech. Specs. and delivery to lots
2 and 3 contractors according to Scenario 1</v>
      </c>
      <c r="AE537" s="20" t="s">
        <v>126</v>
      </c>
      <c r="AF537" s="20" t="str">
        <f>_xlfn.XLOOKUP(Table4[[#This Row],[FromSite-UPS]],sites!D:D,sites!AB:AB,"",0)&amp;_xlfn.XLOOKUP(Table4[[#This Row],[ToLab]],labs!D:D,labs!Q:Q,"",0)</f>
        <v>EUEU</v>
      </c>
    </row>
    <row r="538" spans="2:32" ht="15.6" hidden="1" customHeight="1" x14ac:dyDescent="0.25">
      <c r="B538" s="13">
        <v>207</v>
      </c>
      <c r="C538" s="14" t="s">
        <v>53</v>
      </c>
      <c r="D538" s="13">
        <v>1</v>
      </c>
      <c r="E538" s="79">
        <v>45993</v>
      </c>
      <c r="F538" s="80">
        <v>45994</v>
      </c>
      <c r="G538" s="20">
        <f>IFERROR(WEEKNUM(Table4[[#This Row],[Confirmed Pick-up Date]]),"TBD")</f>
        <v>49</v>
      </c>
      <c r="H538" s="20" t="str">
        <f>IFERROR(TEXT(Table4[[#This Row],[Confirmed Pick-up Date]],"yy-mm"),"TBD")</f>
        <v>25-12</v>
      </c>
      <c r="I538" s="13" t="s">
        <v>877</v>
      </c>
      <c r="J538" s="20" t="str">
        <f>IFERROR(VLOOKUP(Table4[[#This Row],[FromSite-UPS]],Table1[[#All],[Company or Name]:[FromSite3]],15,FALSE),"")</f>
        <v>Prague National Institute</v>
      </c>
      <c r="K538" s="20" t="str">
        <f>IFERROR(VLOOKUP(Table4[[#This Row],[FromSite-UPS]],Table1[[#All],[Company or Name]:[FromSite3]],16,FALSE),"")</f>
        <v>Prague WWTP FLOW 1</v>
      </c>
      <c r="L538" s="39">
        <f>IFERROR(VLOOKUP(Table4[[#This Row],[FromSite-UPS]],Table1[[#All],[Company or Name]:[FromSite3]],14,FALSE),"")</f>
        <v>0</v>
      </c>
      <c r="M538" s="39" t="s">
        <v>1011</v>
      </c>
      <c r="O538" s="13"/>
      <c r="P538" s="13"/>
      <c r="R538" s="20"/>
      <c r="S538" s="20" t="s">
        <v>126</v>
      </c>
      <c r="T538" s="20"/>
      <c r="U538" s="20"/>
      <c r="W538" s="20" t="str">
        <f>TEXT(Table4[[#This Row],[Confirmed Sampling Date]], "yyyy") &amp; "_" &amp; TEXT(Table4[[#This Row],[Confirmed Sampling Date]], "mm") &amp; "_" &amp; TEXT(Table4[[#This Row],[Confirmed Sampling Date]], "dd")</f>
        <v>2025_12_02</v>
      </c>
      <c r="X538" s="20" t="str">
        <f t="shared" si="8"/>
        <v>Prague</v>
      </c>
      <c r="Y538" s="20" t="str">
        <f>VLOOKUP(Table4[[#This Row],[FromSite-UPS]],Table1[[Company or Name]:[NOTES]],2,FALSE)</f>
        <v>Czech Republic</v>
      </c>
      <c r="Z538" s="20">
        <f>IFERROR(WEEKNUM(Table4[[#This Row],[Confirmed Sampling Date]] - 10, 21), "TBD")</f>
        <v>47</v>
      </c>
      <c r="AA538" s="20" t="str">
        <f>_xlfn.XLOOKUP(Table4[[#This Row],[FromSite-UPS]],sites!D:D,sites!W:W,"",0)</f>
        <v>Šrobárova 49/48, Státní zdravotní ústav, Praha, 100 00, Czech Republic</v>
      </c>
      <c r="AB538" s="20" t="str">
        <f>_xlfn.XLOOKUP(Table4[[#This Row],[ToLab]],labs!D:D,labs!P:P,"no adres",0)</f>
        <v>Av. Rovisco Pais 1, Laboratorio de Analises de Agua, Lisbon, 1049-001, Portugal</v>
      </c>
      <c r="AC538" s="20">
        <f>_xlfn.XLOOKUP(Table4[[#This Row],[combi]],AREA!E:E,AREA!F:F,"",0)</f>
        <v>89</v>
      </c>
      <c r="AD538" s="20" t="str">
        <f>_xlfn.XLOOKUP(Table4[[#This Row],[combi]],AREA!E:E,AREA!G:G,"",0)</f>
        <v>Pick-up service of hypothetic package as defined in the Tech. Specs. and delivery to lots
2 and 3 contractors according to Scenario 1</v>
      </c>
      <c r="AE538" s="20" t="s">
        <v>126</v>
      </c>
      <c r="AF538" s="20" t="str">
        <f>_xlfn.XLOOKUP(Table4[[#This Row],[FromSite-UPS]],sites!D:D,sites!AB:AB,"",0)&amp;_xlfn.XLOOKUP(Table4[[#This Row],[ToLab]],labs!D:D,labs!Q:Q,"",0)</f>
        <v>EUEU</v>
      </c>
    </row>
    <row r="539" spans="2:32" ht="15.6" hidden="1" customHeight="1" x14ac:dyDescent="0.25">
      <c r="B539" s="13">
        <v>208</v>
      </c>
      <c r="C539" s="14" t="s">
        <v>53</v>
      </c>
      <c r="D539" s="13">
        <v>1</v>
      </c>
      <c r="E539" s="79">
        <v>45993</v>
      </c>
      <c r="F539" s="80">
        <v>45994</v>
      </c>
      <c r="G539" s="20">
        <f>IFERROR(WEEKNUM(Table4[[#This Row],[Confirmed Pick-up Date]]),"TBD")</f>
        <v>49</v>
      </c>
      <c r="H539" s="20" t="str">
        <f>IFERROR(TEXT(Table4[[#This Row],[Confirmed Pick-up Date]],"yy-mm"),"TBD")</f>
        <v>25-12</v>
      </c>
      <c r="I539" s="13" t="s">
        <v>877</v>
      </c>
      <c r="J539" s="20" t="str">
        <f>IFERROR(VLOOKUP(Table4[[#This Row],[FromSite-UPS]],Table1[[#All],[Company or Name]:[FromSite3]],15,FALSE),"")</f>
        <v>Prague National Institute</v>
      </c>
      <c r="K539" s="20" t="str">
        <f>IFERROR(VLOOKUP(Table4[[#This Row],[FromSite-UPS]],Table1[[#All],[Company or Name]:[FromSite3]],16,FALSE),"")</f>
        <v>Prague WWTP FLOW 1</v>
      </c>
      <c r="L539" s="39">
        <f>IFERROR(VLOOKUP(Table4[[#This Row],[FromSite-UPS]],Table1[[#All],[Company or Name]:[FromSite3]],14,FALSE),"")</f>
        <v>0</v>
      </c>
      <c r="M539" s="39" t="s">
        <v>1011</v>
      </c>
      <c r="O539" s="13"/>
      <c r="P539" s="13"/>
      <c r="R539" s="20"/>
      <c r="S539" s="20" t="s">
        <v>126</v>
      </c>
      <c r="T539" s="20"/>
      <c r="U539" s="20"/>
      <c r="W539" s="20" t="str">
        <f>TEXT(Table4[[#This Row],[Confirmed Sampling Date]], "yyyy") &amp; "_" &amp; TEXT(Table4[[#This Row],[Confirmed Sampling Date]], "mm") &amp; "_" &amp; TEXT(Table4[[#This Row],[Confirmed Sampling Date]], "dd")</f>
        <v>2025_12_02</v>
      </c>
      <c r="X539" s="20" t="str">
        <f t="shared" si="8"/>
        <v>Prague</v>
      </c>
      <c r="Y539" s="20" t="str">
        <f>VLOOKUP(Table4[[#This Row],[FromSite-UPS]],Table1[[Company or Name]:[NOTES]],2,FALSE)</f>
        <v>Czech Republic</v>
      </c>
      <c r="Z539" s="20">
        <f>IFERROR(WEEKNUM(Table4[[#This Row],[Confirmed Sampling Date]] - 10, 21), "TBD")</f>
        <v>47</v>
      </c>
      <c r="AA539" s="20" t="str">
        <f>_xlfn.XLOOKUP(Table4[[#This Row],[FromSite-UPS]],sites!D:D,sites!W:W,"",0)</f>
        <v>Šrobárova 49/48, Státní zdravotní ústav, Praha, 100 00, Czech Republic</v>
      </c>
      <c r="AB539" s="20" t="str">
        <f>_xlfn.XLOOKUP(Table4[[#This Row],[ToLab]],labs!D:D,labs!P:P,"no adres",0)</f>
        <v>Av. Rovisco Pais 1, Laboratorio de Analises de Agua, Lisbon, 1049-001, Portugal</v>
      </c>
      <c r="AC539" s="20">
        <f>_xlfn.XLOOKUP(Table4[[#This Row],[combi]],AREA!E:E,AREA!F:F,"",0)</f>
        <v>89</v>
      </c>
      <c r="AD539" s="20" t="str">
        <f>_xlfn.XLOOKUP(Table4[[#This Row],[combi]],AREA!E:E,AREA!G:G,"",0)</f>
        <v>Pick-up service of hypothetic package as defined in the Tech. Specs. and delivery to lots
2 and 3 contractors according to Scenario 1</v>
      </c>
      <c r="AE539" s="20" t="s">
        <v>126</v>
      </c>
      <c r="AF539" s="20" t="str">
        <f>_xlfn.XLOOKUP(Table4[[#This Row],[FromSite-UPS]],sites!D:D,sites!AB:AB,"",0)&amp;_xlfn.XLOOKUP(Table4[[#This Row],[ToLab]],labs!D:D,labs!Q:Q,"",0)</f>
        <v>EUEU</v>
      </c>
    </row>
    <row r="540" spans="2:32" ht="15.6" hidden="1" customHeight="1" x14ac:dyDescent="0.25">
      <c r="B540" s="13">
        <v>224</v>
      </c>
      <c r="C540" s="14" t="s">
        <v>53</v>
      </c>
      <c r="D540" s="13">
        <v>1</v>
      </c>
      <c r="E540" s="79">
        <v>45993</v>
      </c>
      <c r="F540" s="80">
        <v>45994</v>
      </c>
      <c r="G540" s="20">
        <f>IFERROR(WEEKNUM(Table4[[#This Row],[Confirmed Pick-up Date]]),"TBD")</f>
        <v>49</v>
      </c>
      <c r="H540" s="20" t="str">
        <f>IFERROR(TEXT(Table4[[#This Row],[Confirmed Pick-up Date]],"yy-mm"),"TBD")</f>
        <v>25-12</v>
      </c>
      <c r="I540" s="13" t="s">
        <v>779</v>
      </c>
      <c r="J540" s="20" t="str">
        <f>IFERROR(VLOOKUP(Table4[[#This Row],[FromSite-UPS]],Table1[[#All],[Company or Name]:[FromSite3]],15,FALSE),"")</f>
        <v>Larnaca WWTP</v>
      </c>
      <c r="K540" s="20" t="str">
        <f>IFERROR(VLOOKUP(Table4[[#This Row],[FromSite-UPS]],Table1[[#All],[Company or Name]:[FromSite3]],16,FALSE),"")</f>
        <v>Larnaca Airport</v>
      </c>
      <c r="L540" s="20">
        <f>IFERROR(VLOOKUP(Table4[[#This Row],[FromSite-UPS]],Table1[[#All],[Company or Name]:[FromSite3]],14,FALSE),"")</f>
        <v>0.54166666666666663</v>
      </c>
      <c r="M540" s="13" t="s">
        <v>1011</v>
      </c>
      <c r="N540" s="20"/>
      <c r="O540" s="13"/>
      <c r="P540" s="13"/>
      <c r="Q540" s="20"/>
      <c r="R540" s="20"/>
      <c r="S540" s="20" t="s">
        <v>126</v>
      </c>
      <c r="T540" s="20"/>
      <c r="U540" s="20"/>
      <c r="V540" s="20"/>
      <c r="W540" s="20" t="str">
        <f>TEXT(Table4[[#This Row],[Confirmed Sampling Date]], "yyyy") &amp; "_" &amp; TEXT(Table4[[#This Row],[Confirmed Sampling Date]], "mm") &amp; "_" &amp; TEXT(Table4[[#This Row],[Confirmed Sampling Date]], "dd")</f>
        <v>2025_12_02</v>
      </c>
      <c r="X540" s="20" t="str">
        <f t="shared" si="8"/>
        <v>Larnaca</v>
      </c>
      <c r="Y540" s="20" t="str">
        <f>VLOOKUP(Table4[[#This Row],[FromSite-UPS]],Table1[[Company or Name]:[NOTES]],2,FALSE)</f>
        <v>Cyprus</v>
      </c>
      <c r="Z540" s="20">
        <f>IFERROR(WEEKNUM(Table4[[#This Row],[Confirmed Sampling Date]] - 10, 21), "TBD")</f>
        <v>47</v>
      </c>
      <c r="AA540" s="20" t="str">
        <f>_xlfn.XLOOKUP(Table4[[#This Row],[FromSite-UPS]],sites!D:D,sites!W:W,"",0)</f>
        <v>Adamantiou Korai street 12, Larnaca District Local Government Organization offices, Larnaca, 6010, Cyprus</v>
      </c>
      <c r="AB540" s="20" t="str">
        <f>_xlfn.XLOOKUP(Table4[[#This Row],[ToLab]],labs!D:D,labs!P:P,"no adres",0)</f>
        <v>Av. Rovisco Pais 1, Laboratorio de Analises de Agua, Lisbon, 1049-001, Portugal</v>
      </c>
      <c r="AC540" s="20">
        <f>_xlfn.XLOOKUP(Table4[[#This Row],[combi]],AREA!E:E,AREA!F:F,"",0)</f>
        <v>89</v>
      </c>
      <c r="AD540" s="20" t="str">
        <f>_xlfn.XLOOKUP(Table4[[#This Row],[combi]],AREA!E:E,AREA!G:G,"",0)</f>
        <v>Pick-up service of hypothetic package as defined in the Tech. Specs. and delivery to lots
2 and 3 contractors according to Scenario 1</v>
      </c>
      <c r="AE540" s="20" t="s">
        <v>126</v>
      </c>
      <c r="AF540" s="20" t="str">
        <f>_xlfn.XLOOKUP(Table4[[#This Row],[FromSite-UPS]],sites!D:D,sites!AB:AB,"",0)&amp;_xlfn.XLOOKUP(Table4[[#This Row],[ToLab]],labs!D:D,labs!Q:Q,"",0)</f>
        <v>EUEU</v>
      </c>
    </row>
    <row r="541" spans="2:32" ht="15.6" hidden="1" customHeight="1" x14ac:dyDescent="0.25">
      <c r="B541" s="13">
        <v>237</v>
      </c>
      <c r="C541" s="14" t="s">
        <v>53</v>
      </c>
      <c r="D541" s="13">
        <v>1</v>
      </c>
      <c r="E541" s="79">
        <v>45993</v>
      </c>
      <c r="F541" s="80">
        <v>45994</v>
      </c>
      <c r="G541" s="20">
        <f>IFERROR(WEEKNUM(Table4[[#This Row],[Confirmed Pick-up Date]]),"TBD")</f>
        <v>49</v>
      </c>
      <c r="H541" s="20" t="str">
        <f>IFERROR(TEXT(Table4[[#This Row],[Confirmed Pick-up Date]],"yy-mm"),"TBD")</f>
        <v>25-12</v>
      </c>
      <c r="I541" s="13" t="s">
        <v>779</v>
      </c>
      <c r="J541" s="20" t="str">
        <f>IFERROR(VLOOKUP(Table4[[#This Row],[FromSite-UPS]],Table1[[#All],[Company or Name]:[FromSite3]],15,FALSE),"")</f>
        <v>Larnaca WWTP</v>
      </c>
      <c r="K541" s="20" t="str">
        <f>IFERROR(VLOOKUP(Table4[[#This Row],[FromSite-UPS]],Table1[[#All],[Company or Name]:[FromSite3]],16,FALSE),"")</f>
        <v>Larnaca Airport</v>
      </c>
      <c r="L541" s="20">
        <f>IFERROR(VLOOKUP(Table4[[#This Row],[FromSite-UPS]],Table1[[#All],[Company or Name]:[FromSite3]],14,FALSE),"")</f>
        <v>0.54166666666666663</v>
      </c>
      <c r="M541" s="13" t="s">
        <v>1011</v>
      </c>
      <c r="N541" s="20"/>
      <c r="O541" s="20"/>
      <c r="P541" s="20"/>
      <c r="Q541" s="20"/>
      <c r="R541" s="20"/>
      <c r="S541" s="20" t="s">
        <v>126</v>
      </c>
      <c r="T541" s="20"/>
      <c r="U541" s="20"/>
      <c r="V541" s="20"/>
      <c r="W541" s="20" t="str">
        <f>TEXT(Table4[[#This Row],[Confirmed Sampling Date]], "yyyy") &amp; "_" &amp; TEXT(Table4[[#This Row],[Confirmed Sampling Date]], "mm") &amp; "_" &amp; TEXT(Table4[[#This Row],[Confirmed Sampling Date]], "dd")</f>
        <v>2025_12_02</v>
      </c>
      <c r="X541" s="20" t="str">
        <f t="shared" si="8"/>
        <v>Larnaca</v>
      </c>
      <c r="Y541" s="20" t="str">
        <f>VLOOKUP(Table4[[#This Row],[FromSite-UPS]],Table1[[Company or Name]:[NOTES]],2,FALSE)</f>
        <v>Cyprus</v>
      </c>
      <c r="Z541" s="20">
        <f>IFERROR(WEEKNUM(Table4[[#This Row],[Confirmed Sampling Date]] - 10, 21), "TBD")</f>
        <v>47</v>
      </c>
      <c r="AA541" s="20" t="str">
        <f>_xlfn.XLOOKUP(Table4[[#This Row],[FromSite-UPS]],sites!D:D,sites!W:W,"",0)</f>
        <v>Adamantiou Korai street 12, Larnaca District Local Government Organization offices, Larnaca, 6010, Cyprus</v>
      </c>
      <c r="AB541" s="20" t="str">
        <f>_xlfn.XLOOKUP(Table4[[#This Row],[ToLab]],labs!D:D,labs!P:P,"no adres",0)</f>
        <v>Av. Rovisco Pais 1, Laboratorio de Analises de Agua, Lisbon, 1049-001, Portugal</v>
      </c>
      <c r="AC541" s="20">
        <f>_xlfn.XLOOKUP(Table4[[#This Row],[combi]],AREA!E:E,AREA!F:F,"",0)</f>
        <v>89</v>
      </c>
      <c r="AD541" s="20" t="str">
        <f>_xlfn.XLOOKUP(Table4[[#This Row],[combi]],AREA!E:E,AREA!G:G,"",0)</f>
        <v>Pick-up service of hypothetic package as defined in the Tech. Specs. and delivery to lots
2 and 3 contractors according to Scenario 1</v>
      </c>
      <c r="AE541" s="20" t="s">
        <v>126</v>
      </c>
      <c r="AF541" s="20" t="str">
        <f>_xlfn.XLOOKUP(Table4[[#This Row],[FromSite-UPS]],sites!D:D,sites!AB:AB,"",0)&amp;_xlfn.XLOOKUP(Table4[[#This Row],[ToLab]],labs!D:D,labs!Q:Q,"",0)</f>
        <v>EUEU</v>
      </c>
    </row>
    <row r="542" spans="2:32" ht="15.6" hidden="1" customHeight="1" x14ac:dyDescent="0.25">
      <c r="B542" s="13">
        <v>278</v>
      </c>
      <c r="C542" s="14" t="s">
        <v>53</v>
      </c>
      <c r="D542" s="13">
        <v>1</v>
      </c>
      <c r="E542" s="79">
        <v>45993</v>
      </c>
      <c r="F542" s="80">
        <v>45994</v>
      </c>
      <c r="G542" s="20">
        <f>IFERROR(WEEKNUM(Table4[[#This Row],[Confirmed Pick-up Date]]),"TBD")</f>
        <v>49</v>
      </c>
      <c r="H542" s="20" t="str">
        <f>IFERROR(TEXT(Table4[[#This Row],[Confirmed Pick-up Date]],"yy-mm"),"TBD")</f>
        <v>25-12</v>
      </c>
      <c r="I542" s="13" t="s">
        <v>975</v>
      </c>
      <c r="J542" s="20" t="str">
        <f>IFERROR(VLOOKUP(Table4[[#This Row],[FromSite-UPS]],Table1[[#All],[Company or Name]:[FromSite3]],15,FALSE),"")</f>
        <v>Vilnius WWTP</v>
      </c>
      <c r="K542" s="20" t="str">
        <f>IFERROR(VLOOKUP(Table4[[#This Row],[FromSite-UPS]],Table1[[#All],[Company or Name]:[FromSite3]],16,FALSE),"")</f>
        <v>Vilnius Bus Terminal</v>
      </c>
      <c r="L542" s="20">
        <f>IFERROR(VLOOKUP(Table4[[#This Row],[FromSite-UPS]],Table1[[#All],[Company or Name]:[FromSite3]],14,FALSE),"")</f>
        <v>0.58333333333333337</v>
      </c>
      <c r="M542" s="13" t="s">
        <v>1011</v>
      </c>
      <c r="N542" s="20"/>
      <c r="O542" s="20"/>
      <c r="P542" s="20"/>
      <c r="Q542" s="20"/>
      <c r="R542" s="20"/>
      <c r="S542" s="20" t="s">
        <v>126</v>
      </c>
      <c r="T542" s="20"/>
      <c r="U542" s="20"/>
      <c r="V542" s="20"/>
      <c r="W542" s="20" t="str">
        <f>TEXT(Table4[[#This Row],[Confirmed Sampling Date]], "yyyy") &amp; "_" &amp; TEXT(Table4[[#This Row],[Confirmed Sampling Date]], "mm") &amp; "_" &amp; TEXT(Table4[[#This Row],[Confirmed Sampling Date]], "dd")</f>
        <v>2025_12_02</v>
      </c>
      <c r="X542" s="20" t="str">
        <f t="shared" si="8"/>
        <v>Vilnius</v>
      </c>
      <c r="Y542" s="20" t="str">
        <f>VLOOKUP(Table4[[#This Row],[FromSite-UPS]],Table1[[Company or Name]:[NOTES]],2,FALSE)</f>
        <v>Lithuania</v>
      </c>
      <c r="Z542" s="20">
        <f>IFERROR(WEEKNUM(Table4[[#This Row],[Confirmed Sampling Date]] - 10, 21), "TBD")</f>
        <v>47</v>
      </c>
      <c r="AA542" s="20" t="str">
        <f>_xlfn.XLOOKUP(Table4[[#This Row],[FromSite-UPS]],sites!D:D,sites!W:W,"",0)</f>
        <v>Zolyno 36 gatve, Vilnius, 10210, Lithuania</v>
      </c>
      <c r="AB542" s="20" t="str">
        <f>_xlfn.XLOOKUP(Table4[[#This Row],[ToLab]],labs!D:D,labs!P:P,"no adres",0)</f>
        <v>Av. Rovisco Pais 1, Laboratorio de Analises de Agua, Lisbon, 1049-001, Portugal</v>
      </c>
      <c r="AC542" s="20">
        <f>_xlfn.XLOOKUP(Table4[[#This Row],[combi]],AREA!E:E,AREA!F:F,"",0)</f>
        <v>89</v>
      </c>
      <c r="AD542" s="20" t="str">
        <f>_xlfn.XLOOKUP(Table4[[#This Row],[combi]],AREA!E:E,AREA!G:G,"",0)</f>
        <v>Pick-up service of hypothetic package as defined in the Tech. Specs. and delivery to lots
2 and 3 contractors according to Scenario 1</v>
      </c>
      <c r="AE542" s="20" t="s">
        <v>126</v>
      </c>
      <c r="AF542" s="20" t="str">
        <f>_xlfn.XLOOKUP(Table4[[#This Row],[FromSite-UPS]],sites!D:D,sites!AB:AB,"",0)&amp;_xlfn.XLOOKUP(Table4[[#This Row],[ToLab]],labs!D:D,labs!Q:Q,"",0)</f>
        <v>EUEU</v>
      </c>
    </row>
    <row r="543" spans="2:32" ht="15.6" hidden="1" customHeight="1" x14ac:dyDescent="0.25">
      <c r="B543" s="13">
        <v>289</v>
      </c>
      <c r="C543" s="14" t="s">
        <v>53</v>
      </c>
      <c r="D543" s="13">
        <v>1</v>
      </c>
      <c r="E543" s="79">
        <v>45993</v>
      </c>
      <c r="F543" s="80">
        <v>45994</v>
      </c>
      <c r="G543" s="20">
        <f>IFERROR(WEEKNUM(Table4[[#This Row],[Confirmed Pick-up Date]]),"TBD")</f>
        <v>49</v>
      </c>
      <c r="H543" s="20" t="str">
        <f>IFERROR(TEXT(Table4[[#This Row],[Confirmed Pick-up Date]],"yy-mm"),"TBD")</f>
        <v>25-12</v>
      </c>
      <c r="I543" s="13" t="s">
        <v>975</v>
      </c>
      <c r="J543" s="20" t="str">
        <f>IFERROR(VLOOKUP(Table4[[#This Row],[FromSite-UPS]],Table1[[#All],[Company or Name]:[FromSite3]],15,FALSE),"")</f>
        <v>Vilnius WWTP</v>
      </c>
      <c r="K543" s="20" t="str">
        <f>IFERROR(VLOOKUP(Table4[[#This Row],[FromSite-UPS]],Table1[[#All],[Company or Name]:[FromSite3]],16,FALSE),"")</f>
        <v>Vilnius Bus Terminal</v>
      </c>
      <c r="L543" s="20">
        <f>IFERROR(VLOOKUP(Table4[[#This Row],[FromSite-UPS]],Table1[[#All],[Company or Name]:[FromSite3]],14,FALSE),"")</f>
        <v>0.58333333333333337</v>
      </c>
      <c r="M543" s="13" t="s">
        <v>1011</v>
      </c>
      <c r="N543" s="20"/>
      <c r="O543" s="20"/>
      <c r="P543" s="20"/>
      <c r="Q543" s="20"/>
      <c r="R543" s="20"/>
      <c r="S543" s="20" t="s">
        <v>126</v>
      </c>
      <c r="T543" s="20"/>
      <c r="U543" s="20"/>
      <c r="V543" s="20"/>
      <c r="W543" s="20" t="str">
        <f>TEXT(Table4[[#This Row],[Confirmed Sampling Date]], "yyyy") &amp; "_" &amp; TEXT(Table4[[#This Row],[Confirmed Sampling Date]], "mm") &amp; "_" &amp; TEXT(Table4[[#This Row],[Confirmed Sampling Date]], "dd")</f>
        <v>2025_12_02</v>
      </c>
      <c r="X543" s="20" t="str">
        <f t="shared" si="8"/>
        <v>Vilnius</v>
      </c>
      <c r="Y543" s="20" t="str">
        <f>VLOOKUP(Table4[[#This Row],[FromSite-UPS]],Table1[[Company or Name]:[NOTES]],2,FALSE)</f>
        <v>Lithuania</v>
      </c>
      <c r="Z543" s="20">
        <f>IFERROR(WEEKNUM(Table4[[#This Row],[Confirmed Sampling Date]] - 10, 21), "TBD")</f>
        <v>47</v>
      </c>
      <c r="AA543" s="20" t="str">
        <f>_xlfn.XLOOKUP(Table4[[#This Row],[FromSite-UPS]],sites!D:D,sites!W:W,"",0)</f>
        <v>Zolyno 36 gatve, Vilnius, 10210, Lithuania</v>
      </c>
      <c r="AB543" s="20" t="str">
        <f>_xlfn.XLOOKUP(Table4[[#This Row],[ToLab]],labs!D:D,labs!P:P,"no adres",0)</f>
        <v>Av. Rovisco Pais 1, Laboratorio de Analises de Agua, Lisbon, 1049-001, Portugal</v>
      </c>
      <c r="AC543" s="20">
        <f>_xlfn.XLOOKUP(Table4[[#This Row],[combi]],AREA!E:E,AREA!F:F,"",0)</f>
        <v>89</v>
      </c>
      <c r="AD543" s="20" t="str">
        <f>_xlfn.XLOOKUP(Table4[[#This Row],[combi]],AREA!E:E,AREA!G:G,"",0)</f>
        <v>Pick-up service of hypothetic package as defined in the Tech. Specs. and delivery to lots
2 and 3 contractors according to Scenario 1</v>
      </c>
      <c r="AE543" s="20" t="s">
        <v>126</v>
      </c>
      <c r="AF543" s="20" t="str">
        <f>_xlfn.XLOOKUP(Table4[[#This Row],[FromSite-UPS]],sites!D:D,sites!AB:AB,"",0)&amp;_xlfn.XLOOKUP(Table4[[#This Row],[ToLab]],labs!D:D,labs!Q:Q,"",0)</f>
        <v>EUEU</v>
      </c>
    </row>
    <row r="544" spans="2:32" ht="15.6" hidden="1" customHeight="1" x14ac:dyDescent="0.25">
      <c r="B544" s="13">
        <v>536</v>
      </c>
      <c r="C544" s="14" t="s">
        <v>53</v>
      </c>
      <c r="D544" s="13">
        <v>1</v>
      </c>
      <c r="E544" s="83">
        <v>45992</v>
      </c>
      <c r="F544" s="83">
        <v>45994</v>
      </c>
      <c r="G544" s="20">
        <f>IFERROR(WEEKNUM(Table4[[#This Row],[Confirmed Pick-up Date]]),"TBD")</f>
        <v>49</v>
      </c>
      <c r="H544" s="20" t="str">
        <f>IFERROR(TEXT(Table4[[#This Row],[Confirmed Pick-up Date]],"yy-mm"),"TBD")</f>
        <v>25-12</v>
      </c>
      <c r="I544" s="78" t="s">
        <v>1187</v>
      </c>
      <c r="J544" s="20" t="str">
        <f>IFERROR(VLOOKUP(Table4[[#This Row],[FromSite-UPS]],Table1[[#All],[Company or Name]:[FromSite3]],15,FALSE),"")</f>
        <v>Aachen WWTP</v>
      </c>
      <c r="K544" s="20" t="str">
        <f>IFERROR(VLOOKUP(Table4[[#This Row],[FromSite-UPS]],Table1[[#All],[Company or Name]:[FromSite3]],16,FALSE),"")</f>
        <v>Aachen Hospital</v>
      </c>
      <c r="L544" s="20">
        <f>IFERROR(VLOOKUP(Table4[[#This Row],[FromSite-UPS]],Table1[[#All],[Company or Name]:[FromSite3]],14,FALSE),"")</f>
        <v>0.66666666666666663</v>
      </c>
      <c r="M544" s="13" t="s">
        <v>1011</v>
      </c>
      <c r="N544" s="20"/>
      <c r="O544" s="20"/>
      <c r="P544" s="20"/>
      <c r="Q544" s="20"/>
      <c r="R544" s="20"/>
      <c r="S544" s="20" t="s">
        <v>126</v>
      </c>
      <c r="T544" s="20"/>
      <c r="U544" s="20"/>
      <c r="V544" s="20"/>
      <c r="W544" s="20" t="str">
        <f>TEXT(Table4[[#This Row],[Confirmed Sampling Date]], "yyyy") &amp; "_" &amp; TEXT(Table4[[#This Row],[Confirmed Sampling Date]], "mm") &amp; "_" &amp; TEXT(Table4[[#This Row],[Confirmed Sampling Date]], "dd")</f>
        <v>2025_12_01</v>
      </c>
      <c r="X544" s="20" t="str">
        <f t="shared" si="8"/>
        <v>Aachen</v>
      </c>
      <c r="Y544" s="20" t="str">
        <f>VLOOKUP(Table4[[#This Row],[FromSite-UPS]],Table1[[Company or Name]:[NOTES]],2,FALSE)</f>
        <v>Germany</v>
      </c>
      <c r="Z544" s="20">
        <f>IFERROR(WEEKNUM(Table4[[#This Row],[Confirmed Sampling Date]] - 10, 21), "TBD")</f>
        <v>47</v>
      </c>
      <c r="AA544" s="20" t="str">
        <f>_xlfn.XLOOKUP(Table4[[#This Row],[FromSite-UPS]],sites!D:D,sites!W:W,"",0)</f>
        <v>Krefelder Str. 299, Aachen, 52070, Germany</v>
      </c>
      <c r="AB544" s="20" t="str">
        <f>_xlfn.XLOOKUP(Table4[[#This Row],[ToLab]],labs!D:D,labs!P:P,"no adres",0)</f>
        <v>Av. Rovisco Pais 1, Laboratorio de Analises de Agua, Lisbon, 1049-001, Portugal</v>
      </c>
      <c r="AC544" s="20">
        <f>_xlfn.XLOOKUP(Table4[[#This Row],[combi]],AREA!E:E,AREA!F:F,"",0)</f>
        <v>89</v>
      </c>
      <c r="AD544" s="20" t="str">
        <f>_xlfn.XLOOKUP(Table4[[#This Row],[combi]],AREA!E:E,AREA!G:G,"",0)</f>
        <v>Pick-up service of hypothetic package as defined in the Tech. Specs. and delivery to lots
2 and 3 contractors according to Scenario 1</v>
      </c>
      <c r="AE544" s="20" t="s">
        <v>126</v>
      </c>
      <c r="AF544" s="20" t="str">
        <f>_xlfn.XLOOKUP(Table4[[#This Row],[FromSite-UPS]],sites!D:D,sites!AB:AB,"",0)&amp;_xlfn.XLOOKUP(Table4[[#This Row],[ToLab]],labs!D:D,labs!Q:Q,"",0)</f>
        <v>EUEU</v>
      </c>
    </row>
    <row r="545" spans="2:32" ht="15.6" hidden="1" customHeight="1" x14ac:dyDescent="0.25">
      <c r="B545" s="13">
        <v>601</v>
      </c>
      <c r="C545" s="14" t="s">
        <v>53</v>
      </c>
      <c r="D545" s="13">
        <v>1</v>
      </c>
      <c r="E545" s="83">
        <v>45992</v>
      </c>
      <c r="F545" s="83">
        <v>45994</v>
      </c>
      <c r="G545" s="20">
        <f>IFERROR(WEEKNUM(Table4[[#This Row],[Confirmed Pick-up Date]]),"TBD")</f>
        <v>49</v>
      </c>
      <c r="H545" s="20" t="str">
        <f>IFERROR(TEXT(Table4[[#This Row],[Confirmed Pick-up Date]],"yy-mm"),"TBD")</f>
        <v>25-12</v>
      </c>
      <c r="I545" s="78" t="s">
        <v>1187</v>
      </c>
      <c r="J545" s="20" t="str">
        <f>IFERROR(VLOOKUP(Table4[[#This Row],[FromSite-UPS]],Table1[[#All],[Company or Name]:[FromSite3]],15,FALSE),"")</f>
        <v>Aachen WWTP</v>
      </c>
      <c r="K545" s="20" t="str">
        <f>IFERROR(VLOOKUP(Table4[[#This Row],[FromSite-UPS]],Table1[[#All],[Company or Name]:[FromSite3]],16,FALSE),"")</f>
        <v>Aachen Hospital</v>
      </c>
      <c r="L545" s="20">
        <f>IFERROR(VLOOKUP(Table4[[#This Row],[FromSite-UPS]],Table1[[#All],[Company or Name]:[FromSite3]],14,FALSE),"")</f>
        <v>0.66666666666666663</v>
      </c>
      <c r="M545" s="13" t="s">
        <v>1011</v>
      </c>
      <c r="N545" s="20"/>
      <c r="O545" s="20"/>
      <c r="P545" s="20"/>
      <c r="Q545" s="20"/>
      <c r="R545" s="20"/>
      <c r="S545" s="20" t="s">
        <v>126</v>
      </c>
      <c r="T545" s="20"/>
      <c r="U545" s="20"/>
      <c r="V545" s="20"/>
      <c r="W545" s="20" t="str">
        <f>TEXT(Table4[[#This Row],[Confirmed Sampling Date]], "yyyy") &amp; "_" &amp; TEXT(Table4[[#This Row],[Confirmed Sampling Date]], "mm") &amp; "_" &amp; TEXT(Table4[[#This Row],[Confirmed Sampling Date]], "dd")</f>
        <v>2025_12_01</v>
      </c>
      <c r="X545" s="20" t="str">
        <f t="shared" si="8"/>
        <v>Aachen</v>
      </c>
      <c r="Y545" s="20" t="str">
        <f>VLOOKUP(Table4[[#This Row],[FromSite-UPS]],Table1[[Company or Name]:[NOTES]],2,FALSE)</f>
        <v>Germany</v>
      </c>
      <c r="Z545" s="20">
        <f>IFERROR(WEEKNUM(Table4[[#This Row],[Confirmed Sampling Date]] - 10, 21), "TBD")</f>
        <v>47</v>
      </c>
      <c r="AA545" s="20" t="str">
        <f>_xlfn.XLOOKUP(Table4[[#This Row],[FromSite-UPS]],sites!D:D,sites!W:W,"",0)</f>
        <v>Krefelder Str. 299, Aachen, 52070, Germany</v>
      </c>
      <c r="AB545" s="20" t="str">
        <f>_xlfn.XLOOKUP(Table4[[#This Row],[ToLab]],labs!D:D,labs!P:P,"no adres",0)</f>
        <v>Av. Rovisco Pais 1, Laboratorio de Analises de Agua, Lisbon, 1049-001, Portugal</v>
      </c>
      <c r="AC545" s="20">
        <f>_xlfn.XLOOKUP(Table4[[#This Row],[combi]],AREA!E:E,AREA!F:F,"",0)</f>
        <v>89</v>
      </c>
      <c r="AD545" s="20" t="str">
        <f>_xlfn.XLOOKUP(Table4[[#This Row],[combi]],AREA!E:E,AREA!G:G,"",0)</f>
        <v>Pick-up service of hypothetic package as defined in the Tech. Specs. and delivery to lots
2 and 3 contractors according to Scenario 1</v>
      </c>
      <c r="AE545" s="20" t="s">
        <v>126</v>
      </c>
      <c r="AF545" s="20" t="str">
        <f>_xlfn.XLOOKUP(Table4[[#This Row],[FromSite-UPS]],sites!D:D,sites!AB:AB,"",0)&amp;_xlfn.XLOOKUP(Table4[[#This Row],[ToLab]],labs!D:D,labs!Q:Q,"",0)</f>
        <v>EUEU</v>
      </c>
    </row>
    <row r="546" spans="2:32" ht="15.6" hidden="1" customHeight="1" x14ac:dyDescent="0.25">
      <c r="B546" s="13">
        <v>639</v>
      </c>
      <c r="C546" s="14" t="s">
        <v>53</v>
      </c>
      <c r="D546" s="13">
        <v>1</v>
      </c>
      <c r="E546" s="34">
        <v>45992</v>
      </c>
      <c r="F546" s="83">
        <v>45994</v>
      </c>
      <c r="G546" s="20">
        <f>IFERROR(WEEKNUM(Table4[[#This Row],[Confirmed Pick-up Date]]),"TBD")</f>
        <v>49</v>
      </c>
      <c r="H546" s="20" t="str">
        <f>IFERROR(TEXT(Table4[[#This Row],[Confirmed Pick-up Date]],"yy-mm"),"TBD")</f>
        <v>25-12</v>
      </c>
      <c r="I546" s="13" t="s">
        <v>1802</v>
      </c>
      <c r="J546" s="20" t="str">
        <f>IFERROR(VLOOKUP(Table4[[#This Row],[FromSite-UPS]],Table1[[#All],[Company or Name]:[FromSite3]],15,FALSE),"")</f>
        <v>Wien WWTP</v>
      </c>
      <c r="K546" s="20" t="str">
        <f>IFERROR(VLOOKUP(Table4[[#This Row],[FromSite-UPS]],Table1[[#All],[Company or Name]:[FromSite3]],16,FALSE),"")</f>
        <v>-</v>
      </c>
      <c r="L546" s="20">
        <f>IFERROR(VLOOKUP(Table4[[#This Row],[FromSite-UPS]],Table1[[#All],[Company or Name]:[FromSite3]],14,FALSE),"")</f>
        <v>0.5</v>
      </c>
      <c r="M546" s="13" t="s">
        <v>1011</v>
      </c>
      <c r="N546" s="20"/>
      <c r="O546" s="20"/>
      <c r="P546" s="20"/>
      <c r="Q546" s="20"/>
      <c r="R546" s="20"/>
      <c r="S546" s="20" t="s">
        <v>126</v>
      </c>
      <c r="T546" s="20"/>
      <c r="U546" s="20"/>
      <c r="V546" s="20"/>
      <c r="W546" s="20" t="str">
        <f>TEXT(Table4[[#This Row],[Confirmed Sampling Date]], "yyyy") &amp; "_" &amp; TEXT(Table4[[#This Row],[Confirmed Sampling Date]], "mm") &amp; "_" &amp; TEXT(Table4[[#This Row],[Confirmed Sampling Date]], "dd")</f>
        <v>2025_12_01</v>
      </c>
      <c r="X546" s="20" t="str">
        <f t="shared" si="8"/>
        <v>Wien</v>
      </c>
      <c r="Y546" s="20" t="str">
        <f>VLOOKUP(Table4[[#This Row],[FromSite-UPS]],Table1[[Company or Name]:[NOTES]],2,FALSE)</f>
        <v>Austria</v>
      </c>
      <c r="Z546" s="20">
        <f>IFERROR(WEEKNUM(Table4[[#This Row],[Confirmed Sampling Date]] - 10, 21), "TBD")</f>
        <v>47</v>
      </c>
      <c r="AA546" s="20" t="str">
        <f>_xlfn.XLOOKUP(Table4[[#This Row],[FromSite-UPS]],sites!D:D,sites!W:W,"",0)</f>
        <v>Währinger Gürtel 18-20, Wien, 1090, Austria</v>
      </c>
      <c r="AB546" s="20" t="str">
        <f>_xlfn.XLOOKUP(Table4[[#This Row],[ToLab]],labs!D:D,labs!P:P,"no adres",0)</f>
        <v>Av. Rovisco Pais 1, Laboratorio de Analises de Agua, Lisbon, 1049-001, Portugal</v>
      </c>
      <c r="AC546" s="20">
        <f>_xlfn.XLOOKUP(Table4[[#This Row],[combi]],AREA!E:E,AREA!F:F,"",0)</f>
        <v>89</v>
      </c>
      <c r="AD546" s="20" t="str">
        <f>_xlfn.XLOOKUP(Table4[[#This Row],[combi]],AREA!E:E,AREA!G:G,"",0)</f>
        <v>Pick-up service of hypothetic package as defined in the Tech. Specs. and delivery to lots
2 and 3 contractors according to Scenario 1</v>
      </c>
      <c r="AE546" s="20" t="s">
        <v>126</v>
      </c>
      <c r="AF546" s="20" t="str">
        <f>_xlfn.XLOOKUP(Table4[[#This Row],[FromSite-UPS]],sites!D:D,sites!AB:AB,"",0)&amp;_xlfn.XLOOKUP(Table4[[#This Row],[ToLab]],labs!D:D,labs!Q:Q,"",0)</f>
        <v>EUEU</v>
      </c>
    </row>
    <row r="547" spans="2:32" ht="15.6" hidden="1" customHeight="1" x14ac:dyDescent="0.25">
      <c r="B547" s="13">
        <v>645</v>
      </c>
      <c r="C547" s="14" t="s">
        <v>53</v>
      </c>
      <c r="D547" s="13">
        <v>1</v>
      </c>
      <c r="E547" s="34">
        <v>45993</v>
      </c>
      <c r="F547" s="22">
        <v>45994</v>
      </c>
      <c r="G547" s="20">
        <f>IFERROR(WEEKNUM(Table4[[#This Row],[Confirmed Pick-up Date]]),"TBD")</f>
        <v>49</v>
      </c>
      <c r="H547" s="20" t="str">
        <f>IFERROR(TEXT(Table4[[#This Row],[Confirmed Pick-up Date]],"yy-mm"),"TBD")</f>
        <v>25-12</v>
      </c>
      <c r="I547" s="13" t="s">
        <v>637</v>
      </c>
      <c r="J547" s="20" t="str">
        <f>IFERROR(VLOOKUP(Table4[[#This Row],[FromSite-UPS]],Table1[[#All],[Company or Name]:[FromSite3]],15,FALSE),"")</f>
        <v>Luxembourg (Beggen) WWTP</v>
      </c>
      <c r="K547" s="20" t="str">
        <f>IFERROR(VLOOKUP(Table4[[#This Row],[FromSite-UPS]],Table1[[#All],[Company or Name]:[FromSite3]],16,FALSE),"")</f>
        <v>Luxembourg Airport</v>
      </c>
      <c r="L547" s="20">
        <f>IFERROR(VLOOKUP(Table4[[#This Row],[FromSite-UPS]],Table1[[#All],[Company or Name]:[FromSite3]],14,FALSE),"")</f>
        <v>0.66666666666666663</v>
      </c>
      <c r="M547" s="13" t="s">
        <v>1011</v>
      </c>
      <c r="N547" s="20"/>
      <c r="O547" s="20"/>
      <c r="P547" s="20"/>
      <c r="Q547" s="20"/>
      <c r="R547" s="20"/>
      <c r="S547" s="20" t="s">
        <v>126</v>
      </c>
      <c r="T547" s="20"/>
      <c r="U547" s="20"/>
      <c r="V547" s="20"/>
      <c r="W547" s="20" t="str">
        <f>TEXT(Table4[[#This Row],[Confirmed Sampling Date]], "yyyy") &amp; "_" &amp; TEXT(Table4[[#This Row],[Confirmed Sampling Date]], "mm") &amp; "_" &amp; TEXT(Table4[[#This Row],[Confirmed Sampling Date]], "dd")</f>
        <v>2025_12_02</v>
      </c>
      <c r="X547" s="20" t="str">
        <f t="shared" si="8"/>
        <v>Luxembourg</v>
      </c>
      <c r="Y547" s="20" t="str">
        <f>VLOOKUP(Table4[[#This Row],[FromSite-UPS]],Table1[[Company or Name]:[NOTES]],2,FALSE)</f>
        <v>Luxembourg</v>
      </c>
      <c r="Z547" s="20">
        <f>IFERROR(WEEKNUM(Table4[[#This Row],[Confirmed Sampling Date]] - 10, 21), "TBD")</f>
        <v>47</v>
      </c>
      <c r="AA547" s="20" t="str">
        <f>_xlfn.XLOOKUP(Table4[[#This Row],[FromSite-UPS]],sites!D:D,sites!W:W,"",0)</f>
        <v>41 rue du Brill, Luxembourg, L-4422 , Luxembourg</v>
      </c>
      <c r="AB547" s="20" t="str">
        <f>_xlfn.XLOOKUP(Table4[[#This Row],[ToLab]],labs!D:D,labs!P:P,"no adres",0)</f>
        <v>Av. Rovisco Pais 1, Laboratorio de Analises de Agua, Lisbon, 1049-001, Portugal</v>
      </c>
      <c r="AC547" s="20">
        <f>_xlfn.XLOOKUP(Table4[[#This Row],[combi]],AREA!E:E,AREA!F:F,"",0)</f>
        <v>89</v>
      </c>
      <c r="AD547" s="20" t="str">
        <f>_xlfn.XLOOKUP(Table4[[#This Row],[combi]],AREA!E:E,AREA!G:G,"",0)</f>
        <v>Pick-up service of hypothetic package as defined in the Tech. Specs. and delivery to lots
2 and 3 contractors according to Scenario 1</v>
      </c>
      <c r="AE547" s="20" t="s">
        <v>126</v>
      </c>
      <c r="AF547" s="20" t="str">
        <f>_xlfn.XLOOKUP(Table4[[#This Row],[FromSite-UPS]],sites!D:D,sites!AB:AB,"",0)&amp;_xlfn.XLOOKUP(Table4[[#This Row],[ToLab]],labs!D:D,labs!Q:Q,"",0)</f>
        <v>EUEU</v>
      </c>
    </row>
    <row r="548" spans="2:32" ht="15.6" hidden="1" customHeight="1" x14ac:dyDescent="0.25">
      <c r="B548" s="13">
        <v>651</v>
      </c>
      <c r="C548" s="14" t="s">
        <v>53</v>
      </c>
      <c r="D548" s="13">
        <v>1</v>
      </c>
      <c r="E548" s="83">
        <v>45993</v>
      </c>
      <c r="F548" s="22">
        <v>45994</v>
      </c>
      <c r="G548" s="20">
        <f>IFERROR(WEEKNUM(Table4[[#This Row],[Confirmed Pick-up Date]]),"TBD")</f>
        <v>49</v>
      </c>
      <c r="H548" s="20" t="str">
        <f>IFERROR(TEXT(Table4[[#This Row],[Confirmed Pick-up Date]],"yy-mm"),"TBD")</f>
        <v>25-12</v>
      </c>
      <c r="I548" s="13" t="s">
        <v>637</v>
      </c>
      <c r="J548" s="20" t="str">
        <f>IFERROR(VLOOKUP(Table4[[#This Row],[FromSite-UPS]],Table1[[#All],[Company or Name]:[FromSite3]],15,FALSE),"")</f>
        <v>Luxembourg (Beggen) WWTP</v>
      </c>
      <c r="K548" s="20" t="str">
        <f>IFERROR(VLOOKUP(Table4[[#This Row],[FromSite-UPS]],Table1[[#All],[Company or Name]:[FromSite3]],16,FALSE),"")</f>
        <v>Luxembourg Airport</v>
      </c>
      <c r="L548" s="20">
        <f>IFERROR(VLOOKUP(Table4[[#This Row],[FromSite-UPS]],Table1[[#All],[Company or Name]:[FromSite3]],14,FALSE),"")</f>
        <v>0.66666666666666663</v>
      </c>
      <c r="M548" s="13" t="s">
        <v>1011</v>
      </c>
      <c r="N548" s="20"/>
      <c r="O548" s="20"/>
      <c r="P548" s="20"/>
      <c r="Q548" s="20"/>
      <c r="R548" s="20"/>
      <c r="S548" s="20" t="s">
        <v>126</v>
      </c>
      <c r="T548" s="20"/>
      <c r="U548" s="20"/>
      <c r="V548" s="20"/>
      <c r="W548" s="20" t="str">
        <f>TEXT(Table4[[#This Row],[Confirmed Sampling Date]], "yyyy") &amp; "_" &amp; TEXT(Table4[[#This Row],[Confirmed Sampling Date]], "mm") &amp; "_" &amp; TEXT(Table4[[#This Row],[Confirmed Sampling Date]], "dd")</f>
        <v>2025_12_02</v>
      </c>
      <c r="X548" s="20" t="str">
        <f t="shared" si="8"/>
        <v>Luxembourg</v>
      </c>
      <c r="Y548" s="20" t="str">
        <f>VLOOKUP(Table4[[#This Row],[FromSite-UPS]],Table1[[Company or Name]:[NOTES]],2,FALSE)</f>
        <v>Luxembourg</v>
      </c>
      <c r="Z548" s="20">
        <f>IFERROR(WEEKNUM(Table4[[#This Row],[Confirmed Sampling Date]] - 10, 21), "TBD")</f>
        <v>47</v>
      </c>
      <c r="AA548" s="20" t="str">
        <f>_xlfn.XLOOKUP(Table4[[#This Row],[FromSite-UPS]],sites!D:D,sites!W:W,"",0)</f>
        <v>41 rue du Brill, Luxembourg, L-4422 , Luxembourg</v>
      </c>
      <c r="AB548" s="20" t="str">
        <f>_xlfn.XLOOKUP(Table4[[#This Row],[ToLab]],labs!D:D,labs!P:P,"no adres",0)</f>
        <v>Av. Rovisco Pais 1, Laboratorio de Analises de Agua, Lisbon, 1049-001, Portugal</v>
      </c>
      <c r="AC548" s="20">
        <f>_xlfn.XLOOKUP(Table4[[#This Row],[combi]],AREA!E:E,AREA!F:F,"",0)</f>
        <v>89</v>
      </c>
      <c r="AD548" s="20" t="str">
        <f>_xlfn.XLOOKUP(Table4[[#This Row],[combi]],AREA!E:E,AREA!G:G,"",0)</f>
        <v>Pick-up service of hypothetic package as defined in the Tech. Specs. and delivery to lots
2 and 3 contractors according to Scenario 1</v>
      </c>
      <c r="AE548" s="20" t="s">
        <v>126</v>
      </c>
      <c r="AF548" s="20" t="str">
        <f>_xlfn.XLOOKUP(Table4[[#This Row],[FromSite-UPS]],sites!D:D,sites!AB:AB,"",0)&amp;_xlfn.XLOOKUP(Table4[[#This Row],[ToLab]],labs!D:D,labs!Q:Q,"",0)</f>
        <v>EUEU</v>
      </c>
    </row>
    <row r="549" spans="2:32" ht="15.6" hidden="1" customHeight="1" x14ac:dyDescent="0.25">
      <c r="B549" s="13">
        <v>300</v>
      </c>
      <c r="C549" s="14" t="s">
        <v>53</v>
      </c>
      <c r="D549" s="13">
        <v>1</v>
      </c>
      <c r="E549" s="79">
        <v>45994</v>
      </c>
      <c r="F549" s="80">
        <v>45995</v>
      </c>
      <c r="G549" s="20">
        <f>IFERROR(WEEKNUM(Table4[[#This Row],[Confirmed Pick-up Date]]),"TBD")</f>
        <v>49</v>
      </c>
      <c r="H549" s="20" t="str">
        <f>IFERROR(TEXT(Table4[[#This Row],[Confirmed Pick-up Date]],"yy-mm"),"TBD")</f>
        <v>25-12</v>
      </c>
      <c r="I549" s="13" t="s">
        <v>975</v>
      </c>
      <c r="J549" s="20" t="str">
        <f>IFERROR(VLOOKUP(Table4[[#This Row],[FromSite-UPS]],Table1[[#All],[Company or Name]:[FromSite3]],15,FALSE),"")</f>
        <v>Vilnius WWTP</v>
      </c>
      <c r="K549" s="20" t="str">
        <f>IFERROR(VLOOKUP(Table4[[#This Row],[FromSite-UPS]],Table1[[#All],[Company or Name]:[FromSite3]],16,FALSE),"")</f>
        <v>Vilnius Bus Terminal</v>
      </c>
      <c r="L549" s="20">
        <f>IFERROR(VLOOKUP(Table4[[#This Row],[FromSite-UPS]],Table1[[#All],[Company or Name]:[FromSite3]],14,FALSE),"")</f>
        <v>0.58333333333333337</v>
      </c>
      <c r="M549" s="13" t="s">
        <v>1011</v>
      </c>
      <c r="N549" s="20"/>
      <c r="O549" s="20"/>
      <c r="P549" s="20"/>
      <c r="Q549" s="20"/>
      <c r="R549" s="20"/>
      <c r="S549" s="20" t="s">
        <v>126</v>
      </c>
      <c r="T549" s="20"/>
      <c r="U549" s="20"/>
      <c r="V549" s="20"/>
      <c r="W549" s="20" t="str">
        <f>TEXT(Table4[[#This Row],[Confirmed Sampling Date]], "yyyy") &amp; "_" &amp; TEXT(Table4[[#This Row],[Confirmed Sampling Date]], "mm") &amp; "_" &amp; TEXT(Table4[[#This Row],[Confirmed Sampling Date]], "dd")</f>
        <v>2025_12_03</v>
      </c>
      <c r="X549" s="20" t="str">
        <f t="shared" si="8"/>
        <v>Vilnius</v>
      </c>
      <c r="Y549" s="20" t="str">
        <f>VLOOKUP(Table4[[#This Row],[FromSite-UPS]],Table1[[Company or Name]:[NOTES]],2,FALSE)</f>
        <v>Lithuania</v>
      </c>
      <c r="Z549" s="20">
        <f>IFERROR(WEEKNUM(Table4[[#This Row],[Confirmed Sampling Date]] - 10, 21), "TBD")</f>
        <v>47</v>
      </c>
      <c r="AA549" s="20" t="str">
        <f>_xlfn.XLOOKUP(Table4[[#This Row],[FromSite-UPS]],sites!D:D,sites!W:W,"",0)</f>
        <v>Zolyno 36 gatve, Vilnius, 10210, Lithuania</v>
      </c>
      <c r="AB549" s="20" t="str">
        <f>_xlfn.XLOOKUP(Table4[[#This Row],[ToLab]],labs!D:D,labs!P:P,"no adres",0)</f>
        <v>Av. Rovisco Pais 1, Laboratorio de Analises de Agua, Lisbon, 1049-001, Portugal</v>
      </c>
      <c r="AC549" s="20">
        <f>_xlfn.XLOOKUP(Table4[[#This Row],[combi]],AREA!E:E,AREA!F:F,"",0)</f>
        <v>89</v>
      </c>
      <c r="AD549" s="20" t="str">
        <f>_xlfn.XLOOKUP(Table4[[#This Row],[combi]],AREA!E:E,AREA!G:G,"",0)</f>
        <v>Pick-up service of hypothetic package as defined in the Tech. Specs. and delivery to lots
2 and 3 contractors according to Scenario 1</v>
      </c>
      <c r="AE549" s="20" t="s">
        <v>126</v>
      </c>
      <c r="AF549" s="20" t="str">
        <f>_xlfn.XLOOKUP(Table4[[#This Row],[FromSite-UPS]],sites!D:D,sites!AB:AB,"",0)&amp;_xlfn.XLOOKUP(Table4[[#This Row],[ToLab]],labs!D:D,labs!Q:Q,"",0)</f>
        <v>EUEU</v>
      </c>
    </row>
    <row r="550" spans="2:32" ht="15.6" hidden="1" customHeight="1" x14ac:dyDescent="0.25">
      <c r="B550" s="13">
        <v>310</v>
      </c>
      <c r="C550" s="14" t="s">
        <v>53</v>
      </c>
      <c r="D550" s="13">
        <v>1</v>
      </c>
      <c r="E550" s="79">
        <v>45994</v>
      </c>
      <c r="F550" s="80">
        <v>45995</v>
      </c>
      <c r="G550" s="20">
        <f>IFERROR(WEEKNUM(Table4[[#This Row],[Confirmed Pick-up Date]]),"TBD")</f>
        <v>49</v>
      </c>
      <c r="H550" s="20" t="str">
        <f>IFERROR(TEXT(Table4[[#This Row],[Confirmed Pick-up Date]],"yy-mm"),"TBD")</f>
        <v>25-12</v>
      </c>
      <c r="I550" s="78" t="s">
        <v>1628</v>
      </c>
      <c r="J550" s="20" t="str">
        <f>IFERROR(VLOOKUP(Table4[[#This Row],[FromSite-UPS]],Table1[[#All],[Company or Name]:[FromSite3]],15,FALSE),"")</f>
        <v>Funchal WWTP</v>
      </c>
      <c r="K550" s="20" t="str">
        <f>IFERROR(VLOOKUP(Table4[[#This Row],[FromSite-UPS]],Table1[[#All],[Company or Name]:[FromSite3]],16,FALSE),"")</f>
        <v>Madeira, 10 locations</v>
      </c>
      <c r="L550" s="20">
        <f>IFERROR(VLOOKUP(Table4[[#This Row],[FromSite-UPS]],Table1[[#All],[Company or Name]:[FromSite3]],14,FALSE),"")</f>
        <v>0.70833333333333337</v>
      </c>
      <c r="M550" s="13" t="s">
        <v>1011</v>
      </c>
      <c r="N550" s="20"/>
      <c r="O550" s="20"/>
      <c r="P550" s="20"/>
      <c r="Q550" s="20" t="s">
        <v>1857</v>
      </c>
      <c r="R550" s="20"/>
      <c r="S550" s="20" t="s">
        <v>126</v>
      </c>
      <c r="T550" s="20"/>
      <c r="U550" s="20"/>
      <c r="V550" s="20"/>
      <c r="W550" s="20" t="str">
        <f>TEXT(Table4[[#This Row],[Confirmed Sampling Date]], "yyyy") &amp; "_" &amp; TEXT(Table4[[#This Row],[Confirmed Sampling Date]], "mm") &amp; "_" &amp; TEXT(Table4[[#This Row],[Confirmed Sampling Date]], "dd")</f>
        <v>2025_12_03</v>
      </c>
      <c r="X550" s="20" t="str">
        <f t="shared" si="8"/>
        <v>Funchal</v>
      </c>
      <c r="Y550" s="20" t="str">
        <f>VLOOKUP(Table4[[#This Row],[FromSite-UPS]],Table1[[Company or Name]:[NOTES]],2,FALSE)</f>
        <v>Portugal</v>
      </c>
      <c r="Z550" s="20">
        <f>IFERROR(WEEKNUM(Table4[[#This Row],[Confirmed Sampling Date]] - 10, 21), "TBD")</f>
        <v>47</v>
      </c>
      <c r="AA550" s="20" t="str">
        <f>_xlfn.XLOOKUP(Table4[[#This Row],[FromSite-UPS]],sites!D:D,sites!W:W,"",0)</f>
        <v>R. do Matadouro 4, Funchal, 9050-100, Portugal</v>
      </c>
      <c r="AB550" s="20" t="str">
        <f>_xlfn.XLOOKUP(Table4[[#This Row],[ToLab]],labs!D:D,labs!P:P,"no adres",0)</f>
        <v>Av. Rovisco Pais 1, Laboratorio de Analises de Agua, Lisbon, 1049-001, Portugal</v>
      </c>
      <c r="AC550" s="20">
        <f>_xlfn.XLOOKUP(Table4[[#This Row],[combi]],AREA!E:E,AREA!F:F,"",0)</f>
        <v>89</v>
      </c>
      <c r="AD550" s="20" t="str">
        <f>_xlfn.XLOOKUP(Table4[[#This Row],[combi]],AREA!E:E,AREA!G:G,"",0)</f>
        <v>Pick-up service of hypothetic package as defined in the Tech. Specs. and delivery to lots
2 and 3 contractors according to Scenario 1</v>
      </c>
      <c r="AE550" s="20" t="s">
        <v>126</v>
      </c>
      <c r="AF550" s="20" t="str">
        <f>_xlfn.XLOOKUP(Table4[[#This Row],[FromSite-UPS]],sites!D:D,sites!AB:AB,"",0)&amp;_xlfn.XLOOKUP(Table4[[#This Row],[ToLab]],labs!D:D,labs!Q:Q,"",0)</f>
        <v>EUEU</v>
      </c>
    </row>
    <row r="551" spans="2:32" ht="15.6" hidden="1" customHeight="1" x14ac:dyDescent="0.25">
      <c r="B551" s="13">
        <v>320</v>
      </c>
      <c r="C551" s="14" t="s">
        <v>53</v>
      </c>
      <c r="D551" s="13">
        <v>1</v>
      </c>
      <c r="E551" s="79">
        <v>45994</v>
      </c>
      <c r="F551" s="80">
        <v>45995</v>
      </c>
      <c r="G551" s="20">
        <f>IFERROR(WEEKNUM(Table4[[#This Row],[Confirmed Pick-up Date]]),"TBD")</f>
        <v>49</v>
      </c>
      <c r="H551" s="20" t="str">
        <f>IFERROR(TEXT(Table4[[#This Row],[Confirmed Pick-up Date]],"yy-mm"),"TBD")</f>
        <v>25-12</v>
      </c>
      <c r="I551" s="78" t="s">
        <v>1628</v>
      </c>
      <c r="J551" s="20" t="str">
        <f>IFERROR(VLOOKUP(Table4[[#This Row],[FromSite-UPS]],Table1[[#All],[Company or Name]:[FromSite3]],15,FALSE),"")</f>
        <v>Funchal WWTP</v>
      </c>
      <c r="K551" s="20" t="str">
        <f>IFERROR(VLOOKUP(Table4[[#This Row],[FromSite-UPS]],Table1[[#All],[Company or Name]:[FromSite3]],16,FALSE),"")</f>
        <v>Madeira, 10 locations</v>
      </c>
      <c r="L551" s="20">
        <f>IFERROR(VLOOKUP(Table4[[#This Row],[FromSite-UPS]],Table1[[#All],[Company or Name]:[FromSite3]],14,FALSE),"")</f>
        <v>0.70833333333333337</v>
      </c>
      <c r="M551" s="13" t="s">
        <v>1011</v>
      </c>
      <c r="N551" s="20"/>
      <c r="O551" s="20"/>
      <c r="P551" s="20"/>
      <c r="Q551" s="20"/>
      <c r="R551" s="20"/>
      <c r="S551" s="20" t="s">
        <v>126</v>
      </c>
      <c r="T551" s="20"/>
      <c r="U551" s="20"/>
      <c r="V551" s="20"/>
      <c r="W551" s="20" t="str">
        <f>TEXT(Table4[[#This Row],[Confirmed Sampling Date]], "yyyy") &amp; "_" &amp; TEXT(Table4[[#This Row],[Confirmed Sampling Date]], "mm") &amp; "_" &amp; TEXT(Table4[[#This Row],[Confirmed Sampling Date]], "dd")</f>
        <v>2025_12_03</v>
      </c>
      <c r="X551" s="20" t="str">
        <f t="shared" si="8"/>
        <v>Funchal</v>
      </c>
      <c r="Y551" s="20" t="str">
        <f>VLOOKUP(Table4[[#This Row],[FromSite-UPS]],Table1[[Company or Name]:[NOTES]],2,FALSE)</f>
        <v>Portugal</v>
      </c>
      <c r="Z551" s="20">
        <f>IFERROR(WEEKNUM(Table4[[#This Row],[Confirmed Sampling Date]] - 10, 21), "TBD")</f>
        <v>47</v>
      </c>
      <c r="AA551" s="20" t="str">
        <f>_xlfn.XLOOKUP(Table4[[#This Row],[FromSite-UPS]],sites!D:D,sites!W:W,"",0)</f>
        <v>R. do Matadouro 4, Funchal, 9050-100, Portugal</v>
      </c>
      <c r="AB551" s="20" t="str">
        <f>_xlfn.XLOOKUP(Table4[[#This Row],[ToLab]],labs!D:D,labs!P:P,"no adres",0)</f>
        <v>Av. Rovisco Pais 1, Laboratorio de Analises de Agua, Lisbon, 1049-001, Portugal</v>
      </c>
      <c r="AC551" s="20">
        <f>_xlfn.XLOOKUP(Table4[[#This Row],[combi]],AREA!E:E,AREA!F:F,"",0)</f>
        <v>89</v>
      </c>
      <c r="AD551" s="20" t="str">
        <f>_xlfn.XLOOKUP(Table4[[#This Row],[combi]],AREA!E:E,AREA!G:G,"",0)</f>
        <v>Pick-up service of hypothetic package as defined in the Tech. Specs. and delivery to lots
2 and 3 contractors according to Scenario 1</v>
      </c>
      <c r="AE551" s="20" t="s">
        <v>126</v>
      </c>
      <c r="AF551" s="20" t="str">
        <f>_xlfn.XLOOKUP(Table4[[#This Row],[FromSite-UPS]],sites!D:D,sites!AB:AB,"",0)&amp;_xlfn.XLOOKUP(Table4[[#This Row],[ToLab]],labs!D:D,labs!Q:Q,"",0)</f>
        <v>EUEU</v>
      </c>
    </row>
    <row r="552" spans="2:32" ht="15.6" hidden="1" customHeight="1" x14ac:dyDescent="0.25">
      <c r="B552" s="13">
        <v>330</v>
      </c>
      <c r="C552" s="14" t="s">
        <v>53</v>
      </c>
      <c r="D552" s="13">
        <v>1</v>
      </c>
      <c r="E552" s="79">
        <v>45994</v>
      </c>
      <c r="F552" s="80">
        <v>45995</v>
      </c>
      <c r="G552" s="20">
        <f>IFERROR(WEEKNUM(Table4[[#This Row],[Confirmed Pick-up Date]]),"TBD")</f>
        <v>49</v>
      </c>
      <c r="H552" s="20" t="str">
        <f>IFERROR(TEXT(Table4[[#This Row],[Confirmed Pick-up Date]],"yy-mm"),"TBD")</f>
        <v>25-12</v>
      </c>
      <c r="I552" s="78" t="s">
        <v>1628</v>
      </c>
      <c r="J552" s="20" t="str">
        <f>IFERROR(VLOOKUP(Table4[[#This Row],[FromSite-UPS]],Table1[[#All],[Company or Name]:[FromSite3]],15,FALSE),"")</f>
        <v>Funchal WWTP</v>
      </c>
      <c r="K552" s="20" t="str">
        <f>IFERROR(VLOOKUP(Table4[[#This Row],[FromSite-UPS]],Table1[[#All],[Company or Name]:[FromSite3]],16,FALSE),"")</f>
        <v>Madeira, 10 locations</v>
      </c>
      <c r="L552" s="20">
        <f>IFERROR(VLOOKUP(Table4[[#This Row],[FromSite-UPS]],Table1[[#All],[Company or Name]:[FromSite3]],14,FALSE),"")</f>
        <v>0.70833333333333337</v>
      </c>
      <c r="M552" s="13" t="s">
        <v>1011</v>
      </c>
      <c r="N552" s="20"/>
      <c r="O552" s="20"/>
      <c r="P552" s="20"/>
      <c r="Q552" s="20"/>
      <c r="R552" s="20"/>
      <c r="S552" s="20" t="s">
        <v>126</v>
      </c>
      <c r="T552" s="20"/>
      <c r="U552" s="20"/>
      <c r="V552" s="20"/>
      <c r="W552" s="20" t="str">
        <f>TEXT(Table4[[#This Row],[Confirmed Sampling Date]], "yyyy") &amp; "_" &amp; TEXT(Table4[[#This Row],[Confirmed Sampling Date]], "mm") &amp; "_" &amp; TEXT(Table4[[#This Row],[Confirmed Sampling Date]], "dd")</f>
        <v>2025_12_03</v>
      </c>
      <c r="X552" s="20" t="str">
        <f t="shared" si="8"/>
        <v>Funchal</v>
      </c>
      <c r="Y552" s="20" t="str">
        <f>VLOOKUP(Table4[[#This Row],[FromSite-UPS]],Table1[[Company or Name]:[NOTES]],2,FALSE)</f>
        <v>Portugal</v>
      </c>
      <c r="Z552" s="20">
        <f>IFERROR(WEEKNUM(Table4[[#This Row],[Confirmed Sampling Date]] - 10, 21), "TBD")</f>
        <v>47</v>
      </c>
      <c r="AA552" s="20" t="str">
        <f>_xlfn.XLOOKUP(Table4[[#This Row],[FromSite-UPS]],sites!D:D,sites!W:W,"",0)</f>
        <v>R. do Matadouro 4, Funchal, 9050-100, Portugal</v>
      </c>
      <c r="AB552" s="20" t="str">
        <f>_xlfn.XLOOKUP(Table4[[#This Row],[ToLab]],labs!D:D,labs!P:P,"no adres",0)</f>
        <v>Av. Rovisco Pais 1, Laboratorio de Analises de Agua, Lisbon, 1049-001, Portugal</v>
      </c>
      <c r="AC552" s="20">
        <f>_xlfn.XLOOKUP(Table4[[#This Row],[combi]],AREA!E:E,AREA!F:F,"",0)</f>
        <v>89</v>
      </c>
      <c r="AD552" s="20" t="str">
        <f>_xlfn.XLOOKUP(Table4[[#This Row],[combi]],AREA!E:E,AREA!G:G,"",0)</f>
        <v>Pick-up service of hypothetic package as defined in the Tech. Specs. and delivery to lots
2 and 3 contractors according to Scenario 1</v>
      </c>
      <c r="AE552" s="20" t="s">
        <v>126</v>
      </c>
      <c r="AF552" s="20" t="str">
        <f>_xlfn.XLOOKUP(Table4[[#This Row],[FromSite-UPS]],sites!D:D,sites!AB:AB,"",0)&amp;_xlfn.XLOOKUP(Table4[[#This Row],[ToLab]],labs!D:D,labs!Q:Q,"",0)</f>
        <v>EUEU</v>
      </c>
    </row>
    <row r="553" spans="2:32" ht="15.6" hidden="1" customHeight="1" x14ac:dyDescent="0.25">
      <c r="B553" s="13">
        <v>340</v>
      </c>
      <c r="C553" s="14" t="s">
        <v>53</v>
      </c>
      <c r="D553" s="13">
        <v>1</v>
      </c>
      <c r="E553" s="79">
        <v>45994</v>
      </c>
      <c r="F553" s="80">
        <v>45995</v>
      </c>
      <c r="G553" s="20">
        <f>IFERROR(WEEKNUM(Table4[[#This Row],[Confirmed Pick-up Date]]),"TBD")</f>
        <v>49</v>
      </c>
      <c r="H553" s="20" t="str">
        <f>IFERROR(TEXT(Table4[[#This Row],[Confirmed Pick-up Date]],"yy-mm"),"TBD")</f>
        <v>25-12</v>
      </c>
      <c r="I553" s="78" t="s">
        <v>1628</v>
      </c>
      <c r="J553" s="20" t="str">
        <f>IFERROR(VLOOKUP(Table4[[#This Row],[FromSite-UPS]],Table1[[#All],[Company or Name]:[FromSite3]],15,FALSE),"")</f>
        <v>Funchal WWTP</v>
      </c>
      <c r="K553" s="20" t="str">
        <f>IFERROR(VLOOKUP(Table4[[#This Row],[FromSite-UPS]],Table1[[#All],[Company or Name]:[FromSite3]],16,FALSE),"")</f>
        <v>Madeira, 10 locations</v>
      </c>
      <c r="L553" s="20">
        <f>IFERROR(VLOOKUP(Table4[[#This Row],[FromSite-UPS]],Table1[[#All],[Company or Name]:[FromSite3]],14,FALSE),"")</f>
        <v>0.70833333333333337</v>
      </c>
      <c r="M553" s="13" t="s">
        <v>1011</v>
      </c>
      <c r="N553" s="20"/>
      <c r="O553" s="20"/>
      <c r="P553" s="20"/>
      <c r="Q553" s="20"/>
      <c r="R553" s="20"/>
      <c r="S553" s="20" t="s">
        <v>126</v>
      </c>
      <c r="T553" s="20"/>
      <c r="U553" s="20"/>
      <c r="V553" s="20"/>
      <c r="W553" s="20" t="str">
        <f>TEXT(Table4[[#This Row],[Confirmed Sampling Date]], "yyyy") &amp; "_" &amp; TEXT(Table4[[#This Row],[Confirmed Sampling Date]], "mm") &amp; "_" &amp; TEXT(Table4[[#This Row],[Confirmed Sampling Date]], "dd")</f>
        <v>2025_12_03</v>
      </c>
      <c r="X553" s="20" t="str">
        <f t="shared" si="8"/>
        <v>Funchal</v>
      </c>
      <c r="Y553" s="20" t="str">
        <f>VLOOKUP(Table4[[#This Row],[FromSite-UPS]],Table1[[Company or Name]:[NOTES]],2,FALSE)</f>
        <v>Portugal</v>
      </c>
      <c r="Z553" s="20">
        <f>IFERROR(WEEKNUM(Table4[[#This Row],[Confirmed Sampling Date]] - 10, 21), "TBD")</f>
        <v>47</v>
      </c>
      <c r="AA553" s="20" t="str">
        <f>_xlfn.XLOOKUP(Table4[[#This Row],[FromSite-UPS]],sites!D:D,sites!W:W,"",0)</f>
        <v>R. do Matadouro 4, Funchal, 9050-100, Portugal</v>
      </c>
      <c r="AB553" s="20" t="str">
        <f>_xlfn.XLOOKUP(Table4[[#This Row],[ToLab]],labs!D:D,labs!P:P,"no adres",0)</f>
        <v>Av. Rovisco Pais 1, Laboratorio de Analises de Agua, Lisbon, 1049-001, Portugal</v>
      </c>
      <c r="AC553" s="20">
        <f>_xlfn.XLOOKUP(Table4[[#This Row],[combi]],AREA!E:E,AREA!F:F,"",0)</f>
        <v>89</v>
      </c>
      <c r="AD553" s="20" t="str">
        <f>_xlfn.XLOOKUP(Table4[[#This Row],[combi]],AREA!E:E,AREA!G:G,"",0)</f>
        <v>Pick-up service of hypothetic package as defined in the Tech. Specs. and delivery to lots
2 and 3 contractors according to Scenario 1</v>
      </c>
      <c r="AE553" s="20" t="s">
        <v>126</v>
      </c>
      <c r="AF553" s="20" t="str">
        <f>_xlfn.XLOOKUP(Table4[[#This Row],[FromSite-UPS]],sites!D:D,sites!AB:AB,"",0)&amp;_xlfn.XLOOKUP(Table4[[#This Row],[ToLab]],labs!D:D,labs!Q:Q,"",0)</f>
        <v>EUEU</v>
      </c>
    </row>
    <row r="554" spans="2:32" ht="15.6" hidden="1" customHeight="1" x14ac:dyDescent="0.25">
      <c r="B554" s="13">
        <v>350</v>
      </c>
      <c r="C554" s="14" t="s">
        <v>53</v>
      </c>
      <c r="D554" s="13">
        <v>1</v>
      </c>
      <c r="E554" s="79">
        <v>45994</v>
      </c>
      <c r="F554" s="80">
        <v>45995</v>
      </c>
      <c r="G554" s="20">
        <f>IFERROR(WEEKNUM(Table4[[#This Row],[Confirmed Pick-up Date]]),"TBD")</f>
        <v>49</v>
      </c>
      <c r="H554" s="20" t="str">
        <f>IFERROR(TEXT(Table4[[#This Row],[Confirmed Pick-up Date]],"yy-mm"),"TBD")</f>
        <v>25-12</v>
      </c>
      <c r="I554" s="78" t="s">
        <v>1628</v>
      </c>
      <c r="J554" s="20" t="str">
        <f>IFERROR(VLOOKUP(Table4[[#This Row],[FromSite-UPS]],Table1[[#All],[Company or Name]:[FromSite3]],15,FALSE),"")</f>
        <v>Funchal WWTP</v>
      </c>
      <c r="K554" s="20" t="str">
        <f>IFERROR(VLOOKUP(Table4[[#This Row],[FromSite-UPS]],Table1[[#All],[Company or Name]:[FromSite3]],16,FALSE),"")</f>
        <v>Madeira, 10 locations</v>
      </c>
      <c r="L554" s="20">
        <f>IFERROR(VLOOKUP(Table4[[#This Row],[FromSite-UPS]],Table1[[#All],[Company or Name]:[FromSite3]],14,FALSE),"")</f>
        <v>0.70833333333333337</v>
      </c>
      <c r="M554" s="13" t="s">
        <v>1011</v>
      </c>
      <c r="N554" s="20"/>
      <c r="O554" s="20"/>
      <c r="P554" s="20"/>
      <c r="Q554" s="20"/>
      <c r="R554" s="20"/>
      <c r="S554" s="20" t="s">
        <v>126</v>
      </c>
      <c r="T554" s="20"/>
      <c r="U554" s="20"/>
      <c r="V554" s="20"/>
      <c r="W554" s="20" t="str">
        <f>TEXT(Table4[[#This Row],[Confirmed Sampling Date]], "yyyy") &amp; "_" &amp; TEXT(Table4[[#This Row],[Confirmed Sampling Date]], "mm") &amp; "_" &amp; TEXT(Table4[[#This Row],[Confirmed Sampling Date]], "dd")</f>
        <v>2025_12_03</v>
      </c>
      <c r="X554" s="20" t="str">
        <f t="shared" si="8"/>
        <v>Funchal</v>
      </c>
      <c r="Y554" s="20" t="str">
        <f>VLOOKUP(Table4[[#This Row],[FromSite-UPS]],Table1[[Company or Name]:[NOTES]],2,FALSE)</f>
        <v>Portugal</v>
      </c>
      <c r="Z554" s="20">
        <f>IFERROR(WEEKNUM(Table4[[#This Row],[Confirmed Sampling Date]] - 10, 21), "TBD")</f>
        <v>47</v>
      </c>
      <c r="AA554" s="20" t="str">
        <f>_xlfn.XLOOKUP(Table4[[#This Row],[FromSite-UPS]],sites!D:D,sites!W:W,"",0)</f>
        <v>R. do Matadouro 4, Funchal, 9050-100, Portugal</v>
      </c>
      <c r="AB554" s="20" t="str">
        <f>_xlfn.XLOOKUP(Table4[[#This Row],[ToLab]],labs!D:D,labs!P:P,"no adres",0)</f>
        <v>Av. Rovisco Pais 1, Laboratorio de Analises de Agua, Lisbon, 1049-001, Portugal</v>
      </c>
      <c r="AC554" s="20">
        <f>_xlfn.XLOOKUP(Table4[[#This Row],[combi]],AREA!E:E,AREA!F:F,"",0)</f>
        <v>89</v>
      </c>
      <c r="AD554" s="20" t="str">
        <f>_xlfn.XLOOKUP(Table4[[#This Row],[combi]],AREA!E:E,AREA!G:G,"",0)</f>
        <v>Pick-up service of hypothetic package as defined in the Tech. Specs. and delivery to lots
2 and 3 contractors according to Scenario 1</v>
      </c>
      <c r="AE554" s="20" t="s">
        <v>126</v>
      </c>
      <c r="AF554" s="20" t="str">
        <f>_xlfn.XLOOKUP(Table4[[#This Row],[FromSite-UPS]],sites!D:D,sites!AB:AB,"",0)&amp;_xlfn.XLOOKUP(Table4[[#This Row],[ToLab]],labs!D:D,labs!Q:Q,"",0)</f>
        <v>EUEU</v>
      </c>
    </row>
    <row r="555" spans="2:32" ht="15.6" hidden="1" customHeight="1" x14ac:dyDescent="0.25">
      <c r="B555" s="13">
        <v>360</v>
      </c>
      <c r="C555" s="14" t="s">
        <v>53</v>
      </c>
      <c r="D555" s="13">
        <v>1</v>
      </c>
      <c r="E555" s="79">
        <v>45994</v>
      </c>
      <c r="F555" s="80">
        <v>45995</v>
      </c>
      <c r="G555" s="20">
        <f>IFERROR(WEEKNUM(Table4[[#This Row],[Confirmed Pick-up Date]]),"TBD")</f>
        <v>49</v>
      </c>
      <c r="H555" s="20" t="str">
        <f>IFERROR(TEXT(Table4[[#This Row],[Confirmed Pick-up Date]],"yy-mm"),"TBD")</f>
        <v>25-12</v>
      </c>
      <c r="I555" s="78" t="s">
        <v>1628</v>
      </c>
      <c r="J555" s="20" t="str">
        <f>IFERROR(VLOOKUP(Table4[[#This Row],[FromSite-UPS]],Table1[[#All],[Company or Name]:[FromSite3]],15,FALSE),"")</f>
        <v>Funchal WWTP</v>
      </c>
      <c r="K555" s="20" t="str">
        <f>IFERROR(VLOOKUP(Table4[[#This Row],[FromSite-UPS]],Table1[[#All],[Company or Name]:[FromSite3]],16,FALSE),"")</f>
        <v>Madeira, 10 locations</v>
      </c>
      <c r="L555" s="20">
        <f>IFERROR(VLOOKUP(Table4[[#This Row],[FromSite-UPS]],Table1[[#All],[Company or Name]:[FromSite3]],14,FALSE),"")</f>
        <v>0.70833333333333337</v>
      </c>
      <c r="M555" s="13" t="s">
        <v>1011</v>
      </c>
      <c r="N555" s="20"/>
      <c r="O555" s="20"/>
      <c r="P555" s="20"/>
      <c r="Q555" s="20"/>
      <c r="R555" s="20"/>
      <c r="S555" s="20" t="s">
        <v>126</v>
      </c>
      <c r="T555" s="20"/>
      <c r="U555" s="20"/>
      <c r="V555" s="20"/>
      <c r="W555" s="20" t="str">
        <f>TEXT(Table4[[#This Row],[Confirmed Sampling Date]], "yyyy") &amp; "_" &amp; TEXT(Table4[[#This Row],[Confirmed Sampling Date]], "mm") &amp; "_" &amp; TEXT(Table4[[#This Row],[Confirmed Sampling Date]], "dd")</f>
        <v>2025_12_03</v>
      </c>
      <c r="X555" s="20" t="str">
        <f t="shared" si="8"/>
        <v>Funchal</v>
      </c>
      <c r="Y555" s="20" t="str">
        <f>VLOOKUP(Table4[[#This Row],[FromSite-UPS]],Table1[[Company or Name]:[NOTES]],2,FALSE)</f>
        <v>Portugal</v>
      </c>
      <c r="Z555" s="20">
        <f>IFERROR(WEEKNUM(Table4[[#This Row],[Confirmed Sampling Date]] - 10, 21), "TBD")</f>
        <v>47</v>
      </c>
      <c r="AA555" s="20" t="str">
        <f>_xlfn.XLOOKUP(Table4[[#This Row],[FromSite-UPS]],sites!D:D,sites!W:W,"",0)</f>
        <v>R. do Matadouro 4, Funchal, 9050-100, Portugal</v>
      </c>
      <c r="AB555" s="20" t="str">
        <f>_xlfn.XLOOKUP(Table4[[#This Row],[ToLab]],labs!D:D,labs!P:P,"no adres",0)</f>
        <v>Av. Rovisco Pais 1, Laboratorio de Analises de Agua, Lisbon, 1049-001, Portugal</v>
      </c>
      <c r="AC555" s="20">
        <f>_xlfn.XLOOKUP(Table4[[#This Row],[combi]],AREA!E:E,AREA!F:F,"",0)</f>
        <v>89</v>
      </c>
      <c r="AD555" s="20" t="str">
        <f>_xlfn.XLOOKUP(Table4[[#This Row],[combi]],AREA!E:E,AREA!G:G,"",0)</f>
        <v>Pick-up service of hypothetic package as defined in the Tech. Specs. and delivery to lots
2 and 3 contractors according to Scenario 1</v>
      </c>
      <c r="AE555" s="20" t="s">
        <v>126</v>
      </c>
      <c r="AF555" s="20" t="str">
        <f>_xlfn.XLOOKUP(Table4[[#This Row],[FromSite-UPS]],sites!D:D,sites!AB:AB,"",0)&amp;_xlfn.XLOOKUP(Table4[[#This Row],[ToLab]],labs!D:D,labs!Q:Q,"",0)</f>
        <v>EUEU</v>
      </c>
    </row>
    <row r="556" spans="2:32" ht="15.6" hidden="1" customHeight="1" x14ac:dyDescent="0.25">
      <c r="B556" s="13">
        <v>370</v>
      </c>
      <c r="C556" s="14" t="s">
        <v>53</v>
      </c>
      <c r="D556" s="13">
        <v>1</v>
      </c>
      <c r="E556" s="79">
        <v>45994</v>
      </c>
      <c r="F556" s="81">
        <v>45995</v>
      </c>
      <c r="G556" s="20">
        <f>IFERROR(WEEKNUM(Table4[[#This Row],[Confirmed Pick-up Date]]),"TBD")</f>
        <v>49</v>
      </c>
      <c r="H556" s="20" t="str">
        <f>IFERROR(TEXT(Table4[[#This Row],[Confirmed Pick-up Date]],"yy-mm"),"TBD")</f>
        <v>25-12</v>
      </c>
      <c r="I556" s="67" t="s">
        <v>1628</v>
      </c>
      <c r="J556" s="20" t="str">
        <f>IFERROR(VLOOKUP(Table4[[#This Row],[FromSite-UPS]],Table1[[#All],[Company or Name]:[FromSite3]],15,FALSE),"")</f>
        <v>Funchal WWTP</v>
      </c>
      <c r="K556" s="20" t="str">
        <f>IFERROR(VLOOKUP(Table4[[#This Row],[FromSite-UPS]],Table1[[#All],[Company or Name]:[FromSite3]],16,FALSE),"")</f>
        <v>Madeira, 10 locations</v>
      </c>
      <c r="L556" s="20">
        <f>IFERROR(VLOOKUP(Table4[[#This Row],[FromSite-UPS]],Table1[[#All],[Company or Name]:[FromSite3]],14,FALSE),"")</f>
        <v>0.70833333333333337</v>
      </c>
      <c r="M556" s="13" t="s">
        <v>1011</v>
      </c>
      <c r="N556" s="20"/>
      <c r="O556" s="20"/>
      <c r="P556" s="20"/>
      <c r="Q556" s="20"/>
      <c r="R556" s="20"/>
      <c r="S556" s="20" t="s">
        <v>126</v>
      </c>
      <c r="T556" s="20"/>
      <c r="U556" s="20"/>
      <c r="V556" s="20"/>
      <c r="W556" s="20" t="str">
        <f>TEXT(Table4[[#This Row],[Confirmed Sampling Date]], "yyyy") &amp; "_" &amp; TEXT(Table4[[#This Row],[Confirmed Sampling Date]], "mm") &amp; "_" &amp; TEXT(Table4[[#This Row],[Confirmed Sampling Date]], "dd")</f>
        <v>2025_12_03</v>
      </c>
      <c r="X556" s="20" t="str">
        <f t="shared" si="8"/>
        <v>Funchal</v>
      </c>
      <c r="Y556" s="20" t="str">
        <f>VLOOKUP(Table4[[#This Row],[FromSite-UPS]],Table1[[Company or Name]:[NOTES]],2,FALSE)</f>
        <v>Portugal</v>
      </c>
      <c r="Z556" s="20">
        <f>IFERROR(WEEKNUM(Table4[[#This Row],[Confirmed Sampling Date]] - 10, 21), "TBD")</f>
        <v>47</v>
      </c>
      <c r="AA556" s="20" t="str">
        <f>_xlfn.XLOOKUP(Table4[[#This Row],[FromSite-UPS]],sites!D:D,sites!W:W,"",0)</f>
        <v>R. do Matadouro 4, Funchal, 9050-100, Portugal</v>
      </c>
      <c r="AB556" s="20" t="str">
        <f>_xlfn.XLOOKUP(Table4[[#This Row],[ToLab]],labs!D:D,labs!P:P,"no adres",0)</f>
        <v>Av. Rovisco Pais 1, Laboratorio de Analises de Agua, Lisbon, 1049-001, Portugal</v>
      </c>
      <c r="AC556" s="20">
        <f>_xlfn.XLOOKUP(Table4[[#This Row],[combi]],AREA!E:E,AREA!F:F,"",0)</f>
        <v>89</v>
      </c>
      <c r="AD556" s="20" t="str">
        <f>_xlfn.XLOOKUP(Table4[[#This Row],[combi]],AREA!E:E,AREA!G:G,"",0)</f>
        <v>Pick-up service of hypothetic package as defined in the Tech. Specs. and delivery to lots
2 and 3 contractors according to Scenario 1</v>
      </c>
      <c r="AE556" s="20" t="s">
        <v>126</v>
      </c>
      <c r="AF556" s="20" t="str">
        <f>_xlfn.XLOOKUP(Table4[[#This Row],[FromSite-UPS]],sites!D:D,sites!AB:AB,"",0)&amp;_xlfn.XLOOKUP(Table4[[#This Row],[ToLab]],labs!D:D,labs!Q:Q,"",0)</f>
        <v>EUEU</v>
      </c>
    </row>
    <row r="557" spans="2:32" ht="15.6" hidden="1" customHeight="1" x14ac:dyDescent="0.25">
      <c r="B557" s="13">
        <v>380</v>
      </c>
      <c r="C557" s="14" t="s">
        <v>53</v>
      </c>
      <c r="D557" s="13">
        <v>1</v>
      </c>
      <c r="E557" s="79">
        <v>45994</v>
      </c>
      <c r="F557" s="80">
        <v>45995</v>
      </c>
      <c r="G557" s="20">
        <f>IFERROR(WEEKNUM(Table4[[#This Row],[Confirmed Pick-up Date]]),"TBD")</f>
        <v>49</v>
      </c>
      <c r="H557" s="20" t="str">
        <f>IFERROR(TEXT(Table4[[#This Row],[Confirmed Pick-up Date]],"yy-mm"),"TBD")</f>
        <v>25-12</v>
      </c>
      <c r="I557" s="78" t="s">
        <v>1628</v>
      </c>
      <c r="J557" s="20" t="str">
        <f>IFERROR(VLOOKUP(Table4[[#This Row],[FromSite-UPS]],Table1[[#All],[Company or Name]:[FromSite3]],15,FALSE),"")</f>
        <v>Funchal WWTP</v>
      </c>
      <c r="K557" s="20" t="str">
        <f>IFERROR(VLOOKUP(Table4[[#This Row],[FromSite-UPS]],Table1[[#All],[Company or Name]:[FromSite3]],16,FALSE),"")</f>
        <v>Madeira, 10 locations</v>
      </c>
      <c r="L557" s="20">
        <f>IFERROR(VLOOKUP(Table4[[#This Row],[FromSite-UPS]],Table1[[#All],[Company or Name]:[FromSite3]],14,FALSE),"")</f>
        <v>0.70833333333333337</v>
      </c>
      <c r="M557" s="13" t="s">
        <v>1011</v>
      </c>
      <c r="N557" s="20"/>
      <c r="O557" s="20"/>
      <c r="P557" s="20"/>
      <c r="Q557" s="20"/>
      <c r="R557" s="20"/>
      <c r="S557" s="20" t="s">
        <v>126</v>
      </c>
      <c r="T557" s="20"/>
      <c r="U557" s="20"/>
      <c r="V557" s="20"/>
      <c r="W557" s="20" t="str">
        <f>TEXT(Table4[[#This Row],[Confirmed Sampling Date]], "yyyy") &amp; "_" &amp; TEXT(Table4[[#This Row],[Confirmed Sampling Date]], "mm") &amp; "_" &amp; TEXT(Table4[[#This Row],[Confirmed Sampling Date]], "dd")</f>
        <v>2025_12_03</v>
      </c>
      <c r="X557" s="20" t="str">
        <f t="shared" si="8"/>
        <v>Funchal</v>
      </c>
      <c r="Y557" s="20" t="str">
        <f>VLOOKUP(Table4[[#This Row],[FromSite-UPS]],Table1[[Company or Name]:[NOTES]],2,FALSE)</f>
        <v>Portugal</v>
      </c>
      <c r="Z557" s="20">
        <f>IFERROR(WEEKNUM(Table4[[#This Row],[Confirmed Sampling Date]] - 10, 21), "TBD")</f>
        <v>47</v>
      </c>
      <c r="AA557" s="20" t="str">
        <f>_xlfn.XLOOKUP(Table4[[#This Row],[FromSite-UPS]],sites!D:D,sites!W:W,"",0)</f>
        <v>R. do Matadouro 4, Funchal, 9050-100, Portugal</v>
      </c>
      <c r="AB557" s="20" t="str">
        <f>_xlfn.XLOOKUP(Table4[[#This Row],[ToLab]],labs!D:D,labs!P:P,"no adres",0)</f>
        <v>Av. Rovisco Pais 1, Laboratorio de Analises de Agua, Lisbon, 1049-001, Portugal</v>
      </c>
      <c r="AC557" s="20">
        <f>_xlfn.XLOOKUP(Table4[[#This Row],[combi]],AREA!E:E,AREA!F:F,"",0)</f>
        <v>89</v>
      </c>
      <c r="AD557" s="20" t="str">
        <f>_xlfn.XLOOKUP(Table4[[#This Row],[combi]],AREA!E:E,AREA!G:G,"",0)</f>
        <v>Pick-up service of hypothetic package as defined in the Tech. Specs. and delivery to lots
2 and 3 contractors according to Scenario 1</v>
      </c>
      <c r="AE557" s="20" t="s">
        <v>126</v>
      </c>
      <c r="AF557" s="20" t="str">
        <f>_xlfn.XLOOKUP(Table4[[#This Row],[FromSite-UPS]],sites!D:D,sites!AB:AB,"",0)&amp;_xlfn.XLOOKUP(Table4[[#This Row],[ToLab]],labs!D:D,labs!Q:Q,"",0)</f>
        <v>EUEU</v>
      </c>
    </row>
    <row r="558" spans="2:32" ht="15.6" hidden="1" customHeight="1" x14ac:dyDescent="0.25">
      <c r="B558" s="13">
        <v>390</v>
      </c>
      <c r="C558" s="14" t="s">
        <v>53</v>
      </c>
      <c r="D558" s="13">
        <v>1</v>
      </c>
      <c r="E558" s="79">
        <v>45994</v>
      </c>
      <c r="F558" s="80">
        <v>45995</v>
      </c>
      <c r="G558" s="20">
        <f>IFERROR(WEEKNUM(Table4[[#This Row],[Confirmed Pick-up Date]]),"TBD")</f>
        <v>49</v>
      </c>
      <c r="H558" s="20" t="str">
        <f>IFERROR(TEXT(Table4[[#This Row],[Confirmed Pick-up Date]],"yy-mm"),"TBD")</f>
        <v>25-12</v>
      </c>
      <c r="I558" s="78" t="s">
        <v>1628</v>
      </c>
      <c r="J558" s="20" t="str">
        <f>IFERROR(VLOOKUP(Table4[[#This Row],[FromSite-UPS]],Table1[[#All],[Company or Name]:[FromSite3]],15,FALSE),"")</f>
        <v>Funchal WWTP</v>
      </c>
      <c r="K558" s="20" t="str">
        <f>IFERROR(VLOOKUP(Table4[[#This Row],[FromSite-UPS]],Table1[[#All],[Company or Name]:[FromSite3]],16,FALSE),"")</f>
        <v>Madeira, 10 locations</v>
      </c>
      <c r="L558" s="20">
        <f>IFERROR(VLOOKUP(Table4[[#This Row],[FromSite-UPS]],Table1[[#All],[Company or Name]:[FromSite3]],14,FALSE),"")</f>
        <v>0.70833333333333337</v>
      </c>
      <c r="M558" s="13" t="s">
        <v>1011</v>
      </c>
      <c r="N558" s="20"/>
      <c r="O558" s="20"/>
      <c r="P558" s="20"/>
      <c r="Q558" s="20"/>
      <c r="R558" s="20"/>
      <c r="S558" s="20" t="s">
        <v>126</v>
      </c>
      <c r="T558" s="20"/>
      <c r="U558" s="20"/>
      <c r="V558" s="20"/>
      <c r="W558" s="20" t="str">
        <f>TEXT(Table4[[#This Row],[Confirmed Sampling Date]], "yyyy") &amp; "_" &amp; TEXT(Table4[[#This Row],[Confirmed Sampling Date]], "mm") &amp; "_" &amp; TEXT(Table4[[#This Row],[Confirmed Sampling Date]], "dd")</f>
        <v>2025_12_03</v>
      </c>
      <c r="X558" s="20" t="str">
        <f t="shared" si="8"/>
        <v>Funchal</v>
      </c>
      <c r="Y558" s="20" t="str">
        <f>VLOOKUP(Table4[[#This Row],[FromSite-UPS]],Table1[[Company or Name]:[NOTES]],2,FALSE)</f>
        <v>Portugal</v>
      </c>
      <c r="Z558" s="20">
        <f>IFERROR(WEEKNUM(Table4[[#This Row],[Confirmed Sampling Date]] - 10, 21), "TBD")</f>
        <v>47</v>
      </c>
      <c r="AA558" s="20" t="str">
        <f>_xlfn.XLOOKUP(Table4[[#This Row],[FromSite-UPS]],sites!D:D,sites!W:W,"",0)</f>
        <v>R. do Matadouro 4, Funchal, 9050-100, Portugal</v>
      </c>
      <c r="AB558" s="20" t="str">
        <f>_xlfn.XLOOKUP(Table4[[#This Row],[ToLab]],labs!D:D,labs!P:P,"no adres",0)</f>
        <v>Av. Rovisco Pais 1, Laboratorio de Analises de Agua, Lisbon, 1049-001, Portugal</v>
      </c>
      <c r="AC558" s="20">
        <f>_xlfn.XLOOKUP(Table4[[#This Row],[combi]],AREA!E:E,AREA!F:F,"",0)</f>
        <v>89</v>
      </c>
      <c r="AD558" s="20" t="str">
        <f>_xlfn.XLOOKUP(Table4[[#This Row],[combi]],AREA!E:E,AREA!G:G,"",0)</f>
        <v>Pick-up service of hypothetic package as defined in the Tech. Specs. and delivery to lots
2 and 3 contractors according to Scenario 1</v>
      </c>
      <c r="AE558" s="20" t="s">
        <v>126</v>
      </c>
      <c r="AF558" s="20" t="str">
        <f>_xlfn.XLOOKUP(Table4[[#This Row],[FromSite-UPS]],sites!D:D,sites!AB:AB,"",0)&amp;_xlfn.XLOOKUP(Table4[[#This Row],[ToLab]],labs!D:D,labs!Q:Q,"",0)</f>
        <v>EUEU</v>
      </c>
    </row>
    <row r="559" spans="2:32" ht="15.6" hidden="1" customHeight="1" x14ac:dyDescent="0.25">
      <c r="B559" s="13">
        <v>400</v>
      </c>
      <c r="C559" s="14" t="s">
        <v>53</v>
      </c>
      <c r="D559" s="13">
        <v>1</v>
      </c>
      <c r="E559" s="79">
        <v>45994</v>
      </c>
      <c r="F559" s="81">
        <v>45995</v>
      </c>
      <c r="G559" s="20">
        <f>IFERROR(WEEKNUM(Table4[[#This Row],[Confirmed Pick-up Date]]),"TBD")</f>
        <v>49</v>
      </c>
      <c r="H559" s="20" t="str">
        <f>IFERROR(TEXT(Table4[[#This Row],[Confirmed Pick-up Date]],"yy-mm"),"TBD")</f>
        <v>25-12</v>
      </c>
      <c r="I559" s="78" t="s">
        <v>1628</v>
      </c>
      <c r="J559" s="20" t="str">
        <f>IFERROR(VLOOKUP(Table4[[#This Row],[FromSite-UPS]],Table1[[#All],[Company or Name]:[FromSite3]],15,FALSE),"")</f>
        <v>Funchal WWTP</v>
      </c>
      <c r="K559" s="20" t="str">
        <f>IFERROR(VLOOKUP(Table4[[#This Row],[FromSite-UPS]],Table1[[#All],[Company or Name]:[FromSite3]],16,FALSE),"")</f>
        <v>Madeira, 10 locations</v>
      </c>
      <c r="L559" s="20">
        <f>IFERROR(VLOOKUP(Table4[[#This Row],[FromSite-UPS]],Table1[[#All],[Company or Name]:[FromSite3]],14,FALSE),"")</f>
        <v>0.70833333333333337</v>
      </c>
      <c r="M559" s="13" t="s">
        <v>1011</v>
      </c>
      <c r="N559" s="20"/>
      <c r="O559" s="20"/>
      <c r="P559" s="20"/>
      <c r="Q559" s="20"/>
      <c r="R559" s="20"/>
      <c r="S559" s="20" t="s">
        <v>126</v>
      </c>
      <c r="T559" s="20"/>
      <c r="U559" s="20"/>
      <c r="V559" s="20"/>
      <c r="W559" s="20" t="str">
        <f>TEXT(Table4[[#This Row],[Confirmed Sampling Date]], "yyyy") &amp; "_" &amp; TEXT(Table4[[#This Row],[Confirmed Sampling Date]], "mm") &amp; "_" &amp; TEXT(Table4[[#This Row],[Confirmed Sampling Date]], "dd")</f>
        <v>2025_12_03</v>
      </c>
      <c r="X559" s="20" t="str">
        <f t="shared" si="8"/>
        <v>Funchal</v>
      </c>
      <c r="Y559" s="20" t="str">
        <f>VLOOKUP(Table4[[#This Row],[FromSite-UPS]],Table1[[Company or Name]:[NOTES]],2,FALSE)</f>
        <v>Portugal</v>
      </c>
      <c r="Z559" s="20">
        <f>IFERROR(WEEKNUM(Table4[[#This Row],[Confirmed Sampling Date]] - 10, 21), "TBD")</f>
        <v>47</v>
      </c>
      <c r="AA559" s="20" t="str">
        <f>_xlfn.XLOOKUP(Table4[[#This Row],[FromSite-UPS]],sites!D:D,sites!W:W,"",0)</f>
        <v>R. do Matadouro 4, Funchal, 9050-100, Portugal</v>
      </c>
      <c r="AB559" s="20" t="str">
        <f>_xlfn.XLOOKUP(Table4[[#This Row],[ToLab]],labs!D:D,labs!P:P,"no adres",0)</f>
        <v>Av. Rovisco Pais 1, Laboratorio de Analises de Agua, Lisbon, 1049-001, Portugal</v>
      </c>
      <c r="AC559" s="20">
        <f>_xlfn.XLOOKUP(Table4[[#This Row],[combi]],AREA!E:E,AREA!F:F,"",0)</f>
        <v>89</v>
      </c>
      <c r="AD559" s="20" t="str">
        <f>_xlfn.XLOOKUP(Table4[[#This Row],[combi]],AREA!E:E,AREA!G:G,"",0)</f>
        <v>Pick-up service of hypothetic package as defined in the Tech. Specs. and delivery to lots
2 and 3 contractors according to Scenario 1</v>
      </c>
      <c r="AE559" s="20" t="s">
        <v>126</v>
      </c>
      <c r="AF559" s="20" t="str">
        <f>_xlfn.XLOOKUP(Table4[[#This Row],[FromSite-UPS]],sites!D:D,sites!AB:AB,"",0)&amp;_xlfn.XLOOKUP(Table4[[#This Row],[ToLab]],labs!D:D,labs!Q:Q,"",0)</f>
        <v>EUEU</v>
      </c>
    </row>
    <row r="560" spans="2:32" ht="15.6" hidden="1" customHeight="1" x14ac:dyDescent="0.25">
      <c r="B560" s="13">
        <v>410</v>
      </c>
      <c r="C560" s="14" t="s">
        <v>53</v>
      </c>
      <c r="D560" s="13">
        <v>1</v>
      </c>
      <c r="E560" s="79">
        <v>45994</v>
      </c>
      <c r="F560" s="80">
        <v>45995</v>
      </c>
      <c r="G560" s="20">
        <f>IFERROR(WEEKNUM(Table4[[#This Row],[Confirmed Pick-up Date]]),"TBD")</f>
        <v>49</v>
      </c>
      <c r="H560" s="20" t="str">
        <f>IFERROR(TEXT(Table4[[#This Row],[Confirmed Pick-up Date]],"yy-mm"),"TBD")</f>
        <v>25-12</v>
      </c>
      <c r="I560" s="78" t="s">
        <v>1628</v>
      </c>
      <c r="J560" s="20" t="str">
        <f>IFERROR(VLOOKUP(Table4[[#This Row],[FromSite-UPS]],Table1[[#All],[Company or Name]:[FromSite3]],15,FALSE),"")</f>
        <v>Funchal WWTP</v>
      </c>
      <c r="K560" s="20" t="str">
        <f>IFERROR(VLOOKUP(Table4[[#This Row],[FromSite-UPS]],Table1[[#All],[Company or Name]:[FromSite3]],16,FALSE),"")</f>
        <v>Madeira, 10 locations</v>
      </c>
      <c r="L560" s="20">
        <f>IFERROR(VLOOKUP(Table4[[#This Row],[FromSite-UPS]],Table1[[#All],[Company or Name]:[FromSite3]],14,FALSE),"")</f>
        <v>0.70833333333333337</v>
      </c>
      <c r="M560" s="13" t="s">
        <v>1011</v>
      </c>
      <c r="N560" s="20"/>
      <c r="O560" s="20"/>
      <c r="P560" s="20"/>
      <c r="Q560" s="20"/>
      <c r="R560" s="20"/>
      <c r="S560" s="20" t="s">
        <v>126</v>
      </c>
      <c r="T560" s="20"/>
      <c r="U560" s="20"/>
      <c r="V560" s="20"/>
      <c r="W560" s="20" t="str">
        <f>TEXT(Table4[[#This Row],[Confirmed Sampling Date]], "yyyy") &amp; "_" &amp; TEXT(Table4[[#This Row],[Confirmed Sampling Date]], "mm") &amp; "_" &amp; TEXT(Table4[[#This Row],[Confirmed Sampling Date]], "dd")</f>
        <v>2025_12_03</v>
      </c>
      <c r="X560" s="20" t="str">
        <f t="shared" si="8"/>
        <v>Funchal</v>
      </c>
      <c r="Y560" s="20" t="str">
        <f>VLOOKUP(Table4[[#This Row],[FromSite-UPS]],Table1[[Company or Name]:[NOTES]],2,FALSE)</f>
        <v>Portugal</v>
      </c>
      <c r="Z560" s="20">
        <f>IFERROR(WEEKNUM(Table4[[#This Row],[Confirmed Sampling Date]] - 10, 21), "TBD")</f>
        <v>47</v>
      </c>
      <c r="AA560" s="20" t="str">
        <f>_xlfn.XLOOKUP(Table4[[#This Row],[FromSite-UPS]],sites!D:D,sites!W:W,"",0)</f>
        <v>R. do Matadouro 4, Funchal, 9050-100, Portugal</v>
      </c>
      <c r="AB560" s="20" t="str">
        <f>_xlfn.XLOOKUP(Table4[[#This Row],[ToLab]],labs!D:D,labs!P:P,"no adres",0)</f>
        <v>Av. Rovisco Pais 1, Laboratorio de Analises de Agua, Lisbon, 1049-001, Portugal</v>
      </c>
      <c r="AC560" s="20">
        <f>_xlfn.XLOOKUP(Table4[[#This Row],[combi]],AREA!E:E,AREA!F:F,"",0)</f>
        <v>89</v>
      </c>
      <c r="AD560" s="20" t="str">
        <f>_xlfn.XLOOKUP(Table4[[#This Row],[combi]],AREA!E:E,AREA!G:G,"",0)</f>
        <v>Pick-up service of hypothetic package as defined in the Tech. Specs. and delivery to lots
2 and 3 contractors according to Scenario 1</v>
      </c>
      <c r="AE560" s="20" t="s">
        <v>126</v>
      </c>
      <c r="AF560" s="20" t="str">
        <f>_xlfn.XLOOKUP(Table4[[#This Row],[FromSite-UPS]],sites!D:D,sites!AB:AB,"",0)&amp;_xlfn.XLOOKUP(Table4[[#This Row],[ToLab]],labs!D:D,labs!Q:Q,"",0)</f>
        <v>EUEU</v>
      </c>
    </row>
    <row r="561" spans="2:32" ht="15.6" hidden="1" customHeight="1" x14ac:dyDescent="0.25">
      <c r="B561" s="13">
        <v>420</v>
      </c>
      <c r="C561" s="14" t="s">
        <v>53</v>
      </c>
      <c r="D561" s="13">
        <v>1</v>
      </c>
      <c r="E561" s="79">
        <v>45994</v>
      </c>
      <c r="F561" s="80">
        <v>45995</v>
      </c>
      <c r="G561" s="20">
        <f>IFERROR(WEEKNUM(Table4[[#This Row],[Confirmed Pick-up Date]]),"TBD")</f>
        <v>49</v>
      </c>
      <c r="H561" s="20" t="str">
        <f>IFERROR(TEXT(Table4[[#This Row],[Confirmed Pick-up Date]],"yy-mm"),"TBD")</f>
        <v>25-12</v>
      </c>
      <c r="I561" s="78" t="s">
        <v>1628</v>
      </c>
      <c r="J561" s="20" t="str">
        <f>IFERROR(VLOOKUP(Table4[[#This Row],[FromSite-UPS]],Table1[[#All],[Company or Name]:[FromSite3]],15,FALSE),"")</f>
        <v>Funchal WWTP</v>
      </c>
      <c r="K561" s="20" t="str">
        <f>IFERROR(VLOOKUP(Table4[[#This Row],[FromSite-UPS]],Table1[[#All],[Company or Name]:[FromSite3]],16,FALSE),"")</f>
        <v>Madeira, 10 locations</v>
      </c>
      <c r="L561" s="20">
        <f>IFERROR(VLOOKUP(Table4[[#This Row],[FromSite-UPS]],Table1[[#All],[Company or Name]:[FromSite3]],14,FALSE),"")</f>
        <v>0.70833333333333337</v>
      </c>
      <c r="M561" s="13" t="s">
        <v>1011</v>
      </c>
      <c r="N561" s="20"/>
      <c r="O561" s="20"/>
      <c r="P561" s="20"/>
      <c r="Q561" s="20"/>
      <c r="R561" s="20"/>
      <c r="S561" s="20" t="s">
        <v>126</v>
      </c>
      <c r="T561" s="20"/>
      <c r="U561" s="20"/>
      <c r="V561" s="20"/>
      <c r="W561" s="20" t="str">
        <f>TEXT(Table4[[#This Row],[Confirmed Sampling Date]], "yyyy") &amp; "_" &amp; TEXT(Table4[[#This Row],[Confirmed Sampling Date]], "mm") &amp; "_" &amp; TEXT(Table4[[#This Row],[Confirmed Sampling Date]], "dd")</f>
        <v>2025_12_03</v>
      </c>
      <c r="X561" s="20" t="str">
        <f t="shared" si="8"/>
        <v>Funchal</v>
      </c>
      <c r="Y561" s="20" t="str">
        <f>VLOOKUP(Table4[[#This Row],[FromSite-UPS]],Table1[[Company or Name]:[NOTES]],2,FALSE)</f>
        <v>Portugal</v>
      </c>
      <c r="Z561" s="20">
        <f>IFERROR(WEEKNUM(Table4[[#This Row],[Confirmed Sampling Date]] - 10, 21), "TBD")</f>
        <v>47</v>
      </c>
      <c r="AA561" s="20" t="str">
        <f>_xlfn.XLOOKUP(Table4[[#This Row],[FromSite-UPS]],sites!D:D,sites!W:W,"",0)</f>
        <v>R. do Matadouro 4, Funchal, 9050-100, Portugal</v>
      </c>
      <c r="AB561" s="20" t="str">
        <f>_xlfn.XLOOKUP(Table4[[#This Row],[ToLab]],labs!D:D,labs!P:P,"no adres",0)</f>
        <v>Av. Rovisco Pais 1, Laboratorio de Analises de Agua, Lisbon, 1049-001, Portugal</v>
      </c>
      <c r="AC561" s="20">
        <f>_xlfn.XLOOKUP(Table4[[#This Row],[combi]],AREA!E:E,AREA!F:F,"",0)</f>
        <v>89</v>
      </c>
      <c r="AD561" s="20" t="str">
        <f>_xlfn.XLOOKUP(Table4[[#This Row],[combi]],AREA!E:E,AREA!G:G,"",0)</f>
        <v>Pick-up service of hypothetic package as defined in the Tech. Specs. and delivery to lots
2 and 3 contractors according to Scenario 1</v>
      </c>
      <c r="AE561" s="20" t="s">
        <v>126</v>
      </c>
      <c r="AF561" s="20" t="str">
        <f>_xlfn.XLOOKUP(Table4[[#This Row],[FromSite-UPS]],sites!D:D,sites!AB:AB,"",0)&amp;_xlfn.XLOOKUP(Table4[[#This Row],[ToLab]],labs!D:D,labs!Q:Q,"",0)</f>
        <v>EUEU</v>
      </c>
    </row>
    <row r="562" spans="2:32" ht="15.6" hidden="1" customHeight="1" x14ac:dyDescent="0.25">
      <c r="B562" s="13">
        <v>430</v>
      </c>
      <c r="C562" s="14" t="s">
        <v>53</v>
      </c>
      <c r="D562" s="13">
        <v>1</v>
      </c>
      <c r="E562" s="79">
        <v>45994</v>
      </c>
      <c r="F562" s="80">
        <v>45995</v>
      </c>
      <c r="G562" s="20">
        <f>IFERROR(WEEKNUM(Table4[[#This Row],[Confirmed Pick-up Date]]),"TBD")</f>
        <v>49</v>
      </c>
      <c r="H562" s="20" t="str">
        <f>IFERROR(TEXT(Table4[[#This Row],[Confirmed Pick-up Date]],"yy-mm"),"TBD")</f>
        <v>25-12</v>
      </c>
      <c r="I562" s="78" t="s">
        <v>1628</v>
      </c>
      <c r="J562" s="20" t="str">
        <f>IFERROR(VLOOKUP(Table4[[#This Row],[FromSite-UPS]],Table1[[#All],[Company or Name]:[FromSite3]],15,FALSE),"")</f>
        <v>Funchal WWTP</v>
      </c>
      <c r="K562" s="20" t="str">
        <f>IFERROR(VLOOKUP(Table4[[#This Row],[FromSite-UPS]],Table1[[#All],[Company or Name]:[FromSite3]],16,FALSE),"")</f>
        <v>Madeira, 10 locations</v>
      </c>
      <c r="L562" s="20">
        <f>IFERROR(VLOOKUP(Table4[[#This Row],[FromSite-UPS]],Table1[[#All],[Company or Name]:[FromSite3]],14,FALSE),"")</f>
        <v>0.70833333333333337</v>
      </c>
      <c r="M562" s="13" t="s">
        <v>1011</v>
      </c>
      <c r="N562" s="20"/>
      <c r="O562" s="20"/>
      <c r="P562" s="20"/>
      <c r="Q562" s="20"/>
      <c r="R562" s="20"/>
      <c r="S562" s="20" t="s">
        <v>126</v>
      </c>
      <c r="T562" s="20"/>
      <c r="U562" s="20"/>
      <c r="V562" s="20"/>
      <c r="W562" s="20" t="str">
        <f>TEXT(Table4[[#This Row],[Confirmed Sampling Date]], "yyyy") &amp; "_" &amp; TEXT(Table4[[#This Row],[Confirmed Sampling Date]], "mm") &amp; "_" &amp; TEXT(Table4[[#This Row],[Confirmed Sampling Date]], "dd")</f>
        <v>2025_12_03</v>
      </c>
      <c r="X562" s="20" t="str">
        <f t="shared" si="8"/>
        <v>Funchal</v>
      </c>
      <c r="Y562" s="20" t="str">
        <f>VLOOKUP(Table4[[#This Row],[FromSite-UPS]],Table1[[Company or Name]:[NOTES]],2,FALSE)</f>
        <v>Portugal</v>
      </c>
      <c r="Z562" s="20">
        <f>IFERROR(WEEKNUM(Table4[[#This Row],[Confirmed Sampling Date]] - 10, 21), "TBD")</f>
        <v>47</v>
      </c>
      <c r="AA562" s="20" t="str">
        <f>_xlfn.XLOOKUP(Table4[[#This Row],[FromSite-UPS]],sites!D:D,sites!W:W,"",0)</f>
        <v>R. do Matadouro 4, Funchal, 9050-100, Portugal</v>
      </c>
      <c r="AB562" s="20" t="str">
        <f>_xlfn.XLOOKUP(Table4[[#This Row],[ToLab]],labs!D:D,labs!P:P,"no adres",0)</f>
        <v>Av. Rovisco Pais 1, Laboratorio de Analises de Agua, Lisbon, 1049-001, Portugal</v>
      </c>
      <c r="AC562" s="20">
        <f>_xlfn.XLOOKUP(Table4[[#This Row],[combi]],AREA!E:E,AREA!F:F,"",0)</f>
        <v>89</v>
      </c>
      <c r="AD562" s="20" t="str">
        <f>_xlfn.XLOOKUP(Table4[[#This Row],[combi]],AREA!E:E,AREA!G:G,"",0)</f>
        <v>Pick-up service of hypothetic package as defined in the Tech. Specs. and delivery to lots
2 and 3 contractors according to Scenario 1</v>
      </c>
      <c r="AE562" s="20" t="s">
        <v>126</v>
      </c>
      <c r="AF562" s="20" t="str">
        <f>_xlfn.XLOOKUP(Table4[[#This Row],[FromSite-UPS]],sites!D:D,sites!AB:AB,"",0)&amp;_xlfn.XLOOKUP(Table4[[#This Row],[ToLab]],labs!D:D,labs!Q:Q,"",0)</f>
        <v>EUEU</v>
      </c>
    </row>
    <row r="563" spans="2:32" ht="15.6" hidden="1" customHeight="1" x14ac:dyDescent="0.25">
      <c r="B563" s="13">
        <v>440</v>
      </c>
      <c r="C563" s="14" t="s">
        <v>53</v>
      </c>
      <c r="D563" s="13">
        <v>1</v>
      </c>
      <c r="E563" s="79">
        <v>45994</v>
      </c>
      <c r="F563" s="80">
        <v>45995</v>
      </c>
      <c r="G563" s="20">
        <f>IFERROR(WEEKNUM(Table4[[#This Row],[Confirmed Pick-up Date]]),"TBD")</f>
        <v>49</v>
      </c>
      <c r="H563" s="20" t="str">
        <f>IFERROR(TEXT(Table4[[#This Row],[Confirmed Pick-up Date]],"yy-mm"),"TBD")</f>
        <v>25-12</v>
      </c>
      <c r="I563" s="78" t="s">
        <v>1628</v>
      </c>
      <c r="J563" s="20" t="str">
        <f>IFERROR(VLOOKUP(Table4[[#This Row],[FromSite-UPS]],Table1[[#All],[Company or Name]:[FromSite3]],15,FALSE),"")</f>
        <v>Funchal WWTP</v>
      </c>
      <c r="K563" s="20" t="str">
        <f>IFERROR(VLOOKUP(Table4[[#This Row],[FromSite-UPS]],Table1[[#All],[Company or Name]:[FromSite3]],16,FALSE),"")</f>
        <v>Madeira, 10 locations</v>
      </c>
      <c r="L563" s="20">
        <f>IFERROR(VLOOKUP(Table4[[#This Row],[FromSite-UPS]],Table1[[#All],[Company or Name]:[FromSite3]],14,FALSE),"")</f>
        <v>0.70833333333333337</v>
      </c>
      <c r="M563" s="13" t="s">
        <v>1011</v>
      </c>
      <c r="N563" s="20"/>
      <c r="O563" s="20"/>
      <c r="P563" s="20"/>
      <c r="Q563" s="20"/>
      <c r="R563" s="20"/>
      <c r="S563" s="20" t="s">
        <v>126</v>
      </c>
      <c r="T563" s="20"/>
      <c r="U563" s="20"/>
      <c r="V563" s="20"/>
      <c r="W563" s="20" t="str">
        <f>TEXT(Table4[[#This Row],[Confirmed Sampling Date]], "yyyy") &amp; "_" &amp; TEXT(Table4[[#This Row],[Confirmed Sampling Date]], "mm") &amp; "_" &amp; TEXT(Table4[[#This Row],[Confirmed Sampling Date]], "dd")</f>
        <v>2025_12_03</v>
      </c>
      <c r="X563" s="20" t="str">
        <f t="shared" si="8"/>
        <v>Funchal</v>
      </c>
      <c r="Y563" s="20" t="str">
        <f>VLOOKUP(Table4[[#This Row],[FromSite-UPS]],Table1[[Company or Name]:[NOTES]],2,FALSE)</f>
        <v>Portugal</v>
      </c>
      <c r="Z563" s="20">
        <f>IFERROR(WEEKNUM(Table4[[#This Row],[Confirmed Sampling Date]] - 10, 21), "TBD")</f>
        <v>47</v>
      </c>
      <c r="AA563" s="20" t="str">
        <f>_xlfn.XLOOKUP(Table4[[#This Row],[FromSite-UPS]],sites!D:D,sites!W:W,"",0)</f>
        <v>R. do Matadouro 4, Funchal, 9050-100, Portugal</v>
      </c>
      <c r="AB563" s="20" t="str">
        <f>_xlfn.XLOOKUP(Table4[[#This Row],[ToLab]],labs!D:D,labs!P:P,"no adres",0)</f>
        <v>Av. Rovisco Pais 1, Laboratorio de Analises de Agua, Lisbon, 1049-001, Portugal</v>
      </c>
      <c r="AC563" s="20">
        <f>_xlfn.XLOOKUP(Table4[[#This Row],[combi]],AREA!E:E,AREA!F:F,"",0)</f>
        <v>89</v>
      </c>
      <c r="AD563" s="20" t="str">
        <f>_xlfn.XLOOKUP(Table4[[#This Row],[combi]],AREA!E:E,AREA!G:G,"",0)</f>
        <v>Pick-up service of hypothetic package as defined in the Tech. Specs. and delivery to lots
2 and 3 contractors according to Scenario 1</v>
      </c>
      <c r="AE563" s="20" t="s">
        <v>126</v>
      </c>
      <c r="AF563" s="20" t="str">
        <f>_xlfn.XLOOKUP(Table4[[#This Row],[FromSite-UPS]],sites!D:D,sites!AB:AB,"",0)&amp;_xlfn.XLOOKUP(Table4[[#This Row],[ToLab]],labs!D:D,labs!Q:Q,"",0)</f>
        <v>EUEU</v>
      </c>
    </row>
    <row r="564" spans="2:32" ht="15.6" hidden="1" customHeight="1" x14ac:dyDescent="0.25">
      <c r="B564" s="13">
        <v>450</v>
      </c>
      <c r="C564" s="14" t="s">
        <v>53</v>
      </c>
      <c r="D564" s="13">
        <v>1</v>
      </c>
      <c r="E564" s="79">
        <v>45994</v>
      </c>
      <c r="F564" s="80">
        <v>45995</v>
      </c>
      <c r="G564" s="20">
        <f>IFERROR(WEEKNUM(Table4[[#This Row],[Confirmed Pick-up Date]]),"TBD")</f>
        <v>49</v>
      </c>
      <c r="H564" s="20" t="str">
        <f>IFERROR(TEXT(Table4[[#This Row],[Confirmed Pick-up Date]],"yy-mm"),"TBD")</f>
        <v>25-12</v>
      </c>
      <c r="I564" s="78" t="s">
        <v>1628</v>
      </c>
      <c r="J564" s="20" t="str">
        <f>IFERROR(VLOOKUP(Table4[[#This Row],[FromSite-UPS]],Table1[[#All],[Company or Name]:[FromSite3]],15,FALSE),"")</f>
        <v>Funchal WWTP</v>
      </c>
      <c r="K564" s="20" t="str">
        <f>IFERROR(VLOOKUP(Table4[[#This Row],[FromSite-UPS]],Table1[[#All],[Company or Name]:[FromSite3]],16,FALSE),"")</f>
        <v>Madeira, 10 locations</v>
      </c>
      <c r="L564" s="20">
        <f>IFERROR(VLOOKUP(Table4[[#This Row],[FromSite-UPS]],Table1[[#All],[Company or Name]:[FromSite3]],14,FALSE),"")</f>
        <v>0.70833333333333337</v>
      </c>
      <c r="M564" s="13" t="s">
        <v>1011</v>
      </c>
      <c r="N564" s="20"/>
      <c r="O564" s="20"/>
      <c r="P564" s="20"/>
      <c r="Q564" s="20"/>
      <c r="R564" s="20"/>
      <c r="S564" s="20" t="s">
        <v>126</v>
      </c>
      <c r="T564" s="20"/>
      <c r="U564" s="20"/>
      <c r="V564" s="20"/>
      <c r="W564" s="20" t="str">
        <f>TEXT(Table4[[#This Row],[Confirmed Sampling Date]], "yyyy") &amp; "_" &amp; TEXT(Table4[[#This Row],[Confirmed Sampling Date]], "mm") &amp; "_" &amp; TEXT(Table4[[#This Row],[Confirmed Sampling Date]], "dd")</f>
        <v>2025_12_03</v>
      </c>
      <c r="X564" s="20" t="str">
        <f t="shared" si="8"/>
        <v>Funchal</v>
      </c>
      <c r="Y564" s="20" t="str">
        <f>VLOOKUP(Table4[[#This Row],[FromSite-UPS]],Table1[[Company or Name]:[NOTES]],2,FALSE)</f>
        <v>Portugal</v>
      </c>
      <c r="Z564" s="20">
        <f>IFERROR(WEEKNUM(Table4[[#This Row],[Confirmed Sampling Date]] - 10, 21), "TBD")</f>
        <v>47</v>
      </c>
      <c r="AA564" s="20" t="str">
        <f>_xlfn.XLOOKUP(Table4[[#This Row],[FromSite-UPS]],sites!D:D,sites!W:W,"",0)</f>
        <v>R. do Matadouro 4, Funchal, 9050-100, Portugal</v>
      </c>
      <c r="AB564" s="20" t="str">
        <f>_xlfn.XLOOKUP(Table4[[#This Row],[ToLab]],labs!D:D,labs!P:P,"no adres",0)</f>
        <v>Av. Rovisco Pais 1, Laboratorio de Analises de Agua, Lisbon, 1049-001, Portugal</v>
      </c>
      <c r="AC564" s="20">
        <f>_xlfn.XLOOKUP(Table4[[#This Row],[combi]],AREA!E:E,AREA!F:F,"",0)</f>
        <v>89</v>
      </c>
      <c r="AD564" s="20" t="str">
        <f>_xlfn.XLOOKUP(Table4[[#This Row],[combi]],AREA!E:E,AREA!G:G,"",0)</f>
        <v>Pick-up service of hypothetic package as defined in the Tech. Specs. and delivery to lots
2 and 3 contractors according to Scenario 1</v>
      </c>
      <c r="AE564" s="20" t="s">
        <v>126</v>
      </c>
      <c r="AF564" s="20" t="str">
        <f>_xlfn.XLOOKUP(Table4[[#This Row],[FromSite-UPS]],sites!D:D,sites!AB:AB,"",0)&amp;_xlfn.XLOOKUP(Table4[[#This Row],[ToLab]],labs!D:D,labs!Q:Q,"",0)</f>
        <v>EUEU</v>
      </c>
    </row>
    <row r="565" spans="2:32" ht="15.6" hidden="1" customHeight="1" x14ac:dyDescent="0.25">
      <c r="B565" s="13">
        <v>460</v>
      </c>
      <c r="C565" s="14" t="s">
        <v>53</v>
      </c>
      <c r="D565" s="13">
        <v>1</v>
      </c>
      <c r="E565" s="79">
        <v>45994</v>
      </c>
      <c r="F565" s="80">
        <v>45995</v>
      </c>
      <c r="G565" s="20">
        <f>IFERROR(WEEKNUM(Table4[[#This Row],[Confirmed Pick-up Date]]),"TBD")</f>
        <v>49</v>
      </c>
      <c r="H565" s="20" t="str">
        <f>IFERROR(TEXT(Table4[[#This Row],[Confirmed Pick-up Date]],"yy-mm"),"TBD")</f>
        <v>25-12</v>
      </c>
      <c r="I565" s="78" t="s">
        <v>1628</v>
      </c>
      <c r="J565" s="20" t="str">
        <f>IFERROR(VLOOKUP(Table4[[#This Row],[FromSite-UPS]],Table1[[#All],[Company or Name]:[FromSite3]],15,FALSE),"")</f>
        <v>Funchal WWTP</v>
      </c>
      <c r="K565" s="20" t="str">
        <f>IFERROR(VLOOKUP(Table4[[#This Row],[FromSite-UPS]],Table1[[#All],[Company or Name]:[FromSite3]],16,FALSE),"")</f>
        <v>Madeira, 10 locations</v>
      </c>
      <c r="L565" s="20">
        <f>IFERROR(VLOOKUP(Table4[[#This Row],[FromSite-UPS]],Table1[[#All],[Company or Name]:[FromSite3]],14,FALSE),"")</f>
        <v>0.70833333333333337</v>
      </c>
      <c r="M565" s="13" t="s">
        <v>1011</v>
      </c>
      <c r="N565" s="20"/>
      <c r="O565" s="20"/>
      <c r="P565" s="20"/>
      <c r="Q565" s="20"/>
      <c r="R565" s="20"/>
      <c r="S565" s="20" t="s">
        <v>126</v>
      </c>
      <c r="T565" s="20"/>
      <c r="U565" s="20"/>
      <c r="V565" s="20"/>
      <c r="W565" s="20" t="str">
        <f>TEXT(Table4[[#This Row],[Confirmed Sampling Date]], "yyyy") &amp; "_" &amp; TEXT(Table4[[#This Row],[Confirmed Sampling Date]], "mm") &amp; "_" &amp; TEXT(Table4[[#This Row],[Confirmed Sampling Date]], "dd")</f>
        <v>2025_12_03</v>
      </c>
      <c r="X565" s="20" t="str">
        <f t="shared" si="8"/>
        <v>Funchal</v>
      </c>
      <c r="Y565" s="20" t="str">
        <f>VLOOKUP(Table4[[#This Row],[FromSite-UPS]],Table1[[Company or Name]:[NOTES]],2,FALSE)</f>
        <v>Portugal</v>
      </c>
      <c r="Z565" s="20">
        <f>IFERROR(WEEKNUM(Table4[[#This Row],[Confirmed Sampling Date]] - 10, 21), "TBD")</f>
        <v>47</v>
      </c>
      <c r="AA565" s="20" t="str">
        <f>_xlfn.XLOOKUP(Table4[[#This Row],[FromSite-UPS]],sites!D:D,sites!W:W,"",0)</f>
        <v>R. do Matadouro 4, Funchal, 9050-100, Portugal</v>
      </c>
      <c r="AB565" s="20" t="str">
        <f>_xlfn.XLOOKUP(Table4[[#This Row],[ToLab]],labs!D:D,labs!P:P,"no adres",0)</f>
        <v>Av. Rovisco Pais 1, Laboratorio de Analises de Agua, Lisbon, 1049-001, Portugal</v>
      </c>
      <c r="AC565" s="20">
        <f>_xlfn.XLOOKUP(Table4[[#This Row],[combi]],AREA!E:E,AREA!F:F,"",0)</f>
        <v>89</v>
      </c>
      <c r="AD565" s="20" t="str">
        <f>_xlfn.XLOOKUP(Table4[[#This Row],[combi]],AREA!E:E,AREA!G:G,"",0)</f>
        <v>Pick-up service of hypothetic package as defined in the Tech. Specs. and delivery to lots
2 and 3 contractors according to Scenario 1</v>
      </c>
      <c r="AE565" s="20" t="s">
        <v>126</v>
      </c>
      <c r="AF565" s="20" t="str">
        <f>_xlfn.XLOOKUP(Table4[[#This Row],[FromSite-UPS]],sites!D:D,sites!AB:AB,"",0)&amp;_xlfn.XLOOKUP(Table4[[#This Row],[ToLab]],labs!D:D,labs!Q:Q,"",0)</f>
        <v>EUEU</v>
      </c>
    </row>
    <row r="566" spans="2:32" ht="15.6" hidden="1" customHeight="1" x14ac:dyDescent="0.25">
      <c r="B566" s="13">
        <v>470</v>
      </c>
      <c r="C566" s="14" t="s">
        <v>53</v>
      </c>
      <c r="D566" s="13">
        <v>1</v>
      </c>
      <c r="E566" s="79">
        <v>45994</v>
      </c>
      <c r="F566" s="80">
        <v>45995</v>
      </c>
      <c r="G566" s="20">
        <f>IFERROR(WEEKNUM(Table4[[#This Row],[Confirmed Pick-up Date]]),"TBD")</f>
        <v>49</v>
      </c>
      <c r="H566" s="20" t="str">
        <f>IFERROR(TEXT(Table4[[#This Row],[Confirmed Pick-up Date]],"yy-mm"),"TBD")</f>
        <v>25-12</v>
      </c>
      <c r="I566" s="78" t="s">
        <v>1628</v>
      </c>
      <c r="J566" s="20" t="str">
        <f>IFERROR(VLOOKUP(Table4[[#This Row],[FromSite-UPS]],Table1[[#All],[Company or Name]:[FromSite3]],15,FALSE),"")</f>
        <v>Funchal WWTP</v>
      </c>
      <c r="K566" s="20" t="str">
        <f>IFERROR(VLOOKUP(Table4[[#This Row],[FromSite-UPS]],Table1[[#All],[Company or Name]:[FromSite3]],16,FALSE),"")</f>
        <v>Madeira, 10 locations</v>
      </c>
      <c r="L566" s="20">
        <f>IFERROR(VLOOKUP(Table4[[#This Row],[FromSite-UPS]],Table1[[#All],[Company or Name]:[FromSite3]],14,FALSE),"")</f>
        <v>0.70833333333333337</v>
      </c>
      <c r="M566" s="13" t="s">
        <v>1011</v>
      </c>
      <c r="N566" s="20"/>
      <c r="O566" s="20"/>
      <c r="P566" s="20"/>
      <c r="Q566" s="20"/>
      <c r="R566" s="20"/>
      <c r="S566" s="20" t="s">
        <v>126</v>
      </c>
      <c r="T566" s="20"/>
      <c r="U566" s="20"/>
      <c r="V566" s="20"/>
      <c r="W566" s="20" t="str">
        <f>TEXT(Table4[[#This Row],[Confirmed Sampling Date]], "yyyy") &amp; "_" &amp; TEXT(Table4[[#This Row],[Confirmed Sampling Date]], "mm") &amp; "_" &amp; TEXT(Table4[[#This Row],[Confirmed Sampling Date]], "dd")</f>
        <v>2025_12_03</v>
      </c>
      <c r="X566" s="20" t="str">
        <f t="shared" si="8"/>
        <v>Funchal</v>
      </c>
      <c r="Y566" s="20" t="str">
        <f>VLOOKUP(Table4[[#This Row],[FromSite-UPS]],Table1[[Company or Name]:[NOTES]],2,FALSE)</f>
        <v>Portugal</v>
      </c>
      <c r="Z566" s="20">
        <f>IFERROR(WEEKNUM(Table4[[#This Row],[Confirmed Sampling Date]] - 10, 21), "TBD")</f>
        <v>47</v>
      </c>
      <c r="AA566" s="20" t="str">
        <f>_xlfn.XLOOKUP(Table4[[#This Row],[FromSite-UPS]],sites!D:D,sites!W:W,"",0)</f>
        <v>R. do Matadouro 4, Funchal, 9050-100, Portugal</v>
      </c>
      <c r="AB566" s="20" t="str">
        <f>_xlfn.XLOOKUP(Table4[[#This Row],[ToLab]],labs!D:D,labs!P:P,"no adres",0)</f>
        <v>Av. Rovisco Pais 1, Laboratorio de Analises de Agua, Lisbon, 1049-001, Portugal</v>
      </c>
      <c r="AC566" s="20">
        <f>_xlfn.XLOOKUP(Table4[[#This Row],[combi]],AREA!E:E,AREA!F:F,"",0)</f>
        <v>89</v>
      </c>
      <c r="AD566" s="20" t="str">
        <f>_xlfn.XLOOKUP(Table4[[#This Row],[combi]],AREA!E:E,AREA!G:G,"",0)</f>
        <v>Pick-up service of hypothetic package as defined in the Tech. Specs. and delivery to lots
2 and 3 contractors according to Scenario 1</v>
      </c>
      <c r="AE566" s="20" t="s">
        <v>126</v>
      </c>
      <c r="AF566" s="20" t="str">
        <f>_xlfn.XLOOKUP(Table4[[#This Row],[FromSite-UPS]],sites!D:D,sites!AB:AB,"",0)&amp;_xlfn.XLOOKUP(Table4[[#This Row],[ToLab]],labs!D:D,labs!Q:Q,"",0)</f>
        <v>EUEU</v>
      </c>
    </row>
    <row r="567" spans="2:32" ht="15.6" hidden="1" customHeight="1" x14ac:dyDescent="0.25">
      <c r="B567" s="13">
        <v>480</v>
      </c>
      <c r="C567" s="14" t="s">
        <v>53</v>
      </c>
      <c r="D567" s="13">
        <v>1</v>
      </c>
      <c r="E567" s="79">
        <v>45994</v>
      </c>
      <c r="F567" s="80">
        <v>45995</v>
      </c>
      <c r="G567" s="20">
        <f>IFERROR(WEEKNUM(Table4[[#This Row],[Confirmed Pick-up Date]]),"TBD")</f>
        <v>49</v>
      </c>
      <c r="H567" s="20" t="str">
        <f>IFERROR(TEXT(Table4[[#This Row],[Confirmed Pick-up Date]],"yy-mm"),"TBD")</f>
        <v>25-12</v>
      </c>
      <c r="I567" s="78" t="s">
        <v>1628</v>
      </c>
      <c r="J567" s="20" t="str">
        <f>IFERROR(VLOOKUP(Table4[[#This Row],[FromSite-UPS]],Table1[[#All],[Company or Name]:[FromSite3]],15,FALSE),"")</f>
        <v>Funchal WWTP</v>
      </c>
      <c r="K567" s="20" t="str">
        <f>IFERROR(VLOOKUP(Table4[[#This Row],[FromSite-UPS]],Table1[[#All],[Company or Name]:[FromSite3]],16,FALSE),"")</f>
        <v>Madeira, 10 locations</v>
      </c>
      <c r="L567" s="20">
        <f>IFERROR(VLOOKUP(Table4[[#This Row],[FromSite-UPS]],Table1[[#All],[Company or Name]:[FromSite3]],14,FALSE),"")</f>
        <v>0.70833333333333337</v>
      </c>
      <c r="M567" s="13" t="s">
        <v>1011</v>
      </c>
      <c r="N567" s="20"/>
      <c r="O567" s="20"/>
      <c r="P567" s="20"/>
      <c r="Q567" s="20"/>
      <c r="R567" s="20"/>
      <c r="S567" s="20" t="s">
        <v>126</v>
      </c>
      <c r="T567" s="20"/>
      <c r="U567" s="20"/>
      <c r="V567" s="20"/>
      <c r="W567" s="20" t="str">
        <f>TEXT(Table4[[#This Row],[Confirmed Sampling Date]], "yyyy") &amp; "_" &amp; TEXT(Table4[[#This Row],[Confirmed Sampling Date]], "mm") &amp; "_" &amp; TEXT(Table4[[#This Row],[Confirmed Sampling Date]], "dd")</f>
        <v>2025_12_03</v>
      </c>
      <c r="X567" s="20" t="str">
        <f t="shared" si="8"/>
        <v>Funchal</v>
      </c>
      <c r="Y567" s="20" t="str">
        <f>VLOOKUP(Table4[[#This Row],[FromSite-UPS]],Table1[[Company or Name]:[NOTES]],2,FALSE)</f>
        <v>Portugal</v>
      </c>
      <c r="Z567" s="20">
        <f>IFERROR(WEEKNUM(Table4[[#This Row],[Confirmed Sampling Date]] - 10, 21), "TBD")</f>
        <v>47</v>
      </c>
      <c r="AA567" s="20" t="str">
        <f>_xlfn.XLOOKUP(Table4[[#This Row],[FromSite-UPS]],sites!D:D,sites!W:W,"",0)</f>
        <v>R. do Matadouro 4, Funchal, 9050-100, Portugal</v>
      </c>
      <c r="AB567" s="20" t="str">
        <f>_xlfn.XLOOKUP(Table4[[#This Row],[ToLab]],labs!D:D,labs!P:P,"no adres",0)</f>
        <v>Av. Rovisco Pais 1, Laboratorio de Analises de Agua, Lisbon, 1049-001, Portugal</v>
      </c>
      <c r="AC567" s="20">
        <f>_xlfn.XLOOKUP(Table4[[#This Row],[combi]],AREA!E:E,AREA!F:F,"",0)</f>
        <v>89</v>
      </c>
      <c r="AD567" s="20" t="str">
        <f>_xlfn.XLOOKUP(Table4[[#This Row],[combi]],AREA!E:E,AREA!G:G,"",0)</f>
        <v>Pick-up service of hypothetic package as defined in the Tech. Specs. and delivery to lots
2 and 3 contractors according to Scenario 1</v>
      </c>
      <c r="AE567" s="20" t="s">
        <v>126</v>
      </c>
      <c r="AF567" s="20" t="str">
        <f>_xlfn.XLOOKUP(Table4[[#This Row],[FromSite-UPS]],sites!D:D,sites!AB:AB,"",0)&amp;_xlfn.XLOOKUP(Table4[[#This Row],[ToLab]],labs!D:D,labs!Q:Q,"",0)</f>
        <v>EUEU</v>
      </c>
    </row>
    <row r="568" spans="2:32" ht="15.6" hidden="1" customHeight="1" x14ac:dyDescent="0.25">
      <c r="B568" s="13">
        <v>490</v>
      </c>
      <c r="C568" s="14" t="s">
        <v>53</v>
      </c>
      <c r="D568" s="13">
        <v>1</v>
      </c>
      <c r="E568" s="79">
        <v>45994</v>
      </c>
      <c r="F568" s="80">
        <v>45995</v>
      </c>
      <c r="G568" s="20">
        <f>IFERROR(WEEKNUM(Table4[[#This Row],[Confirmed Pick-up Date]]),"TBD")</f>
        <v>49</v>
      </c>
      <c r="H568" s="20" t="str">
        <f>IFERROR(TEXT(Table4[[#This Row],[Confirmed Pick-up Date]],"yy-mm"),"TBD")</f>
        <v>25-12</v>
      </c>
      <c r="I568" s="78" t="s">
        <v>1628</v>
      </c>
      <c r="J568" s="20" t="str">
        <f>IFERROR(VLOOKUP(Table4[[#This Row],[FromSite-UPS]],Table1[[#All],[Company or Name]:[FromSite3]],15,FALSE),"")</f>
        <v>Funchal WWTP</v>
      </c>
      <c r="K568" s="20" t="str">
        <f>IFERROR(VLOOKUP(Table4[[#This Row],[FromSite-UPS]],Table1[[#All],[Company or Name]:[FromSite3]],16,FALSE),"")</f>
        <v>Madeira, 10 locations</v>
      </c>
      <c r="L568" s="20">
        <f>IFERROR(VLOOKUP(Table4[[#This Row],[FromSite-UPS]],Table1[[#All],[Company or Name]:[FromSite3]],14,FALSE),"")</f>
        <v>0.70833333333333337</v>
      </c>
      <c r="M568" s="13" t="s">
        <v>1011</v>
      </c>
      <c r="N568" s="20"/>
      <c r="O568" s="20"/>
      <c r="P568" s="20"/>
      <c r="Q568" s="20"/>
      <c r="R568" s="20"/>
      <c r="S568" s="20" t="s">
        <v>126</v>
      </c>
      <c r="T568" s="20"/>
      <c r="U568" s="20"/>
      <c r="V568" s="20"/>
      <c r="W568" s="20" t="str">
        <f>TEXT(Table4[[#This Row],[Confirmed Sampling Date]], "yyyy") &amp; "_" &amp; TEXT(Table4[[#This Row],[Confirmed Sampling Date]], "mm") &amp; "_" &amp; TEXT(Table4[[#This Row],[Confirmed Sampling Date]], "dd")</f>
        <v>2025_12_03</v>
      </c>
      <c r="X568" s="20" t="str">
        <f t="shared" si="8"/>
        <v>Funchal</v>
      </c>
      <c r="Y568" s="20" t="str">
        <f>VLOOKUP(Table4[[#This Row],[FromSite-UPS]],Table1[[Company or Name]:[NOTES]],2,FALSE)</f>
        <v>Portugal</v>
      </c>
      <c r="Z568" s="20">
        <f>IFERROR(WEEKNUM(Table4[[#This Row],[Confirmed Sampling Date]] - 10, 21), "TBD")</f>
        <v>47</v>
      </c>
      <c r="AA568" s="20" t="str">
        <f>_xlfn.XLOOKUP(Table4[[#This Row],[FromSite-UPS]],sites!D:D,sites!W:W,"",0)</f>
        <v>R. do Matadouro 4, Funchal, 9050-100, Portugal</v>
      </c>
      <c r="AB568" s="20" t="str">
        <f>_xlfn.XLOOKUP(Table4[[#This Row],[ToLab]],labs!D:D,labs!P:P,"no adres",0)</f>
        <v>Av. Rovisco Pais 1, Laboratorio de Analises de Agua, Lisbon, 1049-001, Portugal</v>
      </c>
      <c r="AC568" s="20">
        <f>_xlfn.XLOOKUP(Table4[[#This Row],[combi]],AREA!E:E,AREA!F:F,"",0)</f>
        <v>89</v>
      </c>
      <c r="AD568" s="20" t="str">
        <f>_xlfn.XLOOKUP(Table4[[#This Row],[combi]],AREA!E:E,AREA!G:G,"",0)</f>
        <v>Pick-up service of hypothetic package as defined in the Tech. Specs. and delivery to lots
2 and 3 contractors according to Scenario 1</v>
      </c>
      <c r="AE568" s="20" t="s">
        <v>126</v>
      </c>
      <c r="AF568" s="20" t="str">
        <f>_xlfn.XLOOKUP(Table4[[#This Row],[FromSite-UPS]],sites!D:D,sites!AB:AB,"",0)&amp;_xlfn.XLOOKUP(Table4[[#This Row],[ToLab]],labs!D:D,labs!Q:Q,"",0)</f>
        <v>EUEU</v>
      </c>
    </row>
    <row r="569" spans="2:32" ht="15.6" hidden="1" customHeight="1" x14ac:dyDescent="0.25">
      <c r="B569" s="13">
        <v>500</v>
      </c>
      <c r="C569" s="14" t="s">
        <v>53</v>
      </c>
      <c r="D569" s="13">
        <v>1</v>
      </c>
      <c r="E569" s="79">
        <v>45994</v>
      </c>
      <c r="F569" s="80">
        <v>45995</v>
      </c>
      <c r="G569" s="20">
        <f>IFERROR(WEEKNUM(Table4[[#This Row],[Confirmed Pick-up Date]]),"TBD")</f>
        <v>49</v>
      </c>
      <c r="H569" s="20" t="str">
        <f>IFERROR(TEXT(Table4[[#This Row],[Confirmed Pick-up Date]],"yy-mm"),"TBD")</f>
        <v>25-12</v>
      </c>
      <c r="I569" s="78" t="s">
        <v>1628</v>
      </c>
      <c r="J569" s="20" t="str">
        <f>IFERROR(VLOOKUP(Table4[[#This Row],[FromSite-UPS]],Table1[[#All],[Company or Name]:[FromSite3]],15,FALSE),"")</f>
        <v>Funchal WWTP</v>
      </c>
      <c r="K569" s="20" t="str">
        <f>IFERROR(VLOOKUP(Table4[[#This Row],[FromSite-UPS]],Table1[[#All],[Company or Name]:[FromSite3]],16,FALSE),"")</f>
        <v>Madeira, 10 locations</v>
      </c>
      <c r="L569" s="20">
        <f>IFERROR(VLOOKUP(Table4[[#This Row],[FromSite-UPS]],Table1[[#All],[Company or Name]:[FromSite3]],14,FALSE),"")</f>
        <v>0.70833333333333337</v>
      </c>
      <c r="M569" s="13" t="s">
        <v>1011</v>
      </c>
      <c r="N569" s="20"/>
      <c r="O569" s="20"/>
      <c r="P569" s="20"/>
      <c r="Q569" s="20"/>
      <c r="R569" s="20"/>
      <c r="S569" s="20" t="s">
        <v>126</v>
      </c>
      <c r="T569" s="20"/>
      <c r="U569" s="20"/>
      <c r="V569" s="20"/>
      <c r="W569" s="20" t="str">
        <f>TEXT(Table4[[#This Row],[Confirmed Sampling Date]], "yyyy") &amp; "_" &amp; TEXT(Table4[[#This Row],[Confirmed Sampling Date]], "mm") &amp; "_" &amp; TEXT(Table4[[#This Row],[Confirmed Sampling Date]], "dd")</f>
        <v>2025_12_03</v>
      </c>
      <c r="X569" s="20" t="str">
        <f t="shared" si="8"/>
        <v>Funchal</v>
      </c>
      <c r="Y569" s="20" t="str">
        <f>VLOOKUP(Table4[[#This Row],[FromSite-UPS]],Table1[[Company or Name]:[NOTES]],2,FALSE)</f>
        <v>Portugal</v>
      </c>
      <c r="Z569" s="20">
        <f>IFERROR(WEEKNUM(Table4[[#This Row],[Confirmed Sampling Date]] - 10, 21), "TBD")</f>
        <v>47</v>
      </c>
      <c r="AA569" s="20" t="str">
        <f>_xlfn.XLOOKUP(Table4[[#This Row],[FromSite-UPS]],sites!D:D,sites!W:W,"",0)</f>
        <v>R. do Matadouro 4, Funchal, 9050-100, Portugal</v>
      </c>
      <c r="AB569" s="20" t="str">
        <f>_xlfn.XLOOKUP(Table4[[#This Row],[ToLab]],labs!D:D,labs!P:P,"no adres",0)</f>
        <v>Av. Rovisco Pais 1, Laboratorio de Analises de Agua, Lisbon, 1049-001, Portugal</v>
      </c>
      <c r="AC569" s="20">
        <f>_xlfn.XLOOKUP(Table4[[#This Row],[combi]],AREA!E:E,AREA!F:F,"",0)</f>
        <v>89</v>
      </c>
      <c r="AD569" s="20" t="str">
        <f>_xlfn.XLOOKUP(Table4[[#This Row],[combi]],AREA!E:E,AREA!G:G,"",0)</f>
        <v>Pick-up service of hypothetic package as defined in the Tech. Specs. and delivery to lots
2 and 3 contractors according to Scenario 1</v>
      </c>
      <c r="AE569" s="20" t="s">
        <v>126</v>
      </c>
      <c r="AF569" s="20" t="str">
        <f>_xlfn.XLOOKUP(Table4[[#This Row],[FromSite-UPS]],sites!D:D,sites!AB:AB,"",0)&amp;_xlfn.XLOOKUP(Table4[[#This Row],[ToLab]],labs!D:D,labs!Q:Q,"",0)</f>
        <v>EUEU</v>
      </c>
    </row>
    <row r="570" spans="2:32" ht="15.6" hidden="1" customHeight="1" x14ac:dyDescent="0.25">
      <c r="B570" s="13">
        <v>509</v>
      </c>
      <c r="C570" s="14" t="s">
        <v>53</v>
      </c>
      <c r="D570" s="13">
        <v>1</v>
      </c>
      <c r="E570" s="79">
        <v>45992</v>
      </c>
      <c r="F570" s="80">
        <v>45995</v>
      </c>
      <c r="G570" s="20">
        <f>IFERROR(WEEKNUM(Table4[[#This Row],[Confirmed Pick-up Date]]),"TBD")</f>
        <v>49</v>
      </c>
      <c r="H570" s="20" t="str">
        <f>IFERROR(TEXT(Table4[[#This Row],[Confirmed Pick-up Date]],"yy-mm"),"TBD")</f>
        <v>25-12</v>
      </c>
      <c r="I570" s="78" t="s">
        <v>1114</v>
      </c>
      <c r="J570" s="20" t="str">
        <f>IFERROR(VLOOKUP(Table4[[#This Row],[FromSite-UPS]],Table1[[#All],[Company or Name]:[FromSite3]],15,FALSE),"")</f>
        <v>Uppsala WWTP</v>
      </c>
      <c r="K570" s="20" t="str">
        <f>IFERROR(VLOOKUP(Table4[[#This Row],[FromSite-UPS]],Table1[[#All],[Company or Name]:[FromSite3]],16,FALSE),"")</f>
        <v>-</v>
      </c>
      <c r="L570" s="20">
        <f>IFERROR(VLOOKUP(Table4[[#This Row],[FromSite-UPS]],Table1[[#All],[Company or Name]:[FromSite3]],14,FALSE),"")</f>
        <v>0.58333333333333337</v>
      </c>
      <c r="M570" s="13" t="s">
        <v>1011</v>
      </c>
      <c r="N570" s="20"/>
      <c r="O570" s="20"/>
      <c r="P570" s="20"/>
      <c r="Q570" s="20"/>
      <c r="R570" s="20"/>
      <c r="S570" s="20" t="s">
        <v>126</v>
      </c>
      <c r="T570" s="20"/>
      <c r="U570" s="20"/>
      <c r="V570" s="20"/>
      <c r="W570" s="20" t="str">
        <f>TEXT(Table4[[#This Row],[Confirmed Sampling Date]], "yyyy") &amp; "_" &amp; TEXT(Table4[[#This Row],[Confirmed Sampling Date]], "mm") &amp; "_" &amp; TEXT(Table4[[#This Row],[Confirmed Sampling Date]], "dd")</f>
        <v>2025_12_01</v>
      </c>
      <c r="X570" s="20" t="str">
        <f t="shared" si="8"/>
        <v>Uppsala</v>
      </c>
      <c r="Y570" s="20" t="str">
        <f>VLOOKUP(Table4[[#This Row],[FromSite-UPS]],Table1[[Company or Name]:[NOTES]],2,FALSE)</f>
        <v>Sweden</v>
      </c>
      <c r="Z570" s="20">
        <f>IFERROR(WEEKNUM(Table4[[#This Row],[Confirmed Sampling Date]] - 10, 21), "TBD")</f>
        <v>47</v>
      </c>
      <c r="AA570" s="20" t="str">
        <f>_xlfn.XLOOKUP(Table4[[#This Row],[FromSite-UPS]],sites!D:D,sites!W:W,"",0)</f>
        <v>Gerda Nilssons väg 5, Uppsala, 756 51, Sweden</v>
      </c>
      <c r="AB570" s="20" t="str">
        <f>_xlfn.XLOOKUP(Table4[[#This Row],[ToLab]],labs!D:D,labs!P:P,"no adres",0)</f>
        <v>Av. Rovisco Pais 1, Laboratorio de Analises de Agua, Lisbon, 1049-001, Portugal</v>
      </c>
      <c r="AC570" s="20" t="str">
        <f>_xlfn.XLOOKUP(Table4[[#This Row],[combi]],AREA!E:E,AREA!F:F,"",0)</f>
        <v/>
      </c>
      <c r="AD570" s="20" t="str">
        <f>_xlfn.XLOOKUP(Table4[[#This Row],[combi]],AREA!E:E,AREA!G:G,"",0)</f>
        <v/>
      </c>
      <c r="AE570" s="20" t="s">
        <v>126</v>
      </c>
      <c r="AF570" s="20" t="s">
        <v>126</v>
      </c>
    </row>
    <row r="571" spans="2:32" ht="15.6" hidden="1" customHeight="1" x14ac:dyDescent="0.25">
      <c r="B571" s="13">
        <v>545</v>
      </c>
      <c r="C571" s="14" t="s">
        <v>53</v>
      </c>
      <c r="D571" s="13">
        <v>1</v>
      </c>
      <c r="E571" s="34">
        <v>45994</v>
      </c>
      <c r="F571" s="34">
        <v>45995</v>
      </c>
      <c r="G571" s="20">
        <f>IFERROR(WEEKNUM(Table4[[#This Row],[Confirmed Pick-up Date]]),"TBD")</f>
        <v>49</v>
      </c>
      <c r="H571" s="20" t="str">
        <f>IFERROR(TEXT(Table4[[#This Row],[Confirmed Pick-up Date]],"yy-mm"),"TBD")</f>
        <v>25-12</v>
      </c>
      <c r="I571" s="13" t="s">
        <v>1628</v>
      </c>
      <c r="J571" s="20" t="str">
        <f>IFERROR(VLOOKUP(Table4[[#This Row],[FromSite-UPS]],Table1[[#All],[Company or Name]:[FromSite3]],15,FALSE),"")</f>
        <v>Funchal WWTP</v>
      </c>
      <c r="K571" s="20" t="str">
        <f>IFERROR(VLOOKUP(Table4[[#This Row],[FromSite-UPS]],Table1[[#All],[Company or Name]:[FromSite3]],16,FALSE),"")</f>
        <v>Madeira, 10 locations</v>
      </c>
      <c r="L571" s="20">
        <f>IFERROR(VLOOKUP(Table4[[#This Row],[FromSite-UPS]],Table1[[#All],[Company or Name]:[FromSite3]],14,FALSE),"")</f>
        <v>0.70833333333333337</v>
      </c>
      <c r="M571" s="13" t="s">
        <v>1283</v>
      </c>
      <c r="N571" s="20"/>
      <c r="O571" s="20"/>
      <c r="P571" s="20"/>
      <c r="Q571" s="20"/>
      <c r="R571" s="20"/>
      <c r="S571" s="20" t="s">
        <v>126</v>
      </c>
      <c r="T571" s="20"/>
      <c r="U571" s="20"/>
      <c r="V571" s="20"/>
      <c r="W571" s="20" t="str">
        <f>TEXT(Table4[[#This Row],[Confirmed Sampling Date]], "yyyy") &amp; "_" &amp; TEXT(Table4[[#This Row],[Confirmed Sampling Date]], "mm") &amp; "_" &amp; TEXT(Table4[[#This Row],[Confirmed Sampling Date]], "dd")</f>
        <v>2025_12_03</v>
      </c>
      <c r="X571" s="20" t="str">
        <f t="shared" si="8"/>
        <v>Funchal</v>
      </c>
      <c r="Y571" s="20" t="str">
        <f>VLOOKUP(Table4[[#This Row],[FromSite-UPS]],Table1[[Company or Name]:[NOTES]],2,FALSE)</f>
        <v>Portugal</v>
      </c>
      <c r="Z571" s="20">
        <f>IFERROR(WEEKNUM(Table4[[#This Row],[Confirmed Sampling Date]] - 10, 21), "TBD")</f>
        <v>47</v>
      </c>
      <c r="AA571" s="20" t="str">
        <f>_xlfn.XLOOKUP(Table4[[#This Row],[FromSite-UPS]],sites!D:D,sites!W:W,"",0)</f>
        <v>R. do Matadouro 4, Funchal, 9050-100, Portugal</v>
      </c>
      <c r="AB571" s="20" t="str">
        <f>_xlfn.XLOOKUP(Table4[[#This Row],[ToLab]],labs!D:D,labs!P:P,"no adres",0)</f>
        <v>C. del Dracma 16-18, Labaqua SAU - Sede Alicante, Alicante, 03114 , Spain</v>
      </c>
      <c r="AC571" s="20">
        <f>_xlfn.XLOOKUP(Table4[[#This Row],[combi]],AREA!E:E,AREA!F:F,"",0)</f>
        <v>89</v>
      </c>
      <c r="AD571" s="20" t="str">
        <f>_xlfn.XLOOKUP(Table4[[#This Row],[combi]],AREA!E:E,AREA!G:G,"",0)</f>
        <v>Pick-up service of hypothetic package as defined in the Tech. Specs. and delivery to lots
2 and 3 contractors according to Scenario 1</v>
      </c>
      <c r="AE571" s="20" t="s">
        <v>126</v>
      </c>
      <c r="AF571" s="20" t="str">
        <f>_xlfn.XLOOKUP(Table4[[#This Row],[FromSite-UPS]],sites!D:D,sites!AB:AB,"",0)&amp;_xlfn.XLOOKUP(Table4[[#This Row],[ToLab]],labs!D:D,labs!Q:Q,"",0)</f>
        <v>EUEU</v>
      </c>
    </row>
    <row r="572" spans="2:32" ht="15.6" hidden="1" customHeight="1" x14ac:dyDescent="0.25">
      <c r="B572" s="13">
        <v>569</v>
      </c>
      <c r="C572" s="14" t="s">
        <v>53</v>
      </c>
      <c r="D572" s="13">
        <v>1</v>
      </c>
      <c r="E572" s="83">
        <v>45994</v>
      </c>
      <c r="F572" s="83">
        <v>45995</v>
      </c>
      <c r="G572" s="20">
        <f>IFERROR(WEEKNUM(Table4[[#This Row],[Confirmed Pick-up Date]]),"TBD")</f>
        <v>49</v>
      </c>
      <c r="H572" s="20" t="str">
        <f>IFERROR(TEXT(Table4[[#This Row],[Confirmed Pick-up Date]],"yy-mm"),"TBD")</f>
        <v>25-12</v>
      </c>
      <c r="I572" s="13" t="s">
        <v>1628</v>
      </c>
      <c r="J572" s="20" t="str">
        <f>IFERROR(VLOOKUP(Table4[[#This Row],[FromSite-UPS]],Table1[[#All],[Company or Name]:[FromSite3]],15,FALSE),"")</f>
        <v>Funchal WWTP</v>
      </c>
      <c r="K572" s="20" t="str">
        <f>IFERROR(VLOOKUP(Table4[[#This Row],[FromSite-UPS]],Table1[[#All],[Company or Name]:[FromSite3]],16,FALSE),"")</f>
        <v>Madeira, 10 locations</v>
      </c>
      <c r="L572" s="13" t="s">
        <v>1283</v>
      </c>
      <c r="M572" s="13" t="s">
        <v>1283</v>
      </c>
      <c r="N572" s="20"/>
      <c r="O572" s="20"/>
      <c r="P572" s="20"/>
      <c r="Q572" s="101"/>
      <c r="R572" s="20"/>
      <c r="S572" s="20" t="s">
        <v>126</v>
      </c>
      <c r="T572" s="20"/>
      <c r="U572" s="20"/>
      <c r="V572" s="20"/>
      <c r="W572" s="20" t="str">
        <f>TEXT(Table4[[#This Row],[Confirmed Sampling Date]], "yyyy") &amp; "_" &amp; TEXT(Table4[[#This Row],[Confirmed Sampling Date]], "mm") &amp; "_" &amp; TEXT(Table4[[#This Row],[Confirmed Sampling Date]], "dd")</f>
        <v>2025_12_03</v>
      </c>
      <c r="X572" s="20" t="str">
        <f t="shared" si="8"/>
        <v>Funchal</v>
      </c>
      <c r="Y572" s="20" t="str">
        <f>VLOOKUP(Table4[[#This Row],[FromSite-UPS]],Table1[[Company or Name]:[NOTES]],2,FALSE)</f>
        <v>Portugal</v>
      </c>
      <c r="Z572" s="20">
        <f>IFERROR(WEEKNUM(Table4[[#This Row],[Confirmed Sampling Date]] - 10, 21), "TBD")</f>
        <v>47</v>
      </c>
      <c r="AA572" s="20" t="str">
        <f>_xlfn.XLOOKUP(Table4[[#This Row],[FromSite-UPS]],sites!D:D,sites!W:W,"",0)</f>
        <v>R. do Matadouro 4, Funchal, 9050-100, Portugal</v>
      </c>
      <c r="AB572" s="20" t="str">
        <f>_xlfn.XLOOKUP(Table4[[#This Row],[ToLab]],labs!D:D,labs!P:P,"no adres",0)</f>
        <v>C. del Dracma 16-18, Labaqua SAU - Sede Alicante, Alicante, 03114 , Spain</v>
      </c>
      <c r="AC572" s="20">
        <f>_xlfn.XLOOKUP(Table4[[#This Row],[combi]],AREA!E:E,AREA!F:F,"",0)</f>
        <v>89</v>
      </c>
      <c r="AD572" s="20" t="str">
        <f>_xlfn.XLOOKUP(Table4[[#This Row],[combi]],AREA!E:E,AREA!G:G,"",0)</f>
        <v>Pick-up service of hypothetic package as defined in the Tech. Specs. and delivery to lots
2 and 3 contractors according to Scenario 1</v>
      </c>
      <c r="AE572" s="20" t="s">
        <v>126</v>
      </c>
      <c r="AF572" s="20" t="str">
        <f>_xlfn.XLOOKUP(Table4[[#This Row],[FromSite-UPS]],sites!D:D,sites!AB:AB,"",0)&amp;_xlfn.XLOOKUP(Table4[[#This Row],[ToLab]],labs!D:D,labs!Q:Q,"",0)</f>
        <v>EUEU</v>
      </c>
    </row>
    <row r="573" spans="2:32" ht="15.6" hidden="1" customHeight="1" x14ac:dyDescent="0.25">
      <c r="B573" s="13">
        <v>577</v>
      </c>
      <c r="C573" s="14" t="s">
        <v>53</v>
      </c>
      <c r="D573" s="13">
        <v>1</v>
      </c>
      <c r="E573" s="83">
        <v>45994</v>
      </c>
      <c r="F573" s="83">
        <v>45995</v>
      </c>
      <c r="G573" s="20">
        <f>IFERROR(WEEKNUM(Table4[[#This Row],[Confirmed Pick-up Date]]),"TBD")</f>
        <v>49</v>
      </c>
      <c r="H573" s="20" t="str">
        <f>IFERROR(TEXT(Table4[[#This Row],[Confirmed Pick-up Date]],"yy-mm"),"TBD")</f>
        <v>25-12</v>
      </c>
      <c r="I573" s="13" t="s">
        <v>1628</v>
      </c>
      <c r="J573" s="20" t="str">
        <f>IFERROR(VLOOKUP(Table4[[#This Row],[FromSite-UPS]],Table1[[#All],[Company or Name]:[FromSite3]],15,FALSE),"")</f>
        <v>Funchal WWTP</v>
      </c>
      <c r="K573" s="20" t="str">
        <f>IFERROR(VLOOKUP(Table4[[#This Row],[FromSite-UPS]],Table1[[#All],[Company or Name]:[FromSite3]],16,FALSE),"")</f>
        <v>Madeira, 10 locations</v>
      </c>
      <c r="L573" s="13" t="s">
        <v>1283</v>
      </c>
      <c r="M573" s="13" t="s">
        <v>1283</v>
      </c>
      <c r="N573" s="20"/>
      <c r="O573" s="20"/>
      <c r="P573" s="20"/>
      <c r="Q573" s="20"/>
      <c r="R573" s="20"/>
      <c r="S573" s="20" t="s">
        <v>126</v>
      </c>
      <c r="T573" s="20"/>
      <c r="U573" s="20"/>
      <c r="V573" s="20"/>
      <c r="W573" s="20" t="str">
        <f>TEXT(Table4[[#This Row],[Confirmed Sampling Date]], "yyyy") &amp; "_" &amp; TEXT(Table4[[#This Row],[Confirmed Sampling Date]], "mm") &amp; "_" &amp; TEXT(Table4[[#This Row],[Confirmed Sampling Date]], "dd")</f>
        <v>2025_12_03</v>
      </c>
      <c r="X573" s="20" t="str">
        <f t="shared" si="8"/>
        <v>Funchal</v>
      </c>
      <c r="Y573" s="20" t="str">
        <f>VLOOKUP(Table4[[#This Row],[FromSite-UPS]],Table1[[Company or Name]:[NOTES]],2,FALSE)</f>
        <v>Portugal</v>
      </c>
      <c r="Z573" s="20">
        <f>IFERROR(WEEKNUM(Table4[[#This Row],[Confirmed Sampling Date]] - 10, 21), "TBD")</f>
        <v>47</v>
      </c>
      <c r="AA573" s="20" t="str">
        <f>_xlfn.XLOOKUP(Table4[[#This Row],[FromSite-UPS]],sites!D:D,sites!W:W,"",0)</f>
        <v>R. do Matadouro 4, Funchal, 9050-100, Portugal</v>
      </c>
      <c r="AB573" s="20" t="str">
        <f>_xlfn.XLOOKUP(Table4[[#This Row],[ToLab]],labs!D:D,labs!P:P,"no adres",0)</f>
        <v>C. del Dracma 16-18, Labaqua SAU - Sede Alicante, Alicante, 03114 , Spain</v>
      </c>
      <c r="AC573" s="20">
        <f>_xlfn.XLOOKUP(Table4[[#This Row],[combi]],AREA!E:E,AREA!F:F,"",0)</f>
        <v>89</v>
      </c>
      <c r="AD573" s="20" t="str">
        <f>_xlfn.XLOOKUP(Table4[[#This Row],[combi]],AREA!E:E,AREA!G:G,"",0)</f>
        <v>Pick-up service of hypothetic package as defined in the Tech. Specs. and delivery to lots
2 and 3 contractors according to Scenario 1</v>
      </c>
      <c r="AE573" s="20" t="s">
        <v>126</v>
      </c>
      <c r="AF573" s="20" t="str">
        <f>_xlfn.XLOOKUP(Table4[[#This Row],[FromSite-UPS]],sites!D:D,sites!AB:AB,"",0)&amp;_xlfn.XLOOKUP(Table4[[#This Row],[ToLab]],labs!D:D,labs!Q:Q,"",0)</f>
        <v>EUEU</v>
      </c>
    </row>
    <row r="574" spans="2:32" ht="15.6" hidden="1" customHeight="1" x14ac:dyDescent="0.25">
      <c r="B574" s="13">
        <v>585</v>
      </c>
      <c r="C574" s="14" t="s">
        <v>53</v>
      </c>
      <c r="D574" s="13">
        <v>1</v>
      </c>
      <c r="E574" s="83">
        <v>45994</v>
      </c>
      <c r="F574" s="83">
        <v>45995</v>
      </c>
      <c r="G574" s="20">
        <f>IFERROR(WEEKNUM(Table4[[#This Row],[Confirmed Pick-up Date]]),"TBD")</f>
        <v>49</v>
      </c>
      <c r="H574" s="20" t="str">
        <f>IFERROR(TEXT(Table4[[#This Row],[Confirmed Pick-up Date]],"yy-mm"),"TBD")</f>
        <v>25-12</v>
      </c>
      <c r="I574" s="13" t="s">
        <v>1628</v>
      </c>
      <c r="J574" s="20" t="str">
        <f>IFERROR(VLOOKUP(Table4[[#This Row],[FromSite-UPS]],Table1[[#All],[Company or Name]:[FromSite3]],15,FALSE),"")</f>
        <v>Funchal WWTP</v>
      </c>
      <c r="K574" s="20" t="str">
        <f>IFERROR(VLOOKUP(Table4[[#This Row],[FromSite-UPS]],Table1[[#All],[Company or Name]:[FromSite3]],16,FALSE),"")</f>
        <v>Madeira, 10 locations</v>
      </c>
      <c r="L574" s="13" t="s">
        <v>1283</v>
      </c>
      <c r="M574" s="13" t="s">
        <v>1283</v>
      </c>
      <c r="N574" s="20"/>
      <c r="O574" s="20"/>
      <c r="P574" s="20"/>
      <c r="Q574" s="20"/>
      <c r="R574" s="20"/>
      <c r="S574" s="20" t="s">
        <v>126</v>
      </c>
      <c r="T574" s="20"/>
      <c r="U574" s="20"/>
      <c r="V574" s="20"/>
      <c r="W574" s="20" t="str">
        <f>TEXT(Table4[[#This Row],[Confirmed Sampling Date]], "yyyy") &amp; "_" &amp; TEXT(Table4[[#This Row],[Confirmed Sampling Date]], "mm") &amp; "_" &amp; TEXT(Table4[[#This Row],[Confirmed Sampling Date]], "dd")</f>
        <v>2025_12_03</v>
      </c>
      <c r="X574" s="20" t="str">
        <f t="shared" si="8"/>
        <v>Funchal</v>
      </c>
      <c r="Y574" s="20" t="str">
        <f>VLOOKUP(Table4[[#This Row],[FromSite-UPS]],Table1[[Company or Name]:[NOTES]],2,FALSE)</f>
        <v>Portugal</v>
      </c>
      <c r="Z574" s="20">
        <f>IFERROR(WEEKNUM(Table4[[#This Row],[Confirmed Sampling Date]] - 10, 21), "TBD")</f>
        <v>47</v>
      </c>
      <c r="AA574" s="20" t="str">
        <f>_xlfn.XLOOKUP(Table4[[#This Row],[FromSite-UPS]],sites!D:D,sites!W:W,"",0)</f>
        <v>R. do Matadouro 4, Funchal, 9050-100, Portugal</v>
      </c>
      <c r="AB574" s="20" t="str">
        <f>_xlfn.XLOOKUP(Table4[[#This Row],[ToLab]],labs!D:D,labs!P:P,"no adres",0)</f>
        <v>C. del Dracma 16-18, Labaqua SAU - Sede Alicante, Alicante, 03114 , Spain</v>
      </c>
      <c r="AC574" s="20">
        <f>_xlfn.XLOOKUP(Table4[[#This Row],[combi]],AREA!E:E,AREA!F:F,"",0)</f>
        <v>89</v>
      </c>
      <c r="AD574" s="20" t="str">
        <f>_xlfn.XLOOKUP(Table4[[#This Row],[combi]],AREA!E:E,AREA!G:G,"",0)</f>
        <v>Pick-up service of hypothetic package as defined in the Tech. Specs. and delivery to lots
2 and 3 contractors according to Scenario 1</v>
      </c>
      <c r="AE574" s="20" t="s">
        <v>126</v>
      </c>
      <c r="AF574" s="20" t="str">
        <f>_xlfn.XLOOKUP(Table4[[#This Row],[FromSite-UPS]],sites!D:D,sites!AB:AB,"",0)&amp;_xlfn.XLOOKUP(Table4[[#This Row],[ToLab]],labs!D:D,labs!Q:Q,"",0)</f>
        <v>EUEU</v>
      </c>
    </row>
    <row r="575" spans="2:32" ht="15.6" hidden="1" customHeight="1" x14ac:dyDescent="0.25">
      <c r="B575" s="13">
        <v>610</v>
      </c>
      <c r="C575" s="14" t="s">
        <v>53</v>
      </c>
      <c r="D575" s="13">
        <v>1</v>
      </c>
      <c r="E575" s="83">
        <v>45994</v>
      </c>
      <c r="F575" s="83">
        <v>45995</v>
      </c>
      <c r="G575" s="20">
        <f>IFERROR(WEEKNUM(Table4[[#This Row],[Confirmed Pick-up Date]]),"TBD")</f>
        <v>49</v>
      </c>
      <c r="H575" s="20" t="str">
        <f>IFERROR(TEXT(Table4[[#This Row],[Confirmed Pick-up Date]],"yy-mm"),"TBD")</f>
        <v>25-12</v>
      </c>
      <c r="I575" s="13" t="s">
        <v>1590</v>
      </c>
      <c r="J575" s="20" t="str">
        <f>IFERROR(VLOOKUP(Table4[[#This Row],[FromSite-UPS]],Table1[[#All],[Company or Name]:[FromSite3]],15,FALSE),"")</f>
        <v>Àthens WWTP</v>
      </c>
      <c r="K575" s="20" t="str">
        <f>IFERROR(VLOOKUP(Table4[[#This Row],[FromSite-UPS]],Table1[[#All],[Company or Name]:[FromSite3]],16,FALSE),"")</f>
        <v>Athens Airport</v>
      </c>
      <c r="L575" s="20">
        <f>IFERROR(VLOOKUP(Table4[[#This Row],[FromSite-UPS]],Table1[[#All],[Company or Name]:[FromSite3]],14,FALSE),"")</f>
        <v>0.66666666666666663</v>
      </c>
      <c r="M575" s="13" t="s">
        <v>1011</v>
      </c>
      <c r="N575" s="20"/>
      <c r="O575" s="20"/>
      <c r="P575" s="20"/>
      <c r="Q575" s="20"/>
      <c r="R575" s="20"/>
      <c r="S575" s="20" t="s">
        <v>126</v>
      </c>
      <c r="T575" s="20"/>
      <c r="U575" s="20"/>
      <c r="V575" s="20"/>
      <c r="W575" s="20" t="str">
        <f>TEXT(Table4[[#This Row],[Confirmed Sampling Date]], "yyyy") &amp; "_" &amp; TEXT(Table4[[#This Row],[Confirmed Sampling Date]], "mm") &amp; "_" &amp; TEXT(Table4[[#This Row],[Confirmed Sampling Date]], "dd")</f>
        <v>2025_12_03</v>
      </c>
      <c r="X575" s="20" t="str">
        <f t="shared" si="8"/>
        <v>Àthens</v>
      </c>
      <c r="Y575" s="20" t="str">
        <f>VLOOKUP(Table4[[#This Row],[FromSite-UPS]],Table1[[Company or Name]:[NOTES]],2,FALSE)</f>
        <v>Greece</v>
      </c>
      <c r="Z575" s="20">
        <f>IFERROR(WEEKNUM(Table4[[#This Row],[Confirmed Sampling Date]] - 10, 21), "TBD")</f>
        <v>47</v>
      </c>
      <c r="AA575" s="20" t="str">
        <f>_xlfn.XLOOKUP(Table4[[#This Row],[FromSite-UPS]],sites!D:D,sites!W:W,"",0)</f>
        <v>Zografou, 4ος όροφος, εργαστήριο αριθμός 8, Athens,  157 71, Greece</v>
      </c>
      <c r="AB575" s="20" t="str">
        <f>_xlfn.XLOOKUP(Table4[[#This Row],[ToLab]],labs!D:D,labs!P:P,"no adres",0)</f>
        <v>Av. Rovisco Pais 1, Laboratorio de Analises de Agua, Lisbon, 1049-001, Portugal</v>
      </c>
      <c r="AC575" s="20">
        <f>_xlfn.XLOOKUP(Table4[[#This Row],[combi]],AREA!E:E,AREA!F:F,"",0)</f>
        <v>89</v>
      </c>
      <c r="AD575" s="20" t="str">
        <f>_xlfn.XLOOKUP(Table4[[#This Row],[combi]],AREA!E:E,AREA!G:G,"",0)</f>
        <v>Pick-up service of hypothetic package as defined in the Tech. Specs. and delivery to lots
2 and 3 contractors according to Scenario 1</v>
      </c>
      <c r="AE575" s="20" t="s">
        <v>126</v>
      </c>
      <c r="AF575" s="20" t="str">
        <f>_xlfn.XLOOKUP(Table4[[#This Row],[FromSite-UPS]],sites!D:D,sites!AB:AB,"",0)&amp;_xlfn.XLOOKUP(Table4[[#This Row],[ToLab]],labs!D:D,labs!Q:Q,"",0)</f>
        <v>EUEU</v>
      </c>
    </row>
    <row r="576" spans="2:32" ht="15.6" hidden="1" customHeight="1" x14ac:dyDescent="0.25">
      <c r="B576" s="13">
        <v>617</v>
      </c>
      <c r="C576" s="14" t="s">
        <v>53</v>
      </c>
      <c r="D576" s="13">
        <v>1</v>
      </c>
      <c r="E576" s="34">
        <v>45995</v>
      </c>
      <c r="F576" s="34">
        <v>45996</v>
      </c>
      <c r="G576" s="20">
        <f>IFERROR(WEEKNUM(Table4[[#This Row],[Confirmed Pick-up Date]]),"TBD")</f>
        <v>49</v>
      </c>
      <c r="H576" s="20" t="str">
        <f>IFERROR(TEXT(Table4[[#This Row],[Confirmed Pick-up Date]],"yy-mm"),"TBD")</f>
        <v>25-12</v>
      </c>
      <c r="I576" s="13" t="s">
        <v>1590</v>
      </c>
      <c r="J576" s="20" t="str">
        <f>IFERROR(VLOOKUP(Table4[[#This Row],[FromSite-UPS]],Table1[[#All],[Company or Name]:[FromSite3]],15,FALSE),"")</f>
        <v>Àthens WWTP</v>
      </c>
      <c r="K576" s="20" t="str">
        <f>IFERROR(VLOOKUP(Table4[[#This Row],[FromSite-UPS]],Table1[[#All],[Company or Name]:[FromSite3]],16,FALSE),"")</f>
        <v>Athens Airport</v>
      </c>
      <c r="L576" s="20">
        <f>IFERROR(VLOOKUP(Table4[[#This Row],[FromSite-UPS]],Table1[[#All],[Company or Name]:[FromSite3]],14,FALSE),"")</f>
        <v>0.66666666666666663</v>
      </c>
      <c r="M576" s="13" t="s">
        <v>1011</v>
      </c>
      <c r="N576" s="20"/>
      <c r="O576" s="20"/>
      <c r="P576" s="20"/>
      <c r="Q576" s="20"/>
      <c r="R576" s="20"/>
      <c r="S576" s="20" t="s">
        <v>126</v>
      </c>
      <c r="T576" s="20"/>
      <c r="U576" s="20"/>
      <c r="V576" s="20"/>
      <c r="W576" s="20" t="str">
        <f>TEXT(Table4[[#This Row],[Confirmed Sampling Date]], "yyyy") &amp; "_" &amp; TEXT(Table4[[#This Row],[Confirmed Sampling Date]], "mm") &amp; "_" &amp; TEXT(Table4[[#This Row],[Confirmed Sampling Date]], "dd")</f>
        <v>2025_12_04</v>
      </c>
      <c r="X576" s="20" t="str">
        <f t="shared" si="8"/>
        <v>Àthens</v>
      </c>
      <c r="Y576" s="20" t="str">
        <f>VLOOKUP(Table4[[#This Row],[FromSite-UPS]],Table1[[Company or Name]:[NOTES]],2,FALSE)</f>
        <v>Greece</v>
      </c>
      <c r="Z576" s="20">
        <f>IFERROR(WEEKNUM(Table4[[#This Row],[Confirmed Sampling Date]] - 10, 21), "TBD")</f>
        <v>48</v>
      </c>
      <c r="AA576" s="20" t="str">
        <f>_xlfn.XLOOKUP(Table4[[#This Row],[FromSite-UPS]],sites!D:D,sites!W:W,"",0)</f>
        <v>Zografou, 4ος όροφος, εργαστήριο αριθμός 8, Athens,  157 71, Greece</v>
      </c>
      <c r="AB576" s="20" t="str">
        <f>_xlfn.XLOOKUP(Table4[[#This Row],[ToLab]],labs!D:D,labs!P:P,"no adres",0)</f>
        <v>Av. Rovisco Pais 1, Laboratorio de Analises de Agua, Lisbon, 1049-001, Portugal</v>
      </c>
      <c r="AC576" s="20">
        <f>_xlfn.XLOOKUP(Table4[[#This Row],[combi]],AREA!E:E,AREA!F:F,"",0)</f>
        <v>89</v>
      </c>
      <c r="AD576" s="20" t="str">
        <f>_xlfn.XLOOKUP(Table4[[#This Row],[combi]],AREA!E:E,AREA!G:G,"",0)</f>
        <v>Pick-up service of hypothetic package as defined in the Tech. Specs. and delivery to lots
2 and 3 contractors according to Scenario 1</v>
      </c>
      <c r="AE576" s="20" t="s">
        <v>126</v>
      </c>
      <c r="AF576" s="20" t="str">
        <f>_xlfn.XLOOKUP(Table4[[#This Row],[FromSite-UPS]],sites!D:D,sites!AB:AB,"",0)&amp;_xlfn.XLOOKUP(Table4[[#This Row],[ToLab]],labs!D:D,labs!Q:Q,"",0)</f>
        <v>EUEU</v>
      </c>
    </row>
    <row r="577" spans="2:32" ht="15.6" hidden="1" customHeight="1" x14ac:dyDescent="0.25">
      <c r="B577" s="13">
        <v>624</v>
      </c>
      <c r="C577" s="14" t="s">
        <v>53</v>
      </c>
      <c r="D577" s="13">
        <v>1</v>
      </c>
      <c r="E577" s="34">
        <v>45995</v>
      </c>
      <c r="F577" s="34">
        <v>45996</v>
      </c>
      <c r="G577" s="20">
        <f>IFERROR(WEEKNUM(Table4[[#This Row],[Confirmed Pick-up Date]]),"TBD")</f>
        <v>49</v>
      </c>
      <c r="H577" s="20" t="str">
        <f>IFERROR(TEXT(Table4[[#This Row],[Confirmed Pick-up Date]],"yy-mm"),"TBD")</f>
        <v>25-12</v>
      </c>
      <c r="I577" s="13" t="s">
        <v>1598</v>
      </c>
      <c r="J577" s="20" t="str">
        <f>IFERROR(VLOOKUP(Table4[[#This Row],[FromSite-UPS]],Table1[[#All],[Company or Name]:[FromSite3]],15,FALSE),"")</f>
        <v>Heraklion WWTP</v>
      </c>
      <c r="K577" s="20" t="str">
        <f>IFERROR(VLOOKUP(Table4[[#This Row],[FromSite-UPS]],Table1[[#All],[Company or Name]:[FromSite3]],16,FALSE),"")</f>
        <v>Heraklion Airport</v>
      </c>
      <c r="L577" s="20">
        <f>IFERROR(VLOOKUP(Table4[[#This Row],[FromSite-UPS]],Table1[[#All],[Company or Name]:[FromSite3]],14,FALSE),"")</f>
        <v>0.5</v>
      </c>
      <c r="M577" s="13" t="s">
        <v>1011</v>
      </c>
      <c r="N577" s="20"/>
      <c r="O577" s="20"/>
      <c r="P577" s="20"/>
      <c r="Q577" s="20"/>
      <c r="R577" s="20"/>
      <c r="S577" s="20" t="s">
        <v>126</v>
      </c>
      <c r="T577" s="20"/>
      <c r="U577" s="20"/>
      <c r="V577" s="20"/>
      <c r="W577" s="20" t="str">
        <f>TEXT(Table4[[#This Row],[Confirmed Sampling Date]], "yyyy") &amp; "_" &amp; TEXT(Table4[[#This Row],[Confirmed Sampling Date]], "mm") &amp; "_" &amp; TEXT(Table4[[#This Row],[Confirmed Sampling Date]], "dd")</f>
        <v>2025_12_04</v>
      </c>
      <c r="X577" s="20" t="str">
        <f t="shared" si="8"/>
        <v>Heraklion</v>
      </c>
      <c r="Y577" s="20" t="str">
        <f>VLOOKUP(Table4[[#This Row],[FromSite-UPS]],Table1[[Company or Name]:[NOTES]],2,FALSE)</f>
        <v>Greece</v>
      </c>
      <c r="Z577" s="20">
        <f>IFERROR(WEEKNUM(Table4[[#This Row],[Confirmed Sampling Date]] - 10, 21), "TBD")</f>
        <v>48</v>
      </c>
      <c r="AA577" s="20" t="str">
        <f>_xlfn.XLOOKUP(Table4[[#This Row],[FromSite-UPS]],sites!D:D,sites!W:W,"",0)</f>
        <v>Andrea Kalokerinou 13, Pteryga 3D, Giofirakia, 715 00, Greece</v>
      </c>
      <c r="AB577" s="20" t="str">
        <f>_xlfn.XLOOKUP(Table4[[#This Row],[ToLab]],labs!D:D,labs!P:P,"no adres",0)</f>
        <v>Av. Rovisco Pais 1, Laboratorio de Analises de Agua, Lisbon, 1049-001, Portugal</v>
      </c>
      <c r="AC577" s="20">
        <f>_xlfn.XLOOKUP(Table4[[#This Row],[combi]],AREA!E:E,AREA!F:F,"",0)</f>
        <v>89</v>
      </c>
      <c r="AD577" s="20" t="str">
        <f>_xlfn.XLOOKUP(Table4[[#This Row],[combi]],AREA!E:E,AREA!G:G,"",0)</f>
        <v>Pick-up service of hypothetic package as defined in the Tech. Specs. and delivery to lots
2 and 3 contractors according to Scenario 1</v>
      </c>
      <c r="AE577" s="20" t="s">
        <v>126</v>
      </c>
      <c r="AF577" s="20" t="str">
        <f>_xlfn.XLOOKUP(Table4[[#This Row],[FromSite-UPS]],sites!D:D,sites!AB:AB,"",0)&amp;_xlfn.XLOOKUP(Table4[[#This Row],[ToLab]],labs!D:D,labs!Q:Q,"",0)</f>
        <v>EUEU</v>
      </c>
    </row>
    <row r="578" spans="2:32" ht="15.6" hidden="1" customHeight="1" x14ac:dyDescent="0.25">
      <c r="B578" s="13">
        <v>631</v>
      </c>
      <c r="C578" s="14" t="s">
        <v>53</v>
      </c>
      <c r="D578" s="13">
        <v>1</v>
      </c>
      <c r="E578" s="34">
        <v>45995</v>
      </c>
      <c r="F578" s="34">
        <v>45996</v>
      </c>
      <c r="G578" s="20">
        <f>IFERROR(WEEKNUM(Table4[[#This Row],[Confirmed Pick-up Date]]),"TBD")</f>
        <v>49</v>
      </c>
      <c r="H578" s="20" t="str">
        <f>IFERROR(TEXT(Table4[[#This Row],[Confirmed Pick-up Date]],"yy-mm"),"TBD")</f>
        <v>25-12</v>
      </c>
      <c r="I578" s="13" t="s">
        <v>1598</v>
      </c>
      <c r="J578" s="20" t="str">
        <f>IFERROR(VLOOKUP(Table4[[#This Row],[FromSite-UPS]],Table1[[#All],[Company or Name]:[FromSite3]],15,FALSE),"")</f>
        <v>Heraklion WWTP</v>
      </c>
      <c r="K578" s="20" t="str">
        <f>IFERROR(VLOOKUP(Table4[[#This Row],[FromSite-UPS]],Table1[[#All],[Company or Name]:[FromSite3]],16,FALSE),"")</f>
        <v>Heraklion Airport</v>
      </c>
      <c r="L578" s="20">
        <f>IFERROR(VLOOKUP(Table4[[#This Row],[FromSite-UPS]],Table1[[#All],[Company or Name]:[FromSite3]],14,FALSE),"")</f>
        <v>0.5</v>
      </c>
      <c r="M578" s="13" t="s">
        <v>1011</v>
      </c>
      <c r="N578" s="20"/>
      <c r="O578" s="20"/>
      <c r="P578" s="20"/>
      <c r="Q578" s="20"/>
      <c r="R578" s="20"/>
      <c r="S578" s="20" t="s">
        <v>126</v>
      </c>
      <c r="T578" s="20"/>
      <c r="U578" s="20"/>
      <c r="V578" s="20"/>
      <c r="W578" s="20" t="str">
        <f>TEXT(Table4[[#This Row],[Confirmed Sampling Date]], "yyyy") &amp; "_" &amp; TEXT(Table4[[#This Row],[Confirmed Sampling Date]], "mm") &amp; "_" &amp; TEXT(Table4[[#This Row],[Confirmed Sampling Date]], "dd")</f>
        <v>2025_12_04</v>
      </c>
      <c r="X578" s="20" t="str">
        <f t="shared" si="8"/>
        <v>Heraklion</v>
      </c>
      <c r="Y578" s="20" t="str">
        <f>VLOOKUP(Table4[[#This Row],[FromSite-UPS]],Table1[[Company or Name]:[NOTES]],2,FALSE)</f>
        <v>Greece</v>
      </c>
      <c r="Z578" s="20">
        <f>IFERROR(WEEKNUM(Table4[[#This Row],[Confirmed Sampling Date]] - 10, 21), "TBD")</f>
        <v>48</v>
      </c>
      <c r="AA578" s="20" t="str">
        <f>_xlfn.XLOOKUP(Table4[[#This Row],[FromSite-UPS]],sites!D:D,sites!W:W,"",0)</f>
        <v>Andrea Kalokerinou 13, Pteryga 3D, Giofirakia, 715 00, Greece</v>
      </c>
      <c r="AB578" s="20" t="str">
        <f>_xlfn.XLOOKUP(Table4[[#This Row],[ToLab]],labs!D:D,labs!P:P,"no adres",0)</f>
        <v>Av. Rovisco Pais 1, Laboratorio de Analises de Agua, Lisbon, 1049-001, Portugal</v>
      </c>
      <c r="AC578" s="20">
        <f>_xlfn.XLOOKUP(Table4[[#This Row],[combi]],AREA!E:E,AREA!F:F,"",0)</f>
        <v>89</v>
      </c>
      <c r="AD578" s="20" t="str">
        <f>_xlfn.XLOOKUP(Table4[[#This Row],[combi]],AREA!E:E,AREA!G:G,"",0)</f>
        <v>Pick-up service of hypothetic package as defined in the Tech. Specs. and delivery to lots
2 and 3 contractors according to Scenario 1</v>
      </c>
      <c r="AE578" s="20" t="s">
        <v>126</v>
      </c>
      <c r="AF578" s="20" t="str">
        <f>_xlfn.XLOOKUP(Table4[[#This Row],[FromSite-UPS]],sites!D:D,sites!AB:AB,"",0)&amp;_xlfn.XLOOKUP(Table4[[#This Row],[ToLab]],labs!D:D,labs!Q:Q,"",0)</f>
        <v>EUEU</v>
      </c>
    </row>
    <row r="579" spans="2:32" ht="15.6" hidden="1" customHeight="1" x14ac:dyDescent="0.25">
      <c r="B579" s="13">
        <v>20</v>
      </c>
      <c r="C579" s="14" t="s">
        <v>53</v>
      </c>
      <c r="D579" s="13">
        <v>1</v>
      </c>
      <c r="E579" s="79">
        <v>46005</v>
      </c>
      <c r="F579" s="80">
        <v>46006</v>
      </c>
      <c r="G579" s="13">
        <f>IFERROR(WEEKNUM(Table4[[#This Row],[Confirmed Pick-up Date]]),"TBD")</f>
        <v>51</v>
      </c>
      <c r="H579" s="13" t="str">
        <f>IFERROR(TEXT(Table4[[#This Row],[Confirmed Pick-up Date]],"yy-mm"),"TBD")</f>
        <v>25-12</v>
      </c>
      <c r="I579" s="64" t="s">
        <v>13</v>
      </c>
      <c r="J579" s="13" t="str">
        <f>IFERROR(VLOOKUP(Table4[[#This Row],[FromSite-UPS]],Table1[[#All],[Company or Name]:[FromSite3]],15,FALSE),"")</f>
        <v>Berlin (Schoenefeld) WWTP</v>
      </c>
      <c r="K579" s="13" t="str">
        <f>IFERROR(VLOOKUP(Table4[[#This Row],[FromSite-UPS]],Table1[[#All],[Company or Name]:[FromSite3]],16,FALSE),"")</f>
        <v>Berlin Airport</v>
      </c>
      <c r="L579" s="13">
        <f>IFERROR(VLOOKUP(Table4[[#This Row],[FromSite-UPS]],Table1[[#All],[Company or Name]:[FromSite3]],14,FALSE),"")</f>
        <v>0.58333333333333337</v>
      </c>
      <c r="M579" s="13" t="s">
        <v>1011</v>
      </c>
      <c r="N579" s="20"/>
      <c r="O579" s="13"/>
      <c r="P579" s="13"/>
      <c r="Q579" s="20"/>
      <c r="R579" s="20"/>
      <c r="S579" s="20" t="s">
        <v>126</v>
      </c>
      <c r="T579" s="20"/>
      <c r="U579" s="20"/>
      <c r="V579" s="20"/>
      <c r="W579" s="20" t="str">
        <f>TEXT(Table4[[#This Row],[Confirmed Sampling Date]], "yyyy") &amp; "_" &amp; TEXT(Table4[[#This Row],[Confirmed Sampling Date]], "mm") &amp; "_" &amp; TEXT(Table4[[#This Row],[Confirmed Sampling Date]], "dd")</f>
        <v>2025_12_14</v>
      </c>
      <c r="X579" s="20" t="str">
        <f t="shared" si="8"/>
        <v>Berlin</v>
      </c>
      <c r="Y579" s="20" t="str">
        <f>VLOOKUP(Table4[[#This Row],[FromSite-UPS]],Table1[[Company or Name]:[NOTES]],2,FALSE)</f>
        <v>Germany</v>
      </c>
      <c r="Z579" s="20">
        <f>IFERROR(WEEKNUM(Table4[[#This Row],[Confirmed Sampling Date]] - 10, 21), "TBD")</f>
        <v>49</v>
      </c>
      <c r="AA579" s="20" t="str">
        <f>_xlfn.XLOOKUP(Table4[[#This Row],[FromSite-UPS]],sites!D:D,sites!W:W,"",0)</f>
        <v>Strasse am Klarwerk 4, Klarwerk Wassmannsdorf, Schoenefeld, 12529, Germany</v>
      </c>
      <c r="AB579" s="20" t="str">
        <f>_xlfn.XLOOKUP(Table4[[#This Row],[ToLab]],labs!D:D,labs!P:P,"no adres",0)</f>
        <v>Av. Rovisco Pais 1, Laboratorio de Analises de Agua, Lisbon, 1049-001, Portugal</v>
      </c>
      <c r="AC579" s="20">
        <f>_xlfn.XLOOKUP(Table4[[#This Row],[combi]],AREA!E:E,AREA!F:F,"",0)</f>
        <v>89</v>
      </c>
      <c r="AD579" s="20" t="str">
        <f>_xlfn.XLOOKUP(Table4[[#This Row],[combi]],AREA!E:E,AREA!G:G,"",0)</f>
        <v>Pick-up service of hypothetic package as defined in the Tech. Specs. and delivery to lots
2 and 3 contractors according to Scenario 1</v>
      </c>
      <c r="AE579" s="20" t="s">
        <v>126</v>
      </c>
      <c r="AF579" s="20" t="str">
        <f>_xlfn.XLOOKUP(Table4[[#This Row],[FromSite-UPS]],sites!D:D,sites!AB:AB,"",0)&amp;_xlfn.XLOOKUP(Table4[[#This Row],[ToLab]],labs!D:D,labs!Q:Q,"",0)</f>
        <v>EUEU</v>
      </c>
    </row>
    <row r="580" spans="2:32" ht="15.6" hidden="1" customHeight="1" x14ac:dyDescent="0.25">
      <c r="B580" s="13">
        <v>83</v>
      </c>
      <c r="C580" s="14" t="s">
        <v>53</v>
      </c>
      <c r="D580" s="13">
        <v>1</v>
      </c>
      <c r="E580" s="79">
        <v>46005</v>
      </c>
      <c r="F580" s="80">
        <v>46006</v>
      </c>
      <c r="G580" s="20">
        <f>IFERROR(WEEKNUM(Table4[[#This Row],[Confirmed Pick-up Date]]),"TBD")</f>
        <v>51</v>
      </c>
      <c r="H580" s="20" t="str">
        <f>IFERROR(TEXT(Table4[[#This Row],[Confirmed Pick-up Date]],"yy-mm"),"TBD")</f>
        <v>25-12</v>
      </c>
      <c r="I580" s="64" t="s">
        <v>13</v>
      </c>
      <c r="J580" s="20" t="str">
        <f>IFERROR(VLOOKUP(Table4[[#This Row],[FromSite-UPS]],Table1[[#All],[Company or Name]:[FromSite3]],15,FALSE),"")</f>
        <v>Berlin (Schoenefeld) WWTP</v>
      </c>
      <c r="K580" s="20" t="str">
        <f>IFERROR(VLOOKUP(Table4[[#This Row],[FromSite-UPS]],Table1[[#All],[Company or Name]:[FromSite3]],16,FALSE),"")</f>
        <v>Berlin Airport</v>
      </c>
      <c r="L580" s="20">
        <f>IFERROR(VLOOKUP(Table4[[#This Row],[FromSite-UPS]],Table1[[#All],[Company or Name]:[FromSite3]],14,FALSE),"")</f>
        <v>0.58333333333333337</v>
      </c>
      <c r="M580" s="13" t="s">
        <v>1011</v>
      </c>
      <c r="N580" s="20"/>
      <c r="O580" s="13"/>
      <c r="P580" s="13"/>
      <c r="Q580" s="20"/>
      <c r="R580" s="20"/>
      <c r="S580" s="20" t="s">
        <v>126</v>
      </c>
      <c r="T580" s="20"/>
      <c r="U580" s="20"/>
      <c r="V580" s="20"/>
      <c r="W580" s="20" t="str">
        <f>TEXT(Table4[[#This Row],[Confirmed Sampling Date]], "yyyy") &amp; "_" &amp; TEXT(Table4[[#This Row],[Confirmed Sampling Date]], "mm") &amp; "_" &amp; TEXT(Table4[[#This Row],[Confirmed Sampling Date]], "dd")</f>
        <v>2025_12_14</v>
      </c>
      <c r="X580" s="20" t="str">
        <f t="shared" si="8"/>
        <v>Berlin</v>
      </c>
      <c r="Y580" s="20" t="str">
        <f>VLOOKUP(Table4[[#This Row],[FromSite-UPS]],Table1[[Company or Name]:[NOTES]],2,FALSE)</f>
        <v>Germany</v>
      </c>
      <c r="Z580" s="20">
        <f>IFERROR(WEEKNUM(Table4[[#This Row],[Confirmed Sampling Date]] - 10, 21), "TBD")</f>
        <v>49</v>
      </c>
      <c r="AA580" s="20" t="str">
        <f>_xlfn.XLOOKUP(Table4[[#This Row],[FromSite-UPS]],sites!D:D,sites!W:W,"",0)</f>
        <v>Strasse am Klarwerk 4, Klarwerk Wassmannsdorf, Schoenefeld, 12529, Germany</v>
      </c>
      <c r="AB580" s="20" t="str">
        <f>_xlfn.XLOOKUP(Table4[[#This Row],[ToLab]],labs!D:D,labs!P:P,"no adres",0)</f>
        <v>Av. Rovisco Pais 1, Laboratorio de Analises de Agua, Lisbon, 1049-001, Portugal</v>
      </c>
      <c r="AC580" s="20">
        <f>_xlfn.XLOOKUP(Table4[[#This Row],[combi]],AREA!E:E,AREA!F:F,"",0)</f>
        <v>89</v>
      </c>
      <c r="AD580" s="20" t="str">
        <f>_xlfn.XLOOKUP(Table4[[#This Row],[combi]],AREA!E:E,AREA!G:G,"",0)</f>
        <v>Pick-up service of hypothetic package as defined in the Tech. Specs. and delivery to lots
2 and 3 contractors according to Scenario 1</v>
      </c>
      <c r="AE580" s="20" t="s">
        <v>126</v>
      </c>
      <c r="AF580" s="20" t="str">
        <f>_xlfn.XLOOKUP(Table4[[#This Row],[FromSite-UPS]],sites!D:D,sites!AB:AB,"",0)&amp;_xlfn.XLOOKUP(Table4[[#This Row],[ToLab]],labs!D:D,labs!Q:Q,"",0)</f>
        <v>EUEU</v>
      </c>
    </row>
    <row r="581" spans="2:32" ht="15.6" hidden="1" customHeight="1" x14ac:dyDescent="0.25">
      <c r="B581" s="13">
        <v>554</v>
      </c>
      <c r="C581" s="14" t="s">
        <v>53</v>
      </c>
      <c r="D581" s="13">
        <v>1</v>
      </c>
      <c r="E581" s="83">
        <v>46005</v>
      </c>
      <c r="F581" s="83">
        <v>46006</v>
      </c>
      <c r="G581" s="20">
        <f>IFERROR(WEEKNUM(Table4[[#This Row],[Confirmed Pick-up Date]]),"TBD")</f>
        <v>51</v>
      </c>
      <c r="H581" s="20" t="str">
        <f>IFERROR(TEXT(Table4[[#This Row],[Confirmed Pick-up Date]],"yy-mm"),"TBD")</f>
        <v>25-12</v>
      </c>
      <c r="I581" s="13" t="s">
        <v>13</v>
      </c>
      <c r="J581" s="20" t="str">
        <f>IFERROR(VLOOKUP(Table4[[#This Row],[FromSite-UPS]],Table1[[#All],[Company or Name]:[FromSite3]],15,FALSE),"")</f>
        <v>Berlin (Schoenefeld) WWTP</v>
      </c>
      <c r="K581" s="20" t="str">
        <f>IFERROR(VLOOKUP(Table4[[#This Row],[FromSite-UPS]],Table1[[#All],[Company or Name]:[FromSite3]],16,FALSE),"")</f>
        <v>Berlin Airport</v>
      </c>
      <c r="L581" s="20">
        <f>IFERROR(VLOOKUP(Table4[[#This Row],[FromSite-UPS]],Table1[[#All],[Company or Name]:[FromSite3]],14,FALSE),"")</f>
        <v>0.58333333333333337</v>
      </c>
      <c r="M581" s="13" t="s">
        <v>1283</v>
      </c>
      <c r="N581" s="20"/>
      <c r="O581" s="20"/>
      <c r="P581" s="20"/>
      <c r="Q581" s="20"/>
      <c r="R581" s="20"/>
      <c r="S581" s="20" t="s">
        <v>126</v>
      </c>
      <c r="T581" s="20"/>
      <c r="U581" s="20"/>
      <c r="V581" s="20"/>
      <c r="W581" s="20" t="str">
        <f>TEXT(Table4[[#This Row],[Confirmed Sampling Date]], "yyyy") &amp; "_" &amp; TEXT(Table4[[#This Row],[Confirmed Sampling Date]], "mm") &amp; "_" &amp; TEXT(Table4[[#This Row],[Confirmed Sampling Date]], "dd")</f>
        <v>2025_12_14</v>
      </c>
      <c r="X581" s="20" t="str">
        <f t="shared" ref="X581:X638" si="9">IFERROR(LEFT(J581, FIND(" ", J581) - 1), J581)</f>
        <v>Berlin</v>
      </c>
      <c r="Y581" s="20" t="str">
        <f>VLOOKUP(Table4[[#This Row],[FromSite-UPS]],Table1[[Company or Name]:[NOTES]],2,FALSE)</f>
        <v>Germany</v>
      </c>
      <c r="Z581" s="20">
        <f>IFERROR(WEEKNUM(Table4[[#This Row],[Confirmed Sampling Date]] - 10, 21), "TBD")</f>
        <v>49</v>
      </c>
      <c r="AA581" s="20" t="str">
        <f>_xlfn.XLOOKUP(Table4[[#This Row],[FromSite-UPS]],sites!D:D,sites!W:W,"",0)</f>
        <v>Strasse am Klarwerk 4, Klarwerk Wassmannsdorf, Schoenefeld, 12529, Germany</v>
      </c>
      <c r="AB581" s="20" t="str">
        <f>_xlfn.XLOOKUP(Table4[[#This Row],[ToLab]],labs!D:D,labs!P:P,"no adres",0)</f>
        <v>C. del Dracma 16-18, Labaqua SAU - Sede Alicante, Alicante, 03114 , Spain</v>
      </c>
      <c r="AC581" s="20">
        <f>_xlfn.XLOOKUP(Table4[[#This Row],[combi]],AREA!E:E,AREA!F:F,"",0)</f>
        <v>89</v>
      </c>
      <c r="AD581" s="20" t="str">
        <f>_xlfn.XLOOKUP(Table4[[#This Row],[combi]],AREA!E:E,AREA!G:G,"",0)</f>
        <v>Pick-up service of hypothetic package as defined in the Tech. Specs. and delivery to lots
2 and 3 contractors according to Scenario 1</v>
      </c>
      <c r="AE581" s="20" t="s">
        <v>126</v>
      </c>
      <c r="AF581" s="20" t="str">
        <f>_xlfn.XLOOKUP(Table4[[#This Row],[FromSite-UPS]],sites!D:D,sites!AB:AB,"",0)&amp;_xlfn.XLOOKUP(Table4[[#This Row],[ToLab]],labs!D:D,labs!Q:Q,"",0)</f>
        <v>EUEU</v>
      </c>
    </row>
    <row r="582" spans="2:32" ht="15.6" hidden="1" customHeight="1" x14ac:dyDescent="0.25">
      <c r="B582" s="13">
        <v>562</v>
      </c>
      <c r="C582" s="14" t="s">
        <v>53</v>
      </c>
      <c r="D582" s="13">
        <v>1</v>
      </c>
      <c r="E582" s="83">
        <v>46005</v>
      </c>
      <c r="F582" s="83">
        <v>46006</v>
      </c>
      <c r="G582" s="20">
        <v>51</v>
      </c>
      <c r="H582" s="20" t="s">
        <v>1289</v>
      </c>
      <c r="I582" s="13" t="s">
        <v>13</v>
      </c>
      <c r="J582" s="20" t="s">
        <v>363</v>
      </c>
      <c r="K582" s="20" t="s">
        <v>58</v>
      </c>
      <c r="L582" s="13" t="s">
        <v>1283</v>
      </c>
      <c r="M582" s="13" t="s">
        <v>1283</v>
      </c>
      <c r="N582" s="20"/>
      <c r="O582" s="20"/>
      <c r="P582" s="20"/>
      <c r="Q582" s="20"/>
      <c r="R582" s="20"/>
      <c r="S582" s="20" t="s">
        <v>126</v>
      </c>
      <c r="T582" s="20"/>
      <c r="U582" s="20"/>
      <c r="V582" s="20"/>
      <c r="W582" s="20" t="str">
        <f>TEXT(Table4[[#This Row],[Confirmed Sampling Date]], "yyyy") &amp; "_" &amp; TEXT(Table4[[#This Row],[Confirmed Sampling Date]], "mm") &amp; "_" &amp; TEXT(Table4[[#This Row],[Confirmed Sampling Date]], "dd")</f>
        <v>2025_12_14</v>
      </c>
      <c r="X582" s="20" t="str">
        <f t="shared" si="9"/>
        <v>Berlin</v>
      </c>
      <c r="Y582" s="20" t="str">
        <f>VLOOKUP(Table4[[#This Row],[FromSite-UPS]],Table1[[Company or Name]:[NOTES]],2,FALSE)</f>
        <v>Germany</v>
      </c>
      <c r="Z582" s="20">
        <f>IFERROR(WEEKNUM(Table4[[#This Row],[Confirmed Sampling Date]] - 10, 21), "TBD")</f>
        <v>49</v>
      </c>
      <c r="AA582" s="20" t="str">
        <f>_xlfn.XLOOKUP(Table4[[#This Row],[FromSite-UPS]],sites!D:D,sites!W:W,"",0)</f>
        <v>Strasse am Klarwerk 4, Klarwerk Wassmannsdorf, Schoenefeld, 12529, Germany</v>
      </c>
      <c r="AB582" s="20" t="str">
        <f>_xlfn.XLOOKUP(Table4[[#This Row],[ToLab]],labs!D:D,labs!P:P,"no adres",0)</f>
        <v>C. del Dracma 16-18, Labaqua SAU - Sede Alicante, Alicante, 03114 , Spain</v>
      </c>
      <c r="AC582" s="20">
        <f>_xlfn.XLOOKUP(Table4[[#This Row],[combi]],AREA!E:E,AREA!F:F,"",0)</f>
        <v>89</v>
      </c>
      <c r="AD582" s="20" t="str">
        <f>_xlfn.XLOOKUP(Table4[[#This Row],[combi]],AREA!E:E,AREA!G:G,"",0)</f>
        <v>Pick-up service of hypothetic package as defined in the Tech. Specs. and delivery to lots
2 and 3 contractors according to Scenario 1</v>
      </c>
      <c r="AE582" s="20" t="s">
        <v>126</v>
      </c>
      <c r="AF582" s="20" t="str">
        <f>_xlfn.XLOOKUP(Table4[[#This Row],[FromSite-UPS]],sites!D:D,sites!AB:AB,"",0)&amp;_xlfn.XLOOKUP(Table4[[#This Row],[ToLab]],labs!D:D,labs!Q:Q,"",0)</f>
        <v>EUEU</v>
      </c>
    </row>
    <row r="583" spans="2:32" ht="15.6" hidden="1" customHeight="1" x14ac:dyDescent="0.25">
      <c r="B583" s="13">
        <v>61</v>
      </c>
      <c r="C583" s="14" t="s">
        <v>53</v>
      </c>
      <c r="D583" s="13">
        <v>1</v>
      </c>
      <c r="E583" s="79">
        <v>46006</v>
      </c>
      <c r="F583" s="80">
        <v>46007</v>
      </c>
      <c r="G583" s="20">
        <f>IFERROR(WEEKNUM(Table4[[#This Row],[Confirmed Pick-up Date]]),"TBD")</f>
        <v>51</v>
      </c>
      <c r="H583" s="20" t="str">
        <f>IFERROR(TEXT(Table4[[#This Row],[Confirmed Pick-up Date]],"yy-mm"),"TBD")</f>
        <v>25-12</v>
      </c>
      <c r="I583" s="13" t="s">
        <v>364</v>
      </c>
      <c r="J583" s="20" t="str">
        <f>IFERROR(VLOOKUP(Table4[[#This Row],[FromSite-UPS]],Table1[[#All],[Company or Name]:[FromSite3]],15,FALSE),"")</f>
        <v>Brussels WWTP</v>
      </c>
      <c r="K583" s="20" t="str">
        <f>IFERROR(VLOOKUP(Table4[[#This Row],[FromSite-UPS]],Table1[[#All],[Company or Name]:[FromSite3]],16,FALSE),"")</f>
        <v>Brussels Airport</v>
      </c>
      <c r="L583" s="20">
        <f>IFERROR(VLOOKUP(Table4[[#This Row],[FromSite-UPS]],Table1[[#All],[Company or Name]:[FromSite3]],14,FALSE),"")</f>
        <v>0.70833333333333337</v>
      </c>
      <c r="M583" s="13" t="s">
        <v>1011</v>
      </c>
      <c r="N583" s="20"/>
      <c r="O583" s="13"/>
      <c r="P583" s="13"/>
      <c r="Q583" s="20"/>
      <c r="R583" s="20"/>
      <c r="S583" s="20" t="s">
        <v>126</v>
      </c>
      <c r="T583" s="20"/>
      <c r="U583" s="20"/>
      <c r="V583" s="20"/>
      <c r="W583" s="20" t="str">
        <f>TEXT(Table4[[#This Row],[Confirmed Sampling Date]], "yyyy") &amp; "_" &amp; TEXT(Table4[[#This Row],[Confirmed Sampling Date]], "mm") &amp; "_" &amp; TEXT(Table4[[#This Row],[Confirmed Sampling Date]], "dd")</f>
        <v>2025_12_15</v>
      </c>
      <c r="X583" s="20" t="str">
        <f t="shared" si="9"/>
        <v>Brussels</v>
      </c>
      <c r="Y583" s="20" t="str">
        <f>VLOOKUP(Table4[[#This Row],[FromSite-UPS]],Table1[[Company or Name]:[NOTES]],2,FALSE)</f>
        <v>Belgium</v>
      </c>
      <c r="Z583" s="20">
        <f>IFERROR(WEEKNUM(Table4[[#This Row],[Confirmed Sampling Date]] - 10, 21), "TBD")</f>
        <v>49</v>
      </c>
      <c r="AA583" s="20" t="str">
        <f>_xlfn.XLOOKUP(Table4[[#This Row],[FromSite-UPS]],sites!D:D,sites!W:W,"",0)</f>
        <v>Rue Juliette Wytsmanstraat 14, Brussels, 1050, Belgium</v>
      </c>
      <c r="AB583" s="20" t="str">
        <f>_xlfn.XLOOKUP(Table4[[#This Row],[ToLab]],labs!D:D,labs!P:P,"no adres",0)</f>
        <v>Av. Rovisco Pais 1, Laboratorio de Analises de Agua, Lisbon, 1049-001, Portugal</v>
      </c>
      <c r="AC583" s="20">
        <f>_xlfn.XLOOKUP(Table4[[#This Row],[combi]],AREA!E:E,AREA!F:F,"",0)</f>
        <v>89</v>
      </c>
      <c r="AD583" s="20" t="str">
        <f>_xlfn.XLOOKUP(Table4[[#This Row],[combi]],AREA!E:E,AREA!G:G,"",0)</f>
        <v>Pick-up service of hypothetic package as defined in the Tech. Specs. and delivery to lots
2 and 3 contractors according to Scenario 1</v>
      </c>
      <c r="AE583" s="20" t="s">
        <v>126</v>
      </c>
      <c r="AF583" s="20" t="str">
        <f>_xlfn.XLOOKUP(Table4[[#This Row],[FromSite-UPS]],sites!D:D,sites!AB:AB,"",0)&amp;_xlfn.XLOOKUP(Table4[[#This Row],[ToLab]],labs!D:D,labs!Q:Q,"",0)</f>
        <v>EUEU</v>
      </c>
    </row>
    <row r="584" spans="2:32" ht="15.6" hidden="1" customHeight="1" x14ac:dyDescent="0.25">
      <c r="B584" s="13">
        <v>124</v>
      </c>
      <c r="C584" s="14" t="s">
        <v>53</v>
      </c>
      <c r="D584" s="13">
        <v>1</v>
      </c>
      <c r="E584" s="79">
        <v>46006</v>
      </c>
      <c r="F584" s="80">
        <v>46007</v>
      </c>
      <c r="G584" s="20">
        <f>IFERROR(WEEKNUM(Table4[[#This Row],[Confirmed Pick-up Date]]),"TBD")</f>
        <v>51</v>
      </c>
      <c r="H584" s="20" t="str">
        <f>IFERROR(TEXT(Table4[[#This Row],[Confirmed Pick-up Date]],"yy-mm"),"TBD")</f>
        <v>25-12</v>
      </c>
      <c r="I584" s="13" t="s">
        <v>364</v>
      </c>
      <c r="J584" s="20" t="str">
        <f>IFERROR(VLOOKUP(Table4[[#This Row],[FromSite-UPS]],Table1[[#All],[Company or Name]:[FromSite3]],15,FALSE),"")</f>
        <v>Brussels WWTP</v>
      </c>
      <c r="K584" s="20" t="str">
        <f>IFERROR(VLOOKUP(Table4[[#This Row],[FromSite-UPS]],Table1[[#All],[Company or Name]:[FromSite3]],16,FALSE),"")</f>
        <v>Brussels Airport</v>
      </c>
      <c r="L584" s="20">
        <f>IFERROR(VLOOKUP(Table4[[#This Row],[FromSite-UPS]],Table1[[#All],[Company or Name]:[FromSite3]],14,FALSE),"")</f>
        <v>0.70833333333333337</v>
      </c>
      <c r="M584" s="13" t="s">
        <v>1011</v>
      </c>
      <c r="N584" s="20"/>
      <c r="O584" s="13"/>
      <c r="P584" s="13"/>
      <c r="Q584" s="20"/>
      <c r="R584" s="20"/>
      <c r="S584" s="20" t="s">
        <v>126</v>
      </c>
      <c r="T584" s="20"/>
      <c r="U584" s="20"/>
      <c r="V584" s="20"/>
      <c r="W584" s="20" t="str">
        <f>TEXT(Table4[[#This Row],[Confirmed Sampling Date]], "yyyy") &amp; "_" &amp; TEXT(Table4[[#This Row],[Confirmed Sampling Date]], "mm") &amp; "_" &amp; TEXT(Table4[[#This Row],[Confirmed Sampling Date]], "dd")</f>
        <v>2025_12_15</v>
      </c>
      <c r="X584" s="20" t="str">
        <f t="shared" si="9"/>
        <v>Brussels</v>
      </c>
      <c r="Y584" s="20" t="str">
        <f>VLOOKUP(Table4[[#This Row],[FromSite-UPS]],Table1[[Company or Name]:[NOTES]],2,FALSE)</f>
        <v>Belgium</v>
      </c>
      <c r="Z584" s="20">
        <f>IFERROR(WEEKNUM(Table4[[#This Row],[Confirmed Sampling Date]] - 10, 21), "TBD")</f>
        <v>49</v>
      </c>
      <c r="AA584" s="20" t="str">
        <f>_xlfn.XLOOKUP(Table4[[#This Row],[FromSite-UPS]],sites!D:D,sites!W:W,"",0)</f>
        <v>Rue Juliette Wytsmanstraat 14, Brussels, 1050, Belgium</v>
      </c>
      <c r="AB584" s="20" t="str">
        <f>_xlfn.XLOOKUP(Table4[[#This Row],[ToLab]],labs!D:D,labs!P:P,"no adres",0)</f>
        <v>Av. Rovisco Pais 1, Laboratorio de Analises de Agua, Lisbon, 1049-001, Portugal</v>
      </c>
      <c r="AC584" s="20">
        <f>_xlfn.XLOOKUP(Table4[[#This Row],[combi]],AREA!E:E,AREA!F:F,"",0)</f>
        <v>89</v>
      </c>
      <c r="AD584" s="20" t="str">
        <f>_xlfn.XLOOKUP(Table4[[#This Row],[combi]],AREA!E:E,AREA!G:G,"",0)</f>
        <v>Pick-up service of hypothetic package as defined in the Tech. Specs. and delivery to lots
2 and 3 contractors according to Scenario 1</v>
      </c>
      <c r="AE584" s="20" t="s">
        <v>126</v>
      </c>
      <c r="AF584" s="20" t="str">
        <f>_xlfn.XLOOKUP(Table4[[#This Row],[FromSite-UPS]],sites!D:D,sites!AB:AB,"",0)&amp;_xlfn.XLOOKUP(Table4[[#This Row],[ToLab]],labs!D:D,labs!Q:Q,"",0)</f>
        <v>EUEU</v>
      </c>
    </row>
    <row r="585" spans="2:32" ht="15.6" hidden="1" customHeight="1" x14ac:dyDescent="0.25">
      <c r="B585" s="13">
        <v>250</v>
      </c>
      <c r="C585" s="14" t="s">
        <v>53</v>
      </c>
      <c r="D585" s="13">
        <v>1</v>
      </c>
      <c r="E585" s="79">
        <v>46007</v>
      </c>
      <c r="F585" s="80">
        <v>46007</v>
      </c>
      <c r="G585" s="20">
        <f>IFERROR(WEEKNUM(Table4[[#This Row],[Confirmed Pick-up Date]]),"TBD")</f>
        <v>51</v>
      </c>
      <c r="H585" s="20" t="str">
        <f>IFERROR(TEXT(Table4[[#This Row],[Confirmed Pick-up Date]],"yy-mm"),"TBD")</f>
        <v>25-12</v>
      </c>
      <c r="I585" s="64" t="s">
        <v>863</v>
      </c>
      <c r="J585" s="20" t="str">
        <f>IFERROR(VLOOKUP(Table4[[#This Row],[FromSite-UPS]],Table1[[#All],[Company or Name]:[FromSite3]],15,FALSE),"")</f>
        <v>Dusseldorf WWTP 2101</v>
      </c>
      <c r="K585" s="20" t="str">
        <f>IFERROR(VLOOKUP(Table4[[#This Row],[FromSite-UPS]],Table1[[#All],[Company or Name]:[FromSite3]],16,FALSE),"")</f>
        <v>Dusseldorf WWTP 601</v>
      </c>
      <c r="L585" s="20">
        <f>IFERROR(VLOOKUP(Table4[[#This Row],[FromSite-UPS]],Table1[[#All],[Company or Name]:[FromSite3]],14,FALSE),"")</f>
        <v>0.625</v>
      </c>
      <c r="M585" s="44" t="s">
        <v>1011</v>
      </c>
      <c r="N585" s="20"/>
      <c r="O585" s="20"/>
      <c r="P585" s="20"/>
      <c r="Q585" s="20"/>
      <c r="R585" s="20"/>
      <c r="S585" s="20" t="s">
        <v>126</v>
      </c>
      <c r="T585" s="20"/>
      <c r="U585" s="20"/>
      <c r="V585" s="20"/>
      <c r="W585" s="20" t="str">
        <f>TEXT(Table4[[#This Row],[Confirmed Sampling Date]], "yyyy") &amp; "_" &amp; TEXT(Table4[[#This Row],[Confirmed Sampling Date]], "mm") &amp; "_" &amp; TEXT(Table4[[#This Row],[Confirmed Sampling Date]], "dd")</f>
        <v>2025_12_16</v>
      </c>
      <c r="X585" s="20" t="str">
        <f t="shared" si="9"/>
        <v>Dusseldorf</v>
      </c>
      <c r="Y585" s="20" t="str">
        <f>VLOOKUP(Table4[[#This Row],[FromSite-UPS]],Table1[[Company or Name]:[NOTES]],2,FALSE)</f>
        <v>Germany</v>
      </c>
      <c r="Z585" s="20">
        <f>IFERROR(WEEKNUM(Table4[[#This Row],[Confirmed Sampling Date]] - 10, 21), "TBD")</f>
        <v>49</v>
      </c>
      <c r="AA585" s="20" t="str">
        <f>_xlfn.XLOOKUP(Table4[[#This Row],[FromSite-UPS]],sites!D:D,sites!W:W,"",0)</f>
        <v>Auf dem Draap 15, Chemisch-Biologische Laboratorien, Dusseldorf, 40221, Germany</v>
      </c>
      <c r="AB585" s="20" t="str">
        <f>_xlfn.XLOOKUP(Table4[[#This Row],[ToLab]],labs!D:D,labs!P:P,"no adres",0)</f>
        <v>Av. Rovisco Pais 1, Laboratorio de Analises de Agua, Lisbon, 1049-001, Portugal</v>
      </c>
      <c r="AC585" s="20">
        <f>_xlfn.XLOOKUP(Table4[[#This Row],[combi]],AREA!E:E,AREA!F:F,"",0)</f>
        <v>89</v>
      </c>
      <c r="AD585" s="20" t="str">
        <f>_xlfn.XLOOKUP(Table4[[#This Row],[combi]],AREA!E:E,AREA!G:G,"",0)</f>
        <v>Pick-up service of hypothetic package as defined in the Tech. Specs. and delivery to lots
2 and 3 contractors according to Scenario 1</v>
      </c>
      <c r="AE585" s="20" t="s">
        <v>126</v>
      </c>
      <c r="AF585" s="20" t="str">
        <f>_xlfn.XLOOKUP(Table4[[#This Row],[FromSite-UPS]],sites!D:D,sites!AB:AB,"",0)&amp;_xlfn.XLOOKUP(Table4[[#This Row],[ToLab]],labs!D:D,labs!Q:Q,"",0)</f>
        <v>EUEU</v>
      </c>
    </row>
    <row r="586" spans="2:32" ht="15.6" hidden="1" customHeight="1" x14ac:dyDescent="0.25">
      <c r="B586" s="13">
        <v>262</v>
      </c>
      <c r="C586" s="14" t="s">
        <v>53</v>
      </c>
      <c r="D586" s="13">
        <v>1</v>
      </c>
      <c r="E586" s="79">
        <v>46007</v>
      </c>
      <c r="F586" s="81">
        <v>46007</v>
      </c>
      <c r="G586" s="65">
        <f>IFERROR(WEEKNUM(Table4[[#This Row],[Confirmed Pick-up Date]]),"TBD")</f>
        <v>51</v>
      </c>
      <c r="H586" s="65" t="str">
        <f>IFERROR(TEXT(Table4[[#This Row],[Confirmed Pick-up Date]],"yy-mm"),"TBD")</f>
        <v>25-12</v>
      </c>
      <c r="I586" s="67" t="s">
        <v>863</v>
      </c>
      <c r="J586" s="65" t="str">
        <f>IFERROR(VLOOKUP(Table4[[#This Row],[FromSite-UPS]],Table1[[#All],[Company or Name]:[FromSite3]],15,FALSE),"")</f>
        <v>Dusseldorf WWTP 2101</v>
      </c>
      <c r="K586" s="65" t="str">
        <f>IFERROR(VLOOKUP(Table4[[#This Row],[FromSite-UPS]],Table1[[#All],[Company or Name]:[FromSite3]],16,FALSE),"")</f>
        <v>Dusseldorf WWTP 601</v>
      </c>
      <c r="L586" s="65">
        <f>IFERROR(VLOOKUP(Table4[[#This Row],[FromSite-UPS]],Table1[[#All],[Company or Name]:[FromSite3]],14,FALSE),"")</f>
        <v>0.625</v>
      </c>
      <c r="M586" s="64" t="s">
        <v>1011</v>
      </c>
      <c r="N586" s="65"/>
      <c r="O586" s="65"/>
      <c r="P586" s="65"/>
      <c r="Q586" s="65"/>
      <c r="R586" s="20"/>
      <c r="S586" s="20" t="s">
        <v>126</v>
      </c>
      <c r="T586" s="65"/>
      <c r="U586" s="65"/>
      <c r="V586" s="65"/>
      <c r="W586" s="65" t="str">
        <f>TEXT(Table4[[#This Row],[Confirmed Sampling Date]], "yyyy") &amp; "_" &amp; TEXT(Table4[[#This Row],[Confirmed Sampling Date]], "mm") &amp; "_" &amp; TEXT(Table4[[#This Row],[Confirmed Sampling Date]], "dd")</f>
        <v>2025_12_16</v>
      </c>
      <c r="X586" s="65" t="str">
        <f t="shared" si="9"/>
        <v>Dusseldorf</v>
      </c>
      <c r="Y586" s="65" t="str">
        <f>VLOOKUP(Table4[[#This Row],[FromSite-UPS]],Table1[[Company or Name]:[NOTES]],2,FALSE)</f>
        <v>Germany</v>
      </c>
      <c r="Z586" s="65">
        <f>IFERROR(WEEKNUM(Table4[[#This Row],[Confirmed Sampling Date]] - 10, 21), "TBD")</f>
        <v>49</v>
      </c>
      <c r="AA586" s="20" t="str">
        <f>_xlfn.XLOOKUP(Table4[[#This Row],[FromSite-UPS]],sites!D:D,sites!W:W,"",0)</f>
        <v>Auf dem Draap 15, Chemisch-Biologische Laboratorien, Dusseldorf, 40221, Germany</v>
      </c>
      <c r="AB586" s="20" t="str">
        <f>_xlfn.XLOOKUP(Table4[[#This Row],[ToLab]],labs!D:D,labs!P:P,"no adres",0)</f>
        <v>Av. Rovisco Pais 1, Laboratorio de Analises de Agua, Lisbon, 1049-001, Portugal</v>
      </c>
      <c r="AC586" s="20">
        <f>_xlfn.XLOOKUP(Table4[[#This Row],[combi]],AREA!E:E,AREA!F:F,"",0)</f>
        <v>89</v>
      </c>
      <c r="AD586" s="20" t="str">
        <f>_xlfn.XLOOKUP(Table4[[#This Row],[combi]],AREA!E:E,AREA!G:G,"",0)</f>
        <v>Pick-up service of hypothetic package as defined in the Tech. Specs. and delivery to lots
2 and 3 contractors according to Scenario 1</v>
      </c>
      <c r="AE586" s="20" t="s">
        <v>126</v>
      </c>
      <c r="AF586" s="20" t="str">
        <f>_xlfn.XLOOKUP(Table4[[#This Row],[FromSite-UPS]],sites!D:D,sites!AB:AB,"",0)&amp;_xlfn.XLOOKUP(Table4[[#This Row],[ToLab]],labs!D:D,labs!Q:Q,"",0)</f>
        <v>EUEU</v>
      </c>
    </row>
    <row r="587" spans="2:32" ht="15.6" hidden="1" customHeight="1" x14ac:dyDescent="0.25">
      <c r="B587" s="13">
        <v>519</v>
      </c>
      <c r="C587" s="14" t="s">
        <v>53</v>
      </c>
      <c r="D587" s="13">
        <v>1</v>
      </c>
      <c r="E587" s="79">
        <v>46007</v>
      </c>
      <c r="F587" s="80">
        <v>46007</v>
      </c>
      <c r="G587" s="20">
        <f>IFERROR(WEEKNUM(Table4[[#This Row],[Confirmed Pick-up Date]]),"TBD")</f>
        <v>51</v>
      </c>
      <c r="H587" s="20" t="str">
        <f>IFERROR(TEXT(Table4[[#This Row],[Confirmed Pick-up Date]],"yy-mm"),"TBD")</f>
        <v>25-12</v>
      </c>
      <c r="I587" s="78" t="s">
        <v>1125</v>
      </c>
      <c r="J587" s="20" t="str">
        <f>IFERROR(VLOOKUP(Table4[[#This Row],[FromSite-UPS]],Table1[[#All],[Company or Name]:[FromSite3]],15,FALSE),"")</f>
        <v>Cluj-SCBI</v>
      </c>
      <c r="K587" s="20" t="str">
        <f>IFERROR(VLOOKUP(Table4[[#This Row],[FromSite-UPS]],Table1[[#All],[Company or Name]:[FromSite3]],16,FALSE),"")</f>
        <v>-</v>
      </c>
      <c r="L587" s="20">
        <f>IFERROR(VLOOKUP(Table4[[#This Row],[FromSite-UPS]],Table1[[#All],[Company or Name]:[FromSite3]],14,FALSE),"")</f>
        <v>0.66666666666666663</v>
      </c>
      <c r="M587" s="13" t="s">
        <v>1011</v>
      </c>
      <c r="N587" s="20"/>
      <c r="O587" s="20"/>
      <c r="P587" s="20"/>
      <c r="Q587" s="20"/>
      <c r="R587" s="20"/>
      <c r="S587" s="20" t="s">
        <v>126</v>
      </c>
      <c r="T587" s="20"/>
      <c r="U587" s="20"/>
      <c r="V587" s="20"/>
      <c r="W587" s="20" t="str">
        <f>TEXT(Table4[[#This Row],[Confirmed Sampling Date]], "yyyy") &amp; "_" &amp; TEXT(Table4[[#This Row],[Confirmed Sampling Date]], "mm") &amp; "_" &amp; TEXT(Table4[[#This Row],[Confirmed Sampling Date]], "dd")</f>
        <v>2025_12_16</v>
      </c>
      <c r="X587" s="20" t="str">
        <f t="shared" si="9"/>
        <v>Cluj-SCBI</v>
      </c>
      <c r="Y587" s="20" t="str">
        <f>VLOOKUP(Table4[[#This Row],[FromSite-UPS]],Table1[[Company or Name]:[NOTES]],2,FALSE)</f>
        <v>Romania</v>
      </c>
      <c r="Z587" s="20">
        <f>IFERROR(WEEKNUM(Table4[[#This Row],[Confirmed Sampling Date]] - 10, 21), "TBD")</f>
        <v>49</v>
      </c>
      <c r="AA587" s="20" t="str">
        <f>_xlfn.XLOOKUP(Table4[[#This Row],[FromSite-UPS]],sites!D:D,sites!W:W,"",0)</f>
        <v>Strada Iuliu Moldovan 23, Cluj-Napoca, 400003, Romania</v>
      </c>
      <c r="AB587" s="20" t="str">
        <f>_xlfn.XLOOKUP(Table4[[#This Row],[ToLab]],labs!D:D,labs!P:P,"no adres",0)</f>
        <v>Av. Rovisco Pais 1, Laboratorio de Analises de Agua, Lisbon, 1049-001, Portugal</v>
      </c>
      <c r="AC587" s="20" t="str">
        <f>_xlfn.XLOOKUP(Table4[[#This Row],[combi]],AREA!E:E,AREA!F:F,"",0)</f>
        <v/>
      </c>
      <c r="AD587" s="20" t="str">
        <f>_xlfn.XLOOKUP(Table4[[#This Row],[combi]],AREA!E:E,AREA!G:G,"",0)</f>
        <v/>
      </c>
      <c r="AE587" s="20" t="s">
        <v>126</v>
      </c>
      <c r="AF587" s="20" t="s">
        <v>126</v>
      </c>
    </row>
    <row r="588" spans="2:32" ht="15.6" hidden="1" customHeight="1" x14ac:dyDescent="0.25">
      <c r="B588" s="13">
        <v>528</v>
      </c>
      <c r="C588" s="14" t="s">
        <v>53</v>
      </c>
      <c r="D588" s="13">
        <v>1</v>
      </c>
      <c r="E588" s="79">
        <v>46007</v>
      </c>
      <c r="F588" s="80">
        <v>46007</v>
      </c>
      <c r="G588" s="20">
        <f>IFERROR(WEEKNUM(Table4[[#This Row],[Confirmed Pick-up Date]]),"TBD")</f>
        <v>51</v>
      </c>
      <c r="H588" s="20" t="str">
        <f>IFERROR(TEXT(Table4[[#This Row],[Confirmed Pick-up Date]],"yy-mm"),"TBD")</f>
        <v>25-12</v>
      </c>
      <c r="I588" s="78" t="s">
        <v>1132</v>
      </c>
      <c r="J588" s="20" t="str">
        <f>IFERROR(VLOOKUP(Table4[[#This Row],[FromSite-UPS]],Table1[[#All],[Company or Name]:[FromSite3]],15,FALSE),"")</f>
        <v>Cluj-MNC</v>
      </c>
      <c r="K588" s="20" t="str">
        <f>IFERROR(VLOOKUP(Table4[[#This Row],[FromSite-UPS]],Table1[[#All],[Company or Name]:[FromSite3]],16,FALSE),"")</f>
        <v>-</v>
      </c>
      <c r="L588" s="20">
        <f>IFERROR(VLOOKUP(Table4[[#This Row],[FromSite-UPS]],Table1[[#All],[Company or Name]:[FromSite3]],14,FALSE),"")</f>
        <v>0.66666666666666663</v>
      </c>
      <c r="M588" s="13" t="s">
        <v>1011</v>
      </c>
      <c r="N588" s="20"/>
      <c r="O588" s="20"/>
      <c r="P588" s="20"/>
      <c r="Q588" s="20"/>
      <c r="R588" s="20"/>
      <c r="S588" s="20" t="s">
        <v>126</v>
      </c>
      <c r="T588" s="20"/>
      <c r="U588" s="20"/>
      <c r="V588" s="20"/>
      <c r="W588" s="20" t="str">
        <f>TEXT(Table4[[#This Row],[Confirmed Sampling Date]], "yyyy") &amp; "_" &amp; TEXT(Table4[[#This Row],[Confirmed Sampling Date]], "mm") &amp; "_" &amp; TEXT(Table4[[#This Row],[Confirmed Sampling Date]], "dd")</f>
        <v>2025_12_16</v>
      </c>
      <c r="X588" s="20" t="str">
        <f t="shared" si="9"/>
        <v>Cluj-MNC</v>
      </c>
      <c r="Y588" s="20" t="str">
        <f>VLOOKUP(Table4[[#This Row],[FromSite-UPS]],Table1[[Company or Name]:[NOTES]],2,FALSE)</f>
        <v>Romania</v>
      </c>
      <c r="Z588" s="20">
        <f>IFERROR(WEEKNUM(Table4[[#This Row],[Confirmed Sampling Date]] - 10, 21), "TBD")</f>
        <v>49</v>
      </c>
      <c r="AA588" s="20" t="str">
        <f>_xlfn.XLOOKUP(Table4[[#This Row],[FromSite-UPS]],sites!D:D,sites!W:W,"",0)</f>
        <v>Strada Tăbăcarilor 11, Cluj-Napoca, 400139, Romania</v>
      </c>
      <c r="AB588" s="20" t="str">
        <f>_xlfn.XLOOKUP(Table4[[#This Row],[ToLab]],labs!D:D,labs!P:P,"no adres",0)</f>
        <v>Av. Rovisco Pais 1, Laboratorio de Analises de Agua, Lisbon, 1049-001, Portugal</v>
      </c>
      <c r="AC588" s="20">
        <f>_xlfn.XLOOKUP(Table4[[#This Row],[combi]],AREA!E:E,AREA!F:F,"",0)</f>
        <v>89</v>
      </c>
      <c r="AD588" s="20" t="str">
        <f>_xlfn.XLOOKUP(Table4[[#This Row],[combi]],AREA!E:E,AREA!G:G,"",0)</f>
        <v>Pick-up service of hypothetic package as defined in the Tech. Specs. and delivery to lots
2 and 3 contractors according to Scenario 1</v>
      </c>
      <c r="AE588" s="20" t="s">
        <v>126</v>
      </c>
      <c r="AF588" s="20" t="str">
        <f>_xlfn.XLOOKUP(Table4[[#This Row],[FromSite-UPS]],sites!D:D,sites!AB:AB,"",0)&amp;_xlfn.XLOOKUP(Table4[[#This Row],[ToLab]],labs!D:D,labs!Q:Q,"",0)</f>
        <v>EUEU</v>
      </c>
    </row>
    <row r="589" spans="2:32" ht="15.6" hidden="1" customHeight="1" x14ac:dyDescent="0.25">
      <c r="B589" s="13">
        <v>594</v>
      </c>
      <c r="C589" s="14" t="s">
        <v>53</v>
      </c>
      <c r="D589" s="13">
        <v>1</v>
      </c>
      <c r="E589" s="83">
        <v>46006</v>
      </c>
      <c r="F589" s="83">
        <v>46007</v>
      </c>
      <c r="G589" s="20">
        <f>IFERROR(WEEKNUM(Table4[[#This Row],[Confirmed Pick-up Date]]),"TBD")</f>
        <v>51</v>
      </c>
      <c r="H589" s="20" t="str">
        <f>IFERROR(TEXT(Table4[[#This Row],[Confirmed Pick-up Date]],"yy-mm"),"TBD")</f>
        <v>25-12</v>
      </c>
      <c r="I589" s="13" t="s">
        <v>1292</v>
      </c>
      <c r="J589" s="20" t="str">
        <f>IFERROR(VLOOKUP(Table4[[#This Row],[FromSite-UPS]],Table1[[#All],[Company or Name]:[FromSite3]],15,FALSE),"")</f>
        <v>Bologna WWTP</v>
      </c>
      <c r="K589" s="20" t="s">
        <v>127</v>
      </c>
      <c r="L589" s="20">
        <f>IFERROR(VLOOKUP(Table4[[#This Row],[FromSite-UPS]],Table1[[#All],[Company or Name]:[FromSite3]],14,FALSE),"")</f>
        <v>0.66666666666666663</v>
      </c>
      <c r="M589" s="13" t="s">
        <v>1011</v>
      </c>
      <c r="N589" s="20"/>
      <c r="O589" s="20"/>
      <c r="P589" s="20"/>
      <c r="Q589" s="20"/>
      <c r="R589" s="20"/>
      <c r="S589" s="20" t="s">
        <v>126</v>
      </c>
      <c r="T589" s="20"/>
      <c r="U589" s="20"/>
      <c r="V589" s="20"/>
      <c r="W589" s="20" t="str">
        <f>TEXT(Table4[[#This Row],[Confirmed Sampling Date]], "yyyy") &amp; "_" &amp; TEXT(Table4[[#This Row],[Confirmed Sampling Date]], "mm") &amp; "_" &amp; TEXT(Table4[[#This Row],[Confirmed Sampling Date]], "dd")</f>
        <v>2025_12_15</v>
      </c>
      <c r="X589" s="20" t="str">
        <f t="shared" si="9"/>
        <v>Bologna</v>
      </c>
      <c r="Y589" s="20" t="str">
        <f>VLOOKUP(Table4[[#This Row],[FromSite-UPS]],Table1[[Company or Name]:[NOTES]],2,FALSE)</f>
        <v>Italy</v>
      </c>
      <c r="Z589" s="20">
        <f>IFERROR(WEEKNUM(Table4[[#This Row],[Confirmed Sampling Date]] - 10, 21), "TBD")</f>
        <v>49</v>
      </c>
      <c r="AA589" s="20" t="str">
        <f>_xlfn.XLOOKUP(Table4[[#This Row],[FromSite-UPS]],sites!D:D,sites!W:W,"",0)</f>
        <v>VIA SHAKESPEARE 29, Bologna, 40128, Italy</v>
      </c>
      <c r="AB589" s="20" t="str">
        <f>_xlfn.XLOOKUP(Table4[[#This Row],[ToLab]],labs!D:D,labs!P:P,"no adres",0)</f>
        <v>Av. Rovisco Pais 1, Laboratorio de Analises de Agua, Lisbon, 1049-001, Portugal</v>
      </c>
      <c r="AC589" s="20">
        <f>_xlfn.XLOOKUP(Table4[[#This Row],[combi]],AREA!E:E,AREA!F:F,"",0)</f>
        <v>89</v>
      </c>
      <c r="AD589" s="20" t="str">
        <f>_xlfn.XLOOKUP(Table4[[#This Row],[combi]],AREA!E:E,AREA!G:G,"",0)</f>
        <v>Pick-up service of hypothetic package as defined in the Tech. Specs. and delivery to lots
2 and 3 contractors according to Scenario 1</v>
      </c>
      <c r="AE589" s="20" t="s">
        <v>126</v>
      </c>
      <c r="AF589" s="20" t="str">
        <f>_xlfn.XLOOKUP(Table4[[#This Row],[FromSite-UPS]],sites!D:D,sites!AB:AB,"",0)&amp;_xlfn.XLOOKUP(Table4[[#This Row],[ToLab]],labs!D:D,labs!Q:Q,"",0)</f>
        <v>EUEU</v>
      </c>
    </row>
    <row r="590" spans="2:32" ht="15.6" hidden="1" customHeight="1" x14ac:dyDescent="0.25">
      <c r="B590" s="13">
        <v>34</v>
      </c>
      <c r="C590" s="14" t="s">
        <v>53</v>
      </c>
      <c r="D590" s="13">
        <v>1</v>
      </c>
      <c r="E590" s="79">
        <v>46007</v>
      </c>
      <c r="F590" s="80">
        <v>46008</v>
      </c>
      <c r="G590" s="20">
        <f>IFERROR(WEEKNUM(Table4[[#This Row],[Confirmed Pick-up Date]]),"TBD")</f>
        <v>51</v>
      </c>
      <c r="H590" s="20" t="str">
        <f>IFERROR(TEXT(Table4[[#This Row],[Confirmed Pick-up Date]],"yy-mm"),"TBD")</f>
        <v>25-12</v>
      </c>
      <c r="I590" s="64" t="s">
        <v>19</v>
      </c>
      <c r="J590" s="13" t="str">
        <f>IFERROR(VLOOKUP(Table4[[#This Row],[FromSite-UPS]],Table1[[#All],[Company or Name]:[FromSite3]],15,FALSE),"")</f>
        <v>Munich WWTP</v>
      </c>
      <c r="K590" s="20" t="str">
        <f>IFERROR(VLOOKUP(Table4[[#This Row],[FromSite-UPS]],Table1[[#All],[Company or Name]:[FromSite3]],16,FALSE),"")</f>
        <v>Munich Airport</v>
      </c>
      <c r="L590" s="20">
        <f>IFERROR(VLOOKUP(Table4[[#This Row],[FromSite-UPS]],Table1[[#All],[Company or Name]:[FromSite3]],14,FALSE),"")</f>
        <v>0.58333333333333337</v>
      </c>
      <c r="M590" s="13" t="s">
        <v>1011</v>
      </c>
      <c r="N590" s="20"/>
      <c r="O590" s="13"/>
      <c r="P590" s="13"/>
      <c r="Q590" s="20"/>
      <c r="R590" s="20"/>
      <c r="S590" s="20" t="s">
        <v>126</v>
      </c>
      <c r="T590" s="20"/>
      <c r="U590" s="20"/>
      <c r="V590" s="20"/>
      <c r="W590" s="20" t="str">
        <f>TEXT(Table4[[#This Row],[Confirmed Sampling Date]], "yyyy") &amp; "_" &amp; TEXT(Table4[[#This Row],[Confirmed Sampling Date]], "mm") &amp; "_" &amp; TEXT(Table4[[#This Row],[Confirmed Sampling Date]], "dd")</f>
        <v>2025_12_16</v>
      </c>
      <c r="X590" s="20" t="str">
        <f t="shared" si="9"/>
        <v>Munich</v>
      </c>
      <c r="Y590" s="20" t="str">
        <f>VLOOKUP(Table4[[#This Row],[FromSite-UPS]],Table1[[Company or Name]:[NOTES]],2,FALSE)</f>
        <v>Germany</v>
      </c>
      <c r="Z590" s="20">
        <f>IFERROR(WEEKNUM(Table4[[#This Row],[Confirmed Sampling Date]] - 10, 21), "TBD")</f>
        <v>49</v>
      </c>
      <c r="AA590" s="20" t="str">
        <f>_xlfn.XLOOKUP(Table4[[#This Row],[FromSite-UPS]],sites!D:D,sites!W:W,"",0)</f>
        <v>Leopoldstrasse 5, Institut fuer Infektions- und Tropenmedizin, Munich, 80802, Germany</v>
      </c>
      <c r="AB590" s="20" t="str">
        <f>_xlfn.XLOOKUP(Table4[[#This Row],[ToLab]],labs!D:D,labs!P:P,"no adres",0)</f>
        <v>Av. Rovisco Pais 1, Laboratorio de Analises de Agua, Lisbon, 1049-001, Portugal</v>
      </c>
      <c r="AC590" s="20">
        <f>_xlfn.XLOOKUP(Table4[[#This Row],[combi]],AREA!E:E,AREA!F:F,"",0)</f>
        <v>89</v>
      </c>
      <c r="AD590" s="20" t="str">
        <f>_xlfn.XLOOKUP(Table4[[#This Row],[combi]],AREA!E:E,AREA!G:G,"",0)</f>
        <v>Pick-up service of hypothetic package as defined in the Tech. Specs. and delivery to lots
2 and 3 contractors according to Scenario 1</v>
      </c>
      <c r="AE590" s="20" t="s">
        <v>126</v>
      </c>
      <c r="AF590" s="20" t="str">
        <f>_xlfn.XLOOKUP(Table4[[#This Row],[FromSite-UPS]],sites!D:D,sites!AB:AB,"",0)&amp;_xlfn.XLOOKUP(Table4[[#This Row],[ToLab]],labs!D:D,labs!Q:Q,"",0)</f>
        <v>EUEU</v>
      </c>
    </row>
    <row r="591" spans="2:32" ht="15.6" hidden="1" customHeight="1" x14ac:dyDescent="0.25">
      <c r="B591" s="13">
        <v>48</v>
      </c>
      <c r="C591" s="14" t="s">
        <v>53</v>
      </c>
      <c r="D591" s="13">
        <v>1</v>
      </c>
      <c r="E591" s="79">
        <v>46007</v>
      </c>
      <c r="F591" s="80">
        <v>46008</v>
      </c>
      <c r="G591" s="20">
        <f>IFERROR(WEEKNUM(Table4[[#This Row],[Confirmed Pick-up Date]]),"TBD")</f>
        <v>51</v>
      </c>
      <c r="H591" s="20" t="str">
        <f>IFERROR(TEXT(Table4[[#This Row],[Confirmed Pick-up Date]],"yy-mm"),"TBD")</f>
        <v>25-12</v>
      </c>
      <c r="I591" s="64" t="s">
        <v>677</v>
      </c>
      <c r="J591" s="13" t="str">
        <f>IFERROR(VLOOKUP(Table4[[#This Row],[FromSite-UPS]],Table1[[#All],[Company or Name]:[FromSite3]],15,FALSE),"")</f>
        <v>Frankfurt WWTP</v>
      </c>
      <c r="K591" s="20" t="str">
        <f>IFERROR(VLOOKUP(Table4[[#This Row],[FromSite-UPS]],Table1[[#All],[Company or Name]:[FromSite3]],16,FALSE),"")</f>
        <v>Frankfurt Airport</v>
      </c>
      <c r="L591" s="20">
        <f>IFERROR(VLOOKUP(Table4[[#This Row],[FromSite-UPS]],Table1[[#All],[Company or Name]:[FromSite3]],14,FALSE),"")</f>
        <v>0.58333333333333337</v>
      </c>
      <c r="M591" s="13" t="s">
        <v>1011</v>
      </c>
      <c r="N591" s="20"/>
      <c r="O591" s="13"/>
      <c r="P591" s="13"/>
      <c r="Q591" s="20"/>
      <c r="R591" s="20"/>
      <c r="S591" s="20" t="s">
        <v>126</v>
      </c>
      <c r="T591" s="20"/>
      <c r="U591" s="20"/>
      <c r="V591" s="20"/>
      <c r="W591" s="20" t="str">
        <f>TEXT(Table4[[#This Row],[Confirmed Sampling Date]], "yyyy") &amp; "_" &amp; TEXT(Table4[[#This Row],[Confirmed Sampling Date]], "mm") &amp; "_" &amp; TEXT(Table4[[#This Row],[Confirmed Sampling Date]], "dd")</f>
        <v>2025_12_16</v>
      </c>
      <c r="X591" s="20" t="str">
        <f t="shared" si="9"/>
        <v>Frankfurt</v>
      </c>
      <c r="Y591" s="20" t="str">
        <f>VLOOKUP(Table4[[#This Row],[FromSite-UPS]],Table1[[Company or Name]:[NOTES]],2,FALSE)</f>
        <v>Germany</v>
      </c>
      <c r="Z591" s="20">
        <f>IFERROR(WEEKNUM(Table4[[#This Row],[Confirmed Sampling Date]] - 10, 21), "TBD")</f>
        <v>49</v>
      </c>
      <c r="AA591" s="20" t="str">
        <f>_xlfn.XLOOKUP(Table4[[#This Row],[FromSite-UPS]],sites!D:D,sites!W:W,"",0)</f>
        <v>Goldsteinstraße 160, Gebäude 71 , Frankfurt am Main , 60528, Germany</v>
      </c>
      <c r="AB591" s="20" t="str">
        <f>_xlfn.XLOOKUP(Table4[[#This Row],[ToLab]],labs!D:D,labs!P:P,"no adres",0)</f>
        <v>Av. Rovisco Pais 1, Laboratorio de Analises de Agua, Lisbon, 1049-001, Portugal</v>
      </c>
      <c r="AC591" s="20">
        <f>_xlfn.XLOOKUP(Table4[[#This Row],[combi]],AREA!E:E,AREA!F:F,"",0)</f>
        <v>89</v>
      </c>
      <c r="AD591" s="20" t="str">
        <f>_xlfn.XLOOKUP(Table4[[#This Row],[combi]],AREA!E:E,AREA!G:G,"",0)</f>
        <v>Pick-up service of hypothetic package as defined in the Tech. Specs. and delivery to lots
2 and 3 contractors according to Scenario 1</v>
      </c>
      <c r="AE591" s="20" t="s">
        <v>126</v>
      </c>
      <c r="AF591" s="20" t="str">
        <f>_xlfn.XLOOKUP(Table4[[#This Row],[FromSite-UPS]],sites!D:D,sites!AB:AB,"",0)&amp;_xlfn.XLOOKUP(Table4[[#This Row],[ToLab]],labs!D:D,labs!Q:Q,"",0)</f>
        <v>EUEU</v>
      </c>
    </row>
    <row r="592" spans="2:32" ht="15.6" hidden="1" customHeight="1" x14ac:dyDescent="0.25">
      <c r="B592" s="13">
        <v>97</v>
      </c>
      <c r="C592" s="14" t="s">
        <v>53</v>
      </c>
      <c r="D592" s="13">
        <v>1</v>
      </c>
      <c r="E592" s="79">
        <v>46007</v>
      </c>
      <c r="F592" s="80">
        <v>46008</v>
      </c>
      <c r="G592" s="20">
        <f>IFERROR(WEEKNUM(Table4[[#This Row],[Confirmed Pick-up Date]]),"TBD")</f>
        <v>51</v>
      </c>
      <c r="H592" s="20" t="str">
        <f>IFERROR(TEXT(Table4[[#This Row],[Confirmed Pick-up Date]],"yy-mm"),"TBD")</f>
        <v>25-12</v>
      </c>
      <c r="I592" s="64" t="s">
        <v>19</v>
      </c>
      <c r="J592" s="20" t="str">
        <f>IFERROR(VLOOKUP(Table4[[#This Row],[FromSite-UPS]],Table1[[#All],[Company or Name]:[FromSite3]],15,FALSE),"")</f>
        <v>Munich WWTP</v>
      </c>
      <c r="K592" s="20" t="str">
        <f>IFERROR(VLOOKUP(Table4[[#This Row],[FromSite-UPS]],Table1[[#All],[Company or Name]:[FromSite3]],16,FALSE),"")</f>
        <v>Munich Airport</v>
      </c>
      <c r="L592" s="20">
        <f>IFERROR(VLOOKUP(Table4[[#This Row],[FromSite-UPS]],Table1[[#All],[Company or Name]:[FromSite3]],14,FALSE),"")</f>
        <v>0.58333333333333337</v>
      </c>
      <c r="M592" s="13" t="s">
        <v>1011</v>
      </c>
      <c r="N592" s="20"/>
      <c r="O592" s="13"/>
      <c r="P592" s="13"/>
      <c r="Q592" s="20"/>
      <c r="R592" s="20"/>
      <c r="S592" s="20" t="s">
        <v>126</v>
      </c>
      <c r="T592" s="20"/>
      <c r="U592" s="20"/>
      <c r="V592" s="20"/>
      <c r="W592" s="20" t="str">
        <f>TEXT(Table4[[#This Row],[Confirmed Sampling Date]], "yyyy") &amp; "_" &amp; TEXT(Table4[[#This Row],[Confirmed Sampling Date]], "mm") &amp; "_" &amp; TEXT(Table4[[#This Row],[Confirmed Sampling Date]], "dd")</f>
        <v>2025_12_16</v>
      </c>
      <c r="X592" s="20" t="str">
        <f t="shared" si="9"/>
        <v>Munich</v>
      </c>
      <c r="Y592" s="20" t="str">
        <f>VLOOKUP(Table4[[#This Row],[FromSite-UPS]],Table1[[Company or Name]:[NOTES]],2,FALSE)</f>
        <v>Germany</v>
      </c>
      <c r="Z592" s="20">
        <f>IFERROR(WEEKNUM(Table4[[#This Row],[Confirmed Sampling Date]] - 10, 21), "TBD")</f>
        <v>49</v>
      </c>
      <c r="AA592" s="20" t="str">
        <f>_xlfn.XLOOKUP(Table4[[#This Row],[FromSite-UPS]],sites!D:D,sites!W:W,"",0)</f>
        <v>Leopoldstrasse 5, Institut fuer Infektions- und Tropenmedizin, Munich, 80802, Germany</v>
      </c>
      <c r="AB592" s="20" t="str">
        <f>_xlfn.XLOOKUP(Table4[[#This Row],[ToLab]],labs!D:D,labs!P:P,"no adres",0)</f>
        <v>Av. Rovisco Pais 1, Laboratorio de Analises de Agua, Lisbon, 1049-001, Portugal</v>
      </c>
      <c r="AC592" s="20">
        <f>_xlfn.XLOOKUP(Table4[[#This Row],[combi]],AREA!E:E,AREA!F:F,"",0)</f>
        <v>89</v>
      </c>
      <c r="AD592" s="20" t="str">
        <f>_xlfn.XLOOKUP(Table4[[#This Row],[combi]],AREA!E:E,AREA!G:G,"",0)</f>
        <v>Pick-up service of hypothetic package as defined in the Tech. Specs. and delivery to lots
2 and 3 contractors according to Scenario 1</v>
      </c>
      <c r="AE592" s="20" t="s">
        <v>126</v>
      </c>
      <c r="AF592" s="20" t="str">
        <f>_xlfn.XLOOKUP(Table4[[#This Row],[FromSite-UPS]],sites!D:D,sites!AB:AB,"",0)&amp;_xlfn.XLOOKUP(Table4[[#This Row],[ToLab]],labs!D:D,labs!Q:Q,"",0)</f>
        <v>EUEU</v>
      </c>
    </row>
    <row r="593" spans="2:32" ht="15.6" hidden="1" customHeight="1" x14ac:dyDescent="0.25">
      <c r="B593" s="13">
        <v>146</v>
      </c>
      <c r="C593" s="14" t="s">
        <v>53</v>
      </c>
      <c r="D593" s="13">
        <v>1</v>
      </c>
      <c r="E593" s="79">
        <v>46008</v>
      </c>
      <c r="F593" s="80">
        <v>46008</v>
      </c>
      <c r="G593" s="20">
        <f>IFERROR(WEEKNUM(Table4[[#This Row],[Confirmed Pick-up Date]]),"TBD")</f>
        <v>51</v>
      </c>
      <c r="H593" s="20" t="str">
        <f>IFERROR(TEXT(Table4[[#This Row],[Confirmed Pick-up Date]],"yy-mm"),"TBD")</f>
        <v>25-12</v>
      </c>
      <c r="I593" s="64" t="s">
        <v>680</v>
      </c>
      <c r="J593" s="20" t="str">
        <f>IFERROR(VLOOKUP(Table4[[#This Row],[FromSite-UPS]],Table1[[#All],[Company or Name]:[FromSite3]],15,FALSE),"")</f>
        <v>Rome WWTP</v>
      </c>
      <c r="K593" s="20" t="str">
        <f>IFERROR(VLOOKUP(Table4[[#This Row],[FromSite-UPS]],Table1[[#All],[Company or Name]:[FromSite3]],16,FALSE),"")</f>
        <v>-</v>
      </c>
      <c r="L593" s="20">
        <f>IFERROR(VLOOKUP(Table4[[#This Row],[FromSite-UPS]],Table1[[#All],[Company or Name]:[FromSite3]],14,FALSE),"")</f>
        <v>0.70833333333333337</v>
      </c>
      <c r="M593" s="13" t="s">
        <v>1011</v>
      </c>
      <c r="N593" s="20"/>
      <c r="O593" s="13"/>
      <c r="P593" s="13"/>
      <c r="Q593" s="20"/>
      <c r="R593" s="20"/>
      <c r="S593" s="20" t="s">
        <v>126</v>
      </c>
      <c r="T593" s="20"/>
      <c r="U593" s="20"/>
      <c r="V593" s="20"/>
      <c r="W593" s="20" t="str">
        <f>TEXT(Table4[[#This Row],[Confirmed Sampling Date]], "yyyy") &amp; "_" &amp; TEXT(Table4[[#This Row],[Confirmed Sampling Date]], "mm") &amp; "_" &amp; TEXT(Table4[[#This Row],[Confirmed Sampling Date]], "dd")</f>
        <v>2025_12_17</v>
      </c>
      <c r="X593" s="20" t="str">
        <f t="shared" si="9"/>
        <v>Rome</v>
      </c>
      <c r="Y593" s="20" t="str">
        <f>VLOOKUP(Table4[[#This Row],[FromSite-UPS]],Table1[[Company or Name]:[NOTES]],2,FALSE)</f>
        <v>Italy</v>
      </c>
      <c r="Z593" s="20">
        <f>IFERROR(WEEKNUM(Table4[[#This Row],[Confirmed Sampling Date]] - 10, 21), "TBD")</f>
        <v>49</v>
      </c>
      <c r="AA593" s="20" t="str">
        <f>_xlfn.XLOOKUP(Table4[[#This Row],[FromSite-UPS]],sites!D:D,sites!W:W,"",0)</f>
        <v>Via dell'Equitazione 10, Rome, 00144, Italy</v>
      </c>
      <c r="AB593" s="20" t="str">
        <f>_xlfn.XLOOKUP(Table4[[#This Row],[ToLab]],labs!D:D,labs!P:P,"no adres",0)</f>
        <v>Av. Rovisco Pais 1, Laboratorio de Analises de Agua, Lisbon, 1049-001, Portugal</v>
      </c>
      <c r="AC593" s="20">
        <f>_xlfn.XLOOKUP(Table4[[#This Row],[combi]],AREA!E:E,AREA!F:F,"",0)</f>
        <v>89</v>
      </c>
      <c r="AD593" s="20" t="str">
        <f>_xlfn.XLOOKUP(Table4[[#This Row],[combi]],AREA!E:E,AREA!G:G,"",0)</f>
        <v>Pick-up service of hypothetic package as defined in the Tech. Specs. and delivery to lots
2 and 3 contractors according to Scenario 1</v>
      </c>
      <c r="AE593" s="20" t="s">
        <v>126</v>
      </c>
      <c r="AF593" s="20" t="str">
        <f>_xlfn.XLOOKUP(Table4[[#This Row],[FromSite-UPS]],sites!D:D,sites!AB:AB,"",0)&amp;_xlfn.XLOOKUP(Table4[[#This Row],[ToLab]],labs!D:D,labs!Q:Q,"",0)</f>
        <v>EUEU</v>
      </c>
    </row>
    <row r="594" spans="2:32" ht="15.6" hidden="1" customHeight="1" x14ac:dyDescent="0.25">
      <c r="B594" s="13">
        <v>160</v>
      </c>
      <c r="C594" s="14" t="s">
        <v>53</v>
      </c>
      <c r="D594" s="13">
        <v>1</v>
      </c>
      <c r="E594" s="79">
        <v>46008</v>
      </c>
      <c r="F594" s="80">
        <v>46008</v>
      </c>
      <c r="G594" s="20">
        <f>IFERROR(WEEKNUM(Table4[[#This Row],[Confirmed Pick-up Date]]),"TBD")</f>
        <v>51</v>
      </c>
      <c r="H594" s="20" t="str">
        <f>IFERROR(TEXT(Table4[[#This Row],[Confirmed Pick-up Date]],"yy-mm"),"TBD")</f>
        <v>25-12</v>
      </c>
      <c r="I594" s="64" t="s">
        <v>771</v>
      </c>
      <c r="J594" s="20" t="str">
        <f>IFERROR(VLOOKUP(Table4[[#This Row],[FromSite-UPS]],Table1[[#All],[Company or Name]:[FromSite3]],15,FALSE),"")</f>
        <v>RomeAirport</v>
      </c>
      <c r="K594" s="20" t="str">
        <f>IFERROR(VLOOKUP(Table4[[#This Row],[FromSite-UPS]],Table1[[#All],[Company or Name]:[FromSite3]],16,FALSE),"")</f>
        <v>-</v>
      </c>
      <c r="L594" s="20">
        <f>IFERROR(VLOOKUP(Table4[[#This Row],[FromSite-UPS]],Table1[[#All],[Company or Name]:[FromSite3]],14,FALSE),"")</f>
        <v>0.70833333333333337</v>
      </c>
      <c r="M594" s="13" t="s">
        <v>1011</v>
      </c>
      <c r="N594" s="20"/>
      <c r="O594" s="13"/>
      <c r="P594" s="13"/>
      <c r="Q594" s="20"/>
      <c r="R594" s="20"/>
      <c r="S594" s="20" t="s">
        <v>126</v>
      </c>
      <c r="T594" s="20"/>
      <c r="U594" s="20"/>
      <c r="V594" s="20"/>
      <c r="W594" s="20" t="str">
        <f>TEXT(Table4[[#This Row],[Confirmed Sampling Date]], "yyyy") &amp; "_" &amp; TEXT(Table4[[#This Row],[Confirmed Sampling Date]], "mm") &amp; "_" &amp; TEXT(Table4[[#This Row],[Confirmed Sampling Date]], "dd")</f>
        <v>2025_12_17</v>
      </c>
      <c r="X594" s="20" t="str">
        <f t="shared" si="9"/>
        <v>RomeAirport</v>
      </c>
      <c r="Y594" s="20" t="str">
        <f>VLOOKUP(Table4[[#This Row],[FromSite-UPS]],Table1[[Company or Name]:[NOTES]],2,FALSE)</f>
        <v>Italy</v>
      </c>
      <c r="Z594" s="20">
        <f>IFERROR(WEEKNUM(Table4[[#This Row],[Confirmed Sampling Date]] - 10, 21), "TBD")</f>
        <v>49</v>
      </c>
      <c r="AA594" s="20" t="str">
        <f>_xlfn.XLOOKUP(Table4[[#This Row],[FromSite-UPS]],sites!D:D,sites!W:W,"",0)</f>
        <v>VIA FRATELLI WRIGHT (DEPURATORE BIOLOGICO), FIUMICINO, 00054, Italy</v>
      </c>
      <c r="AB594" s="20" t="str">
        <f>_xlfn.XLOOKUP(Table4[[#This Row],[ToLab]],labs!D:D,labs!P:P,"no adres",0)</f>
        <v>Av. Rovisco Pais 1, Laboratorio de Analises de Agua, Lisbon, 1049-001, Portugal</v>
      </c>
      <c r="AC594" s="20">
        <f>_xlfn.XLOOKUP(Table4[[#This Row],[combi]],AREA!E:E,AREA!F:F,"",0)</f>
        <v>89</v>
      </c>
      <c r="AD594" s="20" t="str">
        <f>_xlfn.XLOOKUP(Table4[[#This Row],[combi]],AREA!E:E,AREA!G:G,"",0)</f>
        <v>Pick-up service of hypothetic package as defined in the Tech. Specs. and delivery to lots
2 and 3 contractors according to Scenario 1</v>
      </c>
      <c r="AE594" s="20" t="s">
        <v>126</v>
      </c>
      <c r="AF594" s="20" t="str">
        <f>_xlfn.XLOOKUP(Table4[[#This Row],[FromSite-UPS]],sites!D:D,sites!AB:AB,"",0)&amp;_xlfn.XLOOKUP(Table4[[#This Row],[ToLab]],labs!D:D,labs!Q:Q,"",0)</f>
        <v>EUEU</v>
      </c>
    </row>
    <row r="595" spans="2:32" ht="15.6" hidden="1" customHeight="1" x14ac:dyDescent="0.25">
      <c r="B595" s="13">
        <v>209</v>
      </c>
      <c r="C595" s="14" t="s">
        <v>53</v>
      </c>
      <c r="D595" s="13">
        <v>1</v>
      </c>
      <c r="E595" s="79">
        <v>46007</v>
      </c>
      <c r="F595" s="80">
        <v>46008</v>
      </c>
      <c r="G595" s="20">
        <f>IFERROR(WEEKNUM(Table4[[#This Row],[Confirmed Pick-up Date]]),"TBD")</f>
        <v>51</v>
      </c>
      <c r="H595" s="20" t="str">
        <f>IFERROR(TEXT(Table4[[#This Row],[Confirmed Pick-up Date]],"yy-mm"),"TBD")</f>
        <v>25-12</v>
      </c>
      <c r="I595" s="64" t="s">
        <v>877</v>
      </c>
      <c r="J595" s="39" t="str">
        <f>IFERROR(VLOOKUP(Table4[[#This Row],[FromSite-UPS]],Table1[[#All],[Company or Name]:[FromSite3]],15,FALSE),"")</f>
        <v>Prague National Institute</v>
      </c>
      <c r="K595" s="39" t="str">
        <f>IFERROR(VLOOKUP(Table4[[#This Row],[FromSite-UPS]],Table1[[#All],[Company or Name]:[FromSite3]],16,FALSE),"")</f>
        <v>Prague WWTP FLOW 1</v>
      </c>
      <c r="L595" s="39">
        <f>IFERROR(VLOOKUP(Table4[[#This Row],[FromSite-UPS]],Table1[[#All],[Company or Name]:[FromSite3]],14,FALSE),"")</f>
        <v>0</v>
      </c>
      <c r="M595" s="39" t="s">
        <v>1011</v>
      </c>
      <c r="O595" s="13"/>
      <c r="P595" s="13"/>
      <c r="R595" s="20"/>
      <c r="S595" s="20" t="s">
        <v>126</v>
      </c>
      <c r="T595" s="20"/>
      <c r="U595" s="20"/>
      <c r="W595" s="20" t="str">
        <f>TEXT(Table4[[#This Row],[Confirmed Sampling Date]], "yyyy") &amp; "_" &amp; TEXT(Table4[[#This Row],[Confirmed Sampling Date]], "mm") &amp; "_" &amp; TEXT(Table4[[#This Row],[Confirmed Sampling Date]], "dd")</f>
        <v>2025_12_16</v>
      </c>
      <c r="X595" s="20" t="str">
        <f t="shared" si="9"/>
        <v>Prague</v>
      </c>
      <c r="Y595" s="20" t="str">
        <f>VLOOKUP(Table4[[#This Row],[FromSite-UPS]],Table1[[Company or Name]:[NOTES]],2,FALSE)</f>
        <v>Czech Republic</v>
      </c>
      <c r="Z595" s="20">
        <f>IFERROR(WEEKNUM(Table4[[#This Row],[Confirmed Sampling Date]] - 10, 21), "TBD")</f>
        <v>49</v>
      </c>
      <c r="AA595" s="20" t="str">
        <f>_xlfn.XLOOKUP(Table4[[#This Row],[FromSite-UPS]],sites!D:D,sites!W:W,"",0)</f>
        <v>Šrobárova 49/48, Státní zdravotní ústav, Praha, 100 00, Czech Republic</v>
      </c>
      <c r="AB595" s="20" t="str">
        <f>_xlfn.XLOOKUP(Table4[[#This Row],[ToLab]],labs!D:D,labs!P:P,"no adres",0)</f>
        <v>Av. Rovisco Pais 1, Laboratorio de Analises de Agua, Lisbon, 1049-001, Portugal</v>
      </c>
      <c r="AC595" s="20">
        <f>_xlfn.XLOOKUP(Table4[[#This Row],[combi]],AREA!E:E,AREA!F:F,"",0)</f>
        <v>89</v>
      </c>
      <c r="AD595" s="20" t="str">
        <f>_xlfn.XLOOKUP(Table4[[#This Row],[combi]],AREA!E:E,AREA!G:G,"",0)</f>
        <v>Pick-up service of hypothetic package as defined in the Tech. Specs. and delivery to lots
2 and 3 contractors according to Scenario 1</v>
      </c>
      <c r="AE595" s="20" t="s">
        <v>126</v>
      </c>
      <c r="AF595" s="20" t="str">
        <f>_xlfn.XLOOKUP(Table4[[#This Row],[FromSite-UPS]],sites!D:D,sites!AB:AB,"",0)&amp;_xlfn.XLOOKUP(Table4[[#This Row],[ToLab]],labs!D:D,labs!Q:Q,"",0)</f>
        <v>EUEU</v>
      </c>
    </row>
    <row r="596" spans="2:32" ht="15.6" hidden="1" customHeight="1" x14ac:dyDescent="0.25">
      <c r="B596" s="13">
        <v>210</v>
      </c>
      <c r="C596" s="14" t="s">
        <v>53</v>
      </c>
      <c r="D596" s="13">
        <v>1</v>
      </c>
      <c r="E596" s="79">
        <v>46007</v>
      </c>
      <c r="F596" s="80">
        <v>46008</v>
      </c>
      <c r="G596" s="20">
        <f>IFERROR(WEEKNUM(Table4[[#This Row],[Confirmed Pick-up Date]]),"TBD")</f>
        <v>51</v>
      </c>
      <c r="H596" s="20" t="str">
        <f>IFERROR(TEXT(Table4[[#This Row],[Confirmed Pick-up Date]],"yy-mm"),"TBD")</f>
        <v>25-12</v>
      </c>
      <c r="I596" s="13" t="s">
        <v>877</v>
      </c>
      <c r="J596" s="20" t="str">
        <f>IFERROR(VLOOKUP(Table4[[#This Row],[FromSite-UPS]],Table1[[#All],[Company or Name]:[FromSite3]],15,FALSE),"")</f>
        <v>Prague National Institute</v>
      </c>
      <c r="K596" s="20" t="str">
        <f>IFERROR(VLOOKUP(Table4[[#This Row],[FromSite-UPS]],Table1[[#All],[Company or Name]:[FromSite3]],16,FALSE),"")</f>
        <v>Prague WWTP FLOW 1</v>
      </c>
      <c r="L596" s="20">
        <f>IFERROR(VLOOKUP(Table4[[#This Row],[FromSite-UPS]],Table1[[#All],[Company or Name]:[FromSite3]],14,FALSE),"")</f>
        <v>0</v>
      </c>
      <c r="M596" s="13" t="s">
        <v>1011</v>
      </c>
      <c r="N596" s="20"/>
      <c r="O596" s="13"/>
      <c r="P596" s="13"/>
      <c r="Q596" s="20"/>
      <c r="R596" s="20"/>
      <c r="S596" s="20" t="s">
        <v>126</v>
      </c>
      <c r="T596" s="20"/>
      <c r="U596" s="20"/>
      <c r="V596" s="20"/>
      <c r="W596" s="20" t="str">
        <f>TEXT(Table4[[#This Row],[Confirmed Sampling Date]], "yyyy") &amp; "_" &amp; TEXT(Table4[[#This Row],[Confirmed Sampling Date]], "mm") &amp; "_" &amp; TEXT(Table4[[#This Row],[Confirmed Sampling Date]], "dd")</f>
        <v>2025_12_16</v>
      </c>
      <c r="X596" s="20" t="str">
        <f t="shared" si="9"/>
        <v>Prague</v>
      </c>
      <c r="Y596" s="20" t="str">
        <f>VLOOKUP(Table4[[#This Row],[FromSite-UPS]],Table1[[Company or Name]:[NOTES]],2,FALSE)</f>
        <v>Czech Republic</v>
      </c>
      <c r="Z596" s="20">
        <f>IFERROR(WEEKNUM(Table4[[#This Row],[Confirmed Sampling Date]] - 10, 21), "TBD")</f>
        <v>49</v>
      </c>
      <c r="AA596" s="20" t="str">
        <f>_xlfn.XLOOKUP(Table4[[#This Row],[FromSite-UPS]],sites!D:D,sites!W:W,"",0)</f>
        <v>Šrobárova 49/48, Státní zdravotní ústav, Praha, 100 00, Czech Republic</v>
      </c>
      <c r="AB596" s="20" t="str">
        <f>_xlfn.XLOOKUP(Table4[[#This Row],[ToLab]],labs!D:D,labs!P:P,"no adres",0)</f>
        <v>Av. Rovisco Pais 1, Laboratorio de Analises de Agua, Lisbon, 1049-001, Portugal</v>
      </c>
      <c r="AC596" s="20">
        <f>_xlfn.XLOOKUP(Table4[[#This Row],[combi]],AREA!E:E,AREA!F:F,"",0)</f>
        <v>89</v>
      </c>
      <c r="AD596" s="20" t="str">
        <f>_xlfn.XLOOKUP(Table4[[#This Row],[combi]],AREA!E:E,AREA!G:G,"",0)</f>
        <v>Pick-up service of hypothetic package as defined in the Tech. Specs. and delivery to lots
2 and 3 contractors according to Scenario 1</v>
      </c>
      <c r="AE596" s="20" t="s">
        <v>126</v>
      </c>
      <c r="AF596" s="20" t="str">
        <f>_xlfn.XLOOKUP(Table4[[#This Row],[FromSite-UPS]],sites!D:D,sites!AB:AB,"",0)&amp;_xlfn.XLOOKUP(Table4[[#This Row],[ToLab]],labs!D:D,labs!Q:Q,"",0)</f>
        <v>EUEU</v>
      </c>
    </row>
    <row r="597" spans="2:32" ht="15.6" hidden="1" customHeight="1" x14ac:dyDescent="0.25">
      <c r="B597" s="13">
        <v>211</v>
      </c>
      <c r="C597" s="14" t="s">
        <v>53</v>
      </c>
      <c r="D597" s="13">
        <v>1</v>
      </c>
      <c r="E597" s="79">
        <v>46007</v>
      </c>
      <c r="F597" s="80">
        <v>46008</v>
      </c>
      <c r="G597" s="20">
        <f>IFERROR(WEEKNUM(Table4[[#This Row],[Confirmed Pick-up Date]]),"TBD")</f>
        <v>51</v>
      </c>
      <c r="H597" s="20" t="str">
        <f>IFERROR(TEXT(Table4[[#This Row],[Confirmed Pick-up Date]],"yy-mm"),"TBD")</f>
        <v>25-12</v>
      </c>
      <c r="I597" s="64" t="s">
        <v>877</v>
      </c>
      <c r="J597" s="20" t="str">
        <f>IFERROR(VLOOKUP(Table4[[#This Row],[FromSite-UPS]],Table1[[#All],[Company or Name]:[FromSite3]],15,FALSE),"")</f>
        <v>Prague National Institute</v>
      </c>
      <c r="K597" s="20" t="str">
        <f>IFERROR(VLOOKUP(Table4[[#This Row],[FromSite-UPS]],Table1[[#All],[Company or Name]:[FromSite3]],16,FALSE),"")</f>
        <v>Prague WWTP FLOW 1</v>
      </c>
      <c r="L597" s="20">
        <f>IFERROR(VLOOKUP(Table4[[#This Row],[FromSite-UPS]],Table1[[#All],[Company or Name]:[FromSite3]],14,FALSE),"")</f>
        <v>0</v>
      </c>
      <c r="M597" s="13" t="s">
        <v>1011</v>
      </c>
      <c r="N597" s="20"/>
      <c r="O597" s="13"/>
      <c r="P597" s="13"/>
      <c r="Q597" s="20"/>
      <c r="R597" s="20"/>
      <c r="S597" s="20" t="s">
        <v>126</v>
      </c>
      <c r="T597" s="20"/>
      <c r="U597" s="20"/>
      <c r="V597" s="20"/>
      <c r="W597" s="20" t="str">
        <f>TEXT(Table4[[#This Row],[Confirmed Sampling Date]], "yyyy") &amp; "_" &amp; TEXT(Table4[[#This Row],[Confirmed Sampling Date]], "mm") &amp; "_" &amp; TEXT(Table4[[#This Row],[Confirmed Sampling Date]], "dd")</f>
        <v>2025_12_16</v>
      </c>
      <c r="X597" s="20" t="str">
        <f t="shared" si="9"/>
        <v>Prague</v>
      </c>
      <c r="Y597" s="20" t="str">
        <f>VLOOKUP(Table4[[#This Row],[FromSite-UPS]],Table1[[Company or Name]:[NOTES]],2,FALSE)</f>
        <v>Czech Republic</v>
      </c>
      <c r="Z597" s="20">
        <f>IFERROR(WEEKNUM(Table4[[#This Row],[Confirmed Sampling Date]] - 10, 21), "TBD")</f>
        <v>49</v>
      </c>
      <c r="AA597" s="20" t="str">
        <f>_xlfn.XLOOKUP(Table4[[#This Row],[FromSite-UPS]],sites!D:D,sites!W:W,"",0)</f>
        <v>Šrobárova 49/48, Státní zdravotní ústav, Praha, 100 00, Czech Republic</v>
      </c>
      <c r="AB597" s="20" t="str">
        <f>_xlfn.XLOOKUP(Table4[[#This Row],[ToLab]],labs!D:D,labs!P:P,"no adres",0)</f>
        <v>Av. Rovisco Pais 1, Laboratorio de Analises de Agua, Lisbon, 1049-001, Portugal</v>
      </c>
      <c r="AC597" s="20">
        <f>_xlfn.XLOOKUP(Table4[[#This Row],[combi]],AREA!E:E,AREA!F:F,"",0)</f>
        <v>89</v>
      </c>
      <c r="AD597" s="20" t="str">
        <f>_xlfn.XLOOKUP(Table4[[#This Row],[combi]],AREA!E:E,AREA!G:G,"",0)</f>
        <v>Pick-up service of hypothetic package as defined in the Tech. Specs. and delivery to lots
2 and 3 contractors according to Scenario 1</v>
      </c>
      <c r="AE597" s="20" t="s">
        <v>126</v>
      </c>
      <c r="AF597" s="20" t="str">
        <f>_xlfn.XLOOKUP(Table4[[#This Row],[FromSite-UPS]],sites!D:D,sites!AB:AB,"",0)&amp;_xlfn.XLOOKUP(Table4[[#This Row],[ToLab]],labs!D:D,labs!Q:Q,"",0)</f>
        <v>EUEU</v>
      </c>
    </row>
    <row r="598" spans="2:32" ht="15.6" hidden="1" customHeight="1" x14ac:dyDescent="0.25">
      <c r="B598" s="13">
        <v>212</v>
      </c>
      <c r="C598" s="14" t="s">
        <v>53</v>
      </c>
      <c r="D598" s="13">
        <v>1</v>
      </c>
      <c r="E598" s="79">
        <v>46007</v>
      </c>
      <c r="F598" s="80">
        <v>46008</v>
      </c>
      <c r="G598" s="20">
        <f>IFERROR(WEEKNUM(Table4[[#This Row],[Confirmed Pick-up Date]]),"TBD")</f>
        <v>51</v>
      </c>
      <c r="H598" s="20" t="str">
        <f>IFERROR(TEXT(Table4[[#This Row],[Confirmed Pick-up Date]],"yy-mm"),"TBD")</f>
        <v>25-12</v>
      </c>
      <c r="I598" s="64" t="s">
        <v>877</v>
      </c>
      <c r="J598" s="20" t="str">
        <f>IFERROR(VLOOKUP(Table4[[#This Row],[FromSite-UPS]],Table1[[#All],[Company or Name]:[FromSite3]],15,FALSE),"")</f>
        <v>Prague National Institute</v>
      </c>
      <c r="K598" s="20" t="str">
        <f>IFERROR(VLOOKUP(Table4[[#This Row],[FromSite-UPS]],Table1[[#All],[Company or Name]:[FromSite3]],16,FALSE),"")</f>
        <v>Prague WWTP FLOW 1</v>
      </c>
      <c r="L598" s="20">
        <f>IFERROR(VLOOKUP(Table4[[#This Row],[FromSite-UPS]],Table1[[#All],[Company or Name]:[FromSite3]],14,FALSE),"")</f>
        <v>0</v>
      </c>
      <c r="M598" s="13" t="s">
        <v>1011</v>
      </c>
      <c r="N598" s="20"/>
      <c r="O598" s="13"/>
      <c r="P598" s="13"/>
      <c r="Q598" s="20"/>
      <c r="R598" s="20"/>
      <c r="S598" s="20" t="s">
        <v>126</v>
      </c>
      <c r="T598" s="20"/>
      <c r="U598" s="20"/>
      <c r="V598" s="20"/>
      <c r="W598" s="20" t="str">
        <f>TEXT(Table4[[#This Row],[Confirmed Sampling Date]], "yyyy") &amp; "_" &amp; TEXT(Table4[[#This Row],[Confirmed Sampling Date]], "mm") &amp; "_" &amp; TEXT(Table4[[#This Row],[Confirmed Sampling Date]], "dd")</f>
        <v>2025_12_16</v>
      </c>
      <c r="X598" s="20" t="str">
        <f t="shared" si="9"/>
        <v>Prague</v>
      </c>
      <c r="Y598" s="20" t="str">
        <f>VLOOKUP(Table4[[#This Row],[FromSite-UPS]],Table1[[Company or Name]:[NOTES]],2,FALSE)</f>
        <v>Czech Republic</v>
      </c>
      <c r="Z598" s="20">
        <f>IFERROR(WEEKNUM(Table4[[#This Row],[Confirmed Sampling Date]] - 10, 21), "TBD")</f>
        <v>49</v>
      </c>
      <c r="AA598" s="20" t="str">
        <f>_xlfn.XLOOKUP(Table4[[#This Row],[FromSite-UPS]],sites!D:D,sites!W:W,"",0)</f>
        <v>Šrobárova 49/48, Státní zdravotní ústav, Praha, 100 00, Czech Republic</v>
      </c>
      <c r="AB598" s="20" t="str">
        <f>_xlfn.XLOOKUP(Table4[[#This Row],[ToLab]],labs!D:D,labs!P:P,"no adres",0)</f>
        <v>Av. Rovisco Pais 1, Laboratorio de Analises de Agua, Lisbon, 1049-001, Portugal</v>
      </c>
      <c r="AC598" s="20">
        <f>_xlfn.XLOOKUP(Table4[[#This Row],[combi]],AREA!E:E,AREA!F:F,"",0)</f>
        <v>89</v>
      </c>
      <c r="AD598" s="20" t="str">
        <f>_xlfn.XLOOKUP(Table4[[#This Row],[combi]],AREA!E:E,AREA!G:G,"",0)</f>
        <v>Pick-up service of hypothetic package as defined in the Tech. Specs. and delivery to lots
2 and 3 contractors according to Scenario 1</v>
      </c>
      <c r="AE598" s="20" t="s">
        <v>126</v>
      </c>
      <c r="AF598" s="20" t="str">
        <f>_xlfn.XLOOKUP(Table4[[#This Row],[FromSite-UPS]],sites!D:D,sites!AB:AB,"",0)&amp;_xlfn.XLOOKUP(Table4[[#This Row],[ToLab]],labs!D:D,labs!Q:Q,"",0)</f>
        <v>EUEU</v>
      </c>
    </row>
    <row r="599" spans="2:32" ht="15.6" hidden="1" customHeight="1" x14ac:dyDescent="0.25">
      <c r="B599" s="13">
        <v>225</v>
      </c>
      <c r="C599" s="14" t="s">
        <v>53</v>
      </c>
      <c r="D599" s="13">
        <v>1</v>
      </c>
      <c r="E599" s="79">
        <v>46007</v>
      </c>
      <c r="F599" s="80">
        <v>46008</v>
      </c>
      <c r="G599" s="20">
        <f>IFERROR(WEEKNUM(Table4[[#This Row],[Confirmed Pick-up Date]]),"TBD")</f>
        <v>51</v>
      </c>
      <c r="H599" s="20" t="str">
        <f>IFERROR(TEXT(Table4[[#This Row],[Confirmed Pick-up Date]],"yy-mm"),"TBD")</f>
        <v>25-12</v>
      </c>
      <c r="I599" s="64" t="s">
        <v>779</v>
      </c>
      <c r="J599" s="20" t="str">
        <f>IFERROR(VLOOKUP(Table4[[#This Row],[FromSite-UPS]],Table1[[#All],[Company or Name]:[FromSite3]],15,FALSE),"")</f>
        <v>Larnaca WWTP</v>
      </c>
      <c r="K599" s="20" t="str">
        <f>IFERROR(VLOOKUP(Table4[[#This Row],[FromSite-UPS]],Table1[[#All],[Company or Name]:[FromSite3]],16,FALSE),"")</f>
        <v>Larnaca Airport</v>
      </c>
      <c r="L599" s="20">
        <f>IFERROR(VLOOKUP(Table4[[#This Row],[FromSite-UPS]],Table1[[#All],[Company or Name]:[FromSite3]],14,FALSE),"")</f>
        <v>0.54166666666666663</v>
      </c>
      <c r="M599" s="13" t="s">
        <v>1011</v>
      </c>
      <c r="N599" s="20"/>
      <c r="O599" s="13"/>
      <c r="P599" s="13"/>
      <c r="Q599" s="20"/>
      <c r="R599" s="20"/>
      <c r="S599" s="20" t="s">
        <v>126</v>
      </c>
      <c r="T599" s="20"/>
      <c r="U599" s="20"/>
      <c r="V599" s="20"/>
      <c r="W599" s="20" t="str">
        <f>TEXT(Table4[[#This Row],[Confirmed Sampling Date]], "yyyy") &amp; "_" &amp; TEXT(Table4[[#This Row],[Confirmed Sampling Date]], "mm") &amp; "_" &amp; TEXT(Table4[[#This Row],[Confirmed Sampling Date]], "dd")</f>
        <v>2025_12_16</v>
      </c>
      <c r="X599" s="20" t="str">
        <f t="shared" si="9"/>
        <v>Larnaca</v>
      </c>
      <c r="Y599" s="20" t="str">
        <f>VLOOKUP(Table4[[#This Row],[FromSite-UPS]],Table1[[Company or Name]:[NOTES]],2,FALSE)</f>
        <v>Cyprus</v>
      </c>
      <c r="Z599" s="20">
        <f>IFERROR(WEEKNUM(Table4[[#This Row],[Confirmed Sampling Date]] - 10, 21), "TBD")</f>
        <v>49</v>
      </c>
      <c r="AA599" s="20" t="str">
        <f>_xlfn.XLOOKUP(Table4[[#This Row],[FromSite-UPS]],sites!D:D,sites!W:W,"",0)</f>
        <v>Adamantiou Korai street 12, Larnaca District Local Government Organization offices, Larnaca, 6010, Cyprus</v>
      </c>
      <c r="AB599" s="20" t="str">
        <f>_xlfn.XLOOKUP(Table4[[#This Row],[ToLab]],labs!D:D,labs!P:P,"no adres",0)</f>
        <v>Av. Rovisco Pais 1, Laboratorio de Analises de Agua, Lisbon, 1049-001, Portugal</v>
      </c>
      <c r="AC599" s="20">
        <f>_xlfn.XLOOKUP(Table4[[#This Row],[combi]],AREA!E:E,AREA!F:F,"",0)</f>
        <v>89</v>
      </c>
      <c r="AD599" s="20" t="str">
        <f>_xlfn.XLOOKUP(Table4[[#This Row],[combi]],AREA!E:E,AREA!G:G,"",0)</f>
        <v>Pick-up service of hypothetic package as defined in the Tech. Specs. and delivery to lots
2 and 3 contractors according to Scenario 1</v>
      </c>
      <c r="AE599" s="20" t="s">
        <v>126</v>
      </c>
      <c r="AF599" s="20" t="str">
        <f>_xlfn.XLOOKUP(Table4[[#This Row],[FromSite-UPS]],sites!D:D,sites!AB:AB,"",0)&amp;_xlfn.XLOOKUP(Table4[[#This Row],[ToLab]],labs!D:D,labs!Q:Q,"",0)</f>
        <v>EUEU</v>
      </c>
    </row>
    <row r="600" spans="2:32" ht="15.6" hidden="1" customHeight="1" x14ac:dyDescent="0.25">
      <c r="B600" s="13">
        <v>238</v>
      </c>
      <c r="C600" s="14" t="s">
        <v>53</v>
      </c>
      <c r="D600" s="13">
        <v>1</v>
      </c>
      <c r="E600" s="79">
        <v>46007</v>
      </c>
      <c r="F600" s="80">
        <v>46008</v>
      </c>
      <c r="G600" s="20">
        <f>IFERROR(WEEKNUM(Table4[[#This Row],[Confirmed Pick-up Date]]),"TBD")</f>
        <v>51</v>
      </c>
      <c r="H600" s="20" t="str">
        <f>IFERROR(TEXT(Table4[[#This Row],[Confirmed Pick-up Date]],"yy-mm"),"TBD")</f>
        <v>25-12</v>
      </c>
      <c r="I600" s="64" t="s">
        <v>779</v>
      </c>
      <c r="J600" s="20" t="str">
        <f>IFERROR(VLOOKUP(Table4[[#This Row],[FromSite-UPS]],Table1[[#All],[Company or Name]:[FromSite3]],15,FALSE),"")</f>
        <v>Larnaca WWTP</v>
      </c>
      <c r="K600" s="20" t="str">
        <f>IFERROR(VLOOKUP(Table4[[#This Row],[FromSite-UPS]],Table1[[#All],[Company or Name]:[FromSite3]],16,FALSE),"")</f>
        <v>Larnaca Airport</v>
      </c>
      <c r="L600" s="20">
        <f>IFERROR(VLOOKUP(Table4[[#This Row],[FromSite-UPS]],Table1[[#All],[Company or Name]:[FromSite3]],14,FALSE),"")</f>
        <v>0.54166666666666663</v>
      </c>
      <c r="M600" s="13" t="s">
        <v>1011</v>
      </c>
      <c r="N600" s="20"/>
      <c r="O600" s="20"/>
      <c r="P600" s="20"/>
      <c r="Q600" s="20"/>
      <c r="R600" s="20"/>
      <c r="S600" s="20" t="s">
        <v>126</v>
      </c>
      <c r="T600" s="20"/>
      <c r="U600" s="20"/>
      <c r="V600" s="20"/>
      <c r="W600" s="20" t="str">
        <f>TEXT(Table4[[#This Row],[Confirmed Sampling Date]], "yyyy") &amp; "_" &amp; TEXT(Table4[[#This Row],[Confirmed Sampling Date]], "mm") &amp; "_" &amp; TEXT(Table4[[#This Row],[Confirmed Sampling Date]], "dd")</f>
        <v>2025_12_16</v>
      </c>
      <c r="X600" s="20" t="str">
        <f t="shared" si="9"/>
        <v>Larnaca</v>
      </c>
      <c r="Y600" s="20" t="str">
        <f>VLOOKUP(Table4[[#This Row],[FromSite-UPS]],Table1[[Company or Name]:[NOTES]],2,FALSE)</f>
        <v>Cyprus</v>
      </c>
      <c r="Z600" s="20">
        <f>IFERROR(WEEKNUM(Table4[[#This Row],[Confirmed Sampling Date]] - 10, 21), "TBD")</f>
        <v>49</v>
      </c>
      <c r="AA600" s="20" t="str">
        <f>_xlfn.XLOOKUP(Table4[[#This Row],[FromSite-UPS]],sites!D:D,sites!W:W,"",0)</f>
        <v>Adamantiou Korai street 12, Larnaca District Local Government Organization offices, Larnaca, 6010, Cyprus</v>
      </c>
      <c r="AB600" s="20" t="str">
        <f>_xlfn.XLOOKUP(Table4[[#This Row],[ToLab]],labs!D:D,labs!P:P,"no adres",0)</f>
        <v>Av. Rovisco Pais 1, Laboratorio de Analises de Agua, Lisbon, 1049-001, Portugal</v>
      </c>
      <c r="AC600" s="20">
        <f>_xlfn.XLOOKUP(Table4[[#This Row],[combi]],AREA!E:E,AREA!F:F,"",0)</f>
        <v>89</v>
      </c>
      <c r="AD600" s="20" t="str">
        <f>_xlfn.XLOOKUP(Table4[[#This Row],[combi]],AREA!E:E,AREA!G:G,"",0)</f>
        <v>Pick-up service of hypothetic package as defined in the Tech. Specs. and delivery to lots
2 and 3 contractors according to Scenario 1</v>
      </c>
      <c r="AE600" s="20" t="s">
        <v>126</v>
      </c>
      <c r="AF600" s="20" t="str">
        <f>_xlfn.XLOOKUP(Table4[[#This Row],[FromSite-UPS]],sites!D:D,sites!AB:AB,"",0)&amp;_xlfn.XLOOKUP(Table4[[#This Row],[ToLab]],labs!D:D,labs!Q:Q,"",0)</f>
        <v>EUEU</v>
      </c>
    </row>
    <row r="601" spans="2:32" ht="15.6" hidden="1" customHeight="1" x14ac:dyDescent="0.25">
      <c r="B601" s="13">
        <v>279</v>
      </c>
      <c r="C601" s="14" t="s">
        <v>53</v>
      </c>
      <c r="D601" s="13">
        <v>1</v>
      </c>
      <c r="E601" s="79">
        <v>46007</v>
      </c>
      <c r="F601" s="80">
        <v>46008</v>
      </c>
      <c r="G601" s="20">
        <f>IFERROR(WEEKNUM(Table4[[#This Row],[Confirmed Pick-up Date]]),"TBD")</f>
        <v>51</v>
      </c>
      <c r="H601" s="20" t="str">
        <f>IFERROR(TEXT(Table4[[#This Row],[Confirmed Pick-up Date]],"yy-mm"),"TBD")</f>
        <v>25-12</v>
      </c>
      <c r="I601" s="13" t="s">
        <v>975</v>
      </c>
      <c r="J601" s="20" t="str">
        <f>IFERROR(VLOOKUP(Table4[[#This Row],[FromSite-UPS]],Table1[[#All],[Company or Name]:[FromSite3]],15,FALSE),"")</f>
        <v>Vilnius WWTP</v>
      </c>
      <c r="K601" s="20" t="str">
        <f>IFERROR(VLOOKUP(Table4[[#This Row],[FromSite-UPS]],Table1[[#All],[Company or Name]:[FromSite3]],16,FALSE),"")</f>
        <v>Vilnius Bus Terminal</v>
      </c>
      <c r="L601" s="20">
        <f>IFERROR(VLOOKUP(Table4[[#This Row],[FromSite-UPS]],Table1[[#All],[Company or Name]:[FromSite3]],14,FALSE),"")</f>
        <v>0.58333333333333337</v>
      </c>
      <c r="M601" s="13" t="s">
        <v>1011</v>
      </c>
      <c r="N601" s="20"/>
      <c r="O601" s="20"/>
      <c r="P601" s="20"/>
      <c r="Q601" s="20"/>
      <c r="R601" s="20"/>
      <c r="S601" s="20" t="s">
        <v>126</v>
      </c>
      <c r="T601" s="20"/>
      <c r="U601" s="20"/>
      <c r="V601" s="20"/>
      <c r="W601" s="20" t="str">
        <f>TEXT(Table4[[#This Row],[Confirmed Sampling Date]], "yyyy") &amp; "_" &amp; TEXT(Table4[[#This Row],[Confirmed Sampling Date]], "mm") &amp; "_" &amp; TEXT(Table4[[#This Row],[Confirmed Sampling Date]], "dd")</f>
        <v>2025_12_16</v>
      </c>
      <c r="X601" s="20" t="str">
        <f t="shared" si="9"/>
        <v>Vilnius</v>
      </c>
      <c r="Y601" s="20" t="str">
        <f>VLOOKUP(Table4[[#This Row],[FromSite-UPS]],Table1[[Company or Name]:[NOTES]],2,FALSE)</f>
        <v>Lithuania</v>
      </c>
      <c r="Z601" s="20">
        <f>IFERROR(WEEKNUM(Table4[[#This Row],[Confirmed Sampling Date]] - 10, 21), "TBD")</f>
        <v>49</v>
      </c>
      <c r="AA601" s="20" t="str">
        <f>_xlfn.XLOOKUP(Table4[[#This Row],[FromSite-UPS]],sites!D:D,sites!W:W,"",0)</f>
        <v>Zolyno 36 gatve, Vilnius, 10210, Lithuania</v>
      </c>
      <c r="AB601" s="20" t="str">
        <f>_xlfn.XLOOKUP(Table4[[#This Row],[ToLab]],labs!D:D,labs!P:P,"no adres",0)</f>
        <v>Av. Rovisco Pais 1, Laboratorio de Analises de Agua, Lisbon, 1049-001, Portugal</v>
      </c>
      <c r="AC601" s="20">
        <f>_xlfn.XLOOKUP(Table4[[#This Row],[combi]],AREA!E:E,AREA!F:F,"",0)</f>
        <v>89</v>
      </c>
      <c r="AD601" s="20" t="str">
        <f>_xlfn.XLOOKUP(Table4[[#This Row],[combi]],AREA!E:E,AREA!G:G,"",0)</f>
        <v>Pick-up service of hypothetic package as defined in the Tech. Specs. and delivery to lots
2 and 3 contractors according to Scenario 1</v>
      </c>
      <c r="AE601" s="20" t="s">
        <v>126</v>
      </c>
      <c r="AF601" s="20" t="str">
        <f>_xlfn.XLOOKUP(Table4[[#This Row],[FromSite-UPS]],sites!D:D,sites!AB:AB,"",0)&amp;_xlfn.XLOOKUP(Table4[[#This Row],[ToLab]],labs!D:D,labs!Q:Q,"",0)</f>
        <v>EUEU</v>
      </c>
    </row>
    <row r="602" spans="2:32" ht="15.6" hidden="1" customHeight="1" x14ac:dyDescent="0.25">
      <c r="B602" s="13">
        <v>290</v>
      </c>
      <c r="C602" s="14" t="s">
        <v>53</v>
      </c>
      <c r="D602" s="13">
        <v>1</v>
      </c>
      <c r="E602" s="79">
        <v>46007</v>
      </c>
      <c r="F602" s="80">
        <v>46008</v>
      </c>
      <c r="G602" s="20">
        <f>IFERROR(WEEKNUM(Table4[[#This Row],[Confirmed Pick-up Date]]),"TBD")</f>
        <v>51</v>
      </c>
      <c r="H602" s="20" t="str">
        <f>IFERROR(TEXT(Table4[[#This Row],[Confirmed Pick-up Date]],"yy-mm"),"TBD")</f>
        <v>25-12</v>
      </c>
      <c r="I602" s="13" t="s">
        <v>975</v>
      </c>
      <c r="J602" s="20" t="str">
        <f>IFERROR(VLOOKUP(Table4[[#This Row],[FromSite-UPS]],Table1[[#All],[Company or Name]:[FromSite3]],15,FALSE),"")</f>
        <v>Vilnius WWTP</v>
      </c>
      <c r="K602" s="20" t="str">
        <f>IFERROR(VLOOKUP(Table4[[#This Row],[FromSite-UPS]],Table1[[#All],[Company or Name]:[FromSite3]],16,FALSE),"")</f>
        <v>Vilnius Bus Terminal</v>
      </c>
      <c r="L602" s="20">
        <f>IFERROR(VLOOKUP(Table4[[#This Row],[FromSite-UPS]],Table1[[#All],[Company or Name]:[FromSite3]],14,FALSE),"")</f>
        <v>0.58333333333333337</v>
      </c>
      <c r="M602" s="13" t="s">
        <v>1011</v>
      </c>
      <c r="N602" s="20"/>
      <c r="O602" s="20"/>
      <c r="P602" s="20"/>
      <c r="Q602" s="20"/>
      <c r="R602" s="20"/>
      <c r="S602" s="20" t="s">
        <v>126</v>
      </c>
      <c r="T602" s="20"/>
      <c r="U602" s="20"/>
      <c r="V602" s="20"/>
      <c r="W602" s="20" t="str">
        <f>TEXT(Table4[[#This Row],[Confirmed Sampling Date]], "yyyy") &amp; "_" &amp; TEXT(Table4[[#This Row],[Confirmed Sampling Date]], "mm") &amp; "_" &amp; TEXT(Table4[[#This Row],[Confirmed Sampling Date]], "dd")</f>
        <v>2025_12_16</v>
      </c>
      <c r="X602" s="20" t="str">
        <f t="shared" si="9"/>
        <v>Vilnius</v>
      </c>
      <c r="Y602" s="20" t="str">
        <f>VLOOKUP(Table4[[#This Row],[FromSite-UPS]],Table1[[Company or Name]:[NOTES]],2,FALSE)</f>
        <v>Lithuania</v>
      </c>
      <c r="Z602" s="20">
        <f>IFERROR(WEEKNUM(Table4[[#This Row],[Confirmed Sampling Date]] - 10, 21), "TBD")</f>
        <v>49</v>
      </c>
      <c r="AA602" s="20" t="str">
        <f>_xlfn.XLOOKUP(Table4[[#This Row],[FromSite-UPS]],sites!D:D,sites!W:W,"",0)</f>
        <v>Zolyno 36 gatve, Vilnius, 10210, Lithuania</v>
      </c>
      <c r="AB602" s="20" t="str">
        <f>_xlfn.XLOOKUP(Table4[[#This Row],[ToLab]],labs!D:D,labs!P:P,"no adres",0)</f>
        <v>Av. Rovisco Pais 1, Laboratorio de Analises de Agua, Lisbon, 1049-001, Portugal</v>
      </c>
      <c r="AC602" s="20">
        <f>_xlfn.XLOOKUP(Table4[[#This Row],[combi]],AREA!E:E,AREA!F:F,"",0)</f>
        <v>89</v>
      </c>
      <c r="AD602" s="20" t="str">
        <f>_xlfn.XLOOKUP(Table4[[#This Row],[combi]],AREA!E:E,AREA!G:G,"",0)</f>
        <v>Pick-up service of hypothetic package as defined in the Tech. Specs. and delivery to lots
2 and 3 contractors according to Scenario 1</v>
      </c>
      <c r="AE602" s="20" t="s">
        <v>126</v>
      </c>
      <c r="AF602" s="20" t="str">
        <f>_xlfn.XLOOKUP(Table4[[#This Row],[FromSite-UPS]],sites!D:D,sites!AB:AB,"",0)&amp;_xlfn.XLOOKUP(Table4[[#This Row],[ToLab]],labs!D:D,labs!Q:Q,"",0)</f>
        <v>EUEU</v>
      </c>
    </row>
    <row r="603" spans="2:32" ht="15.6" hidden="1" customHeight="1" x14ac:dyDescent="0.25">
      <c r="B603" s="13">
        <v>538</v>
      </c>
      <c r="C603" s="14" t="s">
        <v>53</v>
      </c>
      <c r="D603" s="13">
        <v>1</v>
      </c>
      <c r="E603" s="83">
        <v>46006</v>
      </c>
      <c r="F603" s="83">
        <v>46008</v>
      </c>
      <c r="G603" s="20">
        <f>IFERROR(WEEKNUM(Table4[[#This Row],[Confirmed Pick-up Date]]),"TBD")</f>
        <v>51</v>
      </c>
      <c r="H603" s="20" t="str">
        <f>IFERROR(TEXT(Table4[[#This Row],[Confirmed Pick-up Date]],"yy-mm"),"TBD")</f>
        <v>25-12</v>
      </c>
      <c r="I603" s="78" t="s">
        <v>1187</v>
      </c>
      <c r="J603" s="20" t="str">
        <f>IFERROR(VLOOKUP(Table4[[#This Row],[FromSite-UPS]],Table1[[#All],[Company or Name]:[FromSite3]],15,FALSE),"")</f>
        <v>Aachen WWTP</v>
      </c>
      <c r="K603" s="20" t="str">
        <f>IFERROR(VLOOKUP(Table4[[#This Row],[FromSite-UPS]],Table1[[#All],[Company or Name]:[FromSite3]],16,FALSE),"")</f>
        <v>Aachen Hospital</v>
      </c>
      <c r="L603" s="20">
        <f>IFERROR(VLOOKUP(Table4[[#This Row],[FromSite-UPS]],Table1[[#All],[Company or Name]:[FromSite3]],14,FALSE),"")</f>
        <v>0.66666666666666663</v>
      </c>
      <c r="M603" s="13" t="s">
        <v>1011</v>
      </c>
      <c r="N603" s="20"/>
      <c r="O603" s="20"/>
      <c r="P603" s="20"/>
      <c r="Q603" s="20"/>
      <c r="R603" s="20"/>
      <c r="S603" s="20" t="s">
        <v>126</v>
      </c>
      <c r="T603" s="20"/>
      <c r="U603" s="20"/>
      <c r="V603" s="20"/>
      <c r="W603" s="20" t="str">
        <f>TEXT(Table4[[#This Row],[Confirmed Sampling Date]], "yyyy") &amp; "_" &amp; TEXT(Table4[[#This Row],[Confirmed Sampling Date]], "mm") &amp; "_" &amp; TEXT(Table4[[#This Row],[Confirmed Sampling Date]], "dd")</f>
        <v>2025_12_15</v>
      </c>
      <c r="X603" s="20" t="str">
        <f t="shared" si="9"/>
        <v>Aachen</v>
      </c>
      <c r="Y603" s="20" t="str">
        <f>VLOOKUP(Table4[[#This Row],[FromSite-UPS]],Table1[[Company or Name]:[NOTES]],2,FALSE)</f>
        <v>Germany</v>
      </c>
      <c r="Z603" s="20">
        <f>IFERROR(WEEKNUM(Table4[[#This Row],[Confirmed Sampling Date]] - 10, 21), "TBD")</f>
        <v>49</v>
      </c>
      <c r="AA603" s="20" t="str">
        <f>_xlfn.XLOOKUP(Table4[[#This Row],[FromSite-UPS]],sites!D:D,sites!W:W,"",0)</f>
        <v>Krefelder Str. 299, Aachen, 52070, Germany</v>
      </c>
      <c r="AB603" s="20" t="str">
        <f>_xlfn.XLOOKUP(Table4[[#This Row],[ToLab]],labs!D:D,labs!P:P,"no adres",0)</f>
        <v>Av. Rovisco Pais 1, Laboratorio de Analises de Agua, Lisbon, 1049-001, Portugal</v>
      </c>
      <c r="AC603" s="20">
        <f>_xlfn.XLOOKUP(Table4[[#This Row],[combi]],AREA!E:E,AREA!F:F,"",0)</f>
        <v>89</v>
      </c>
      <c r="AD603" s="20" t="str">
        <f>_xlfn.XLOOKUP(Table4[[#This Row],[combi]],AREA!E:E,AREA!G:G,"",0)</f>
        <v>Pick-up service of hypothetic package as defined in the Tech. Specs. and delivery to lots
2 and 3 contractors according to Scenario 1</v>
      </c>
      <c r="AE603" s="20" t="s">
        <v>126</v>
      </c>
      <c r="AF603" s="20" t="str">
        <f>_xlfn.XLOOKUP(Table4[[#This Row],[FromSite-UPS]],sites!D:D,sites!AB:AB,"",0)&amp;_xlfn.XLOOKUP(Table4[[#This Row],[ToLab]],labs!D:D,labs!Q:Q,"",0)</f>
        <v>EUEU</v>
      </c>
    </row>
    <row r="604" spans="2:32" ht="15.6" hidden="1" customHeight="1" x14ac:dyDescent="0.25">
      <c r="B604" s="13">
        <v>602</v>
      </c>
      <c r="C604" s="14" t="s">
        <v>53</v>
      </c>
      <c r="D604" s="13">
        <v>1</v>
      </c>
      <c r="E604" s="83">
        <v>46006</v>
      </c>
      <c r="F604" s="83">
        <v>46008</v>
      </c>
      <c r="G604" s="20">
        <f>IFERROR(WEEKNUM(Table4[[#This Row],[Confirmed Pick-up Date]]),"TBD")</f>
        <v>51</v>
      </c>
      <c r="H604" s="20" t="str">
        <f>IFERROR(TEXT(Table4[[#This Row],[Confirmed Pick-up Date]],"yy-mm"),"TBD")</f>
        <v>25-12</v>
      </c>
      <c r="I604" s="78" t="s">
        <v>1187</v>
      </c>
      <c r="J604" s="20" t="str">
        <f>IFERROR(VLOOKUP(Table4[[#This Row],[FromSite-UPS]],Table1[[#All],[Company or Name]:[FromSite3]],15,FALSE),"")</f>
        <v>Aachen WWTP</v>
      </c>
      <c r="K604" s="20" t="str">
        <f>IFERROR(VLOOKUP(Table4[[#This Row],[FromSite-UPS]],Table1[[#All],[Company or Name]:[FromSite3]],16,FALSE),"")</f>
        <v>Aachen Hospital</v>
      </c>
      <c r="L604" s="20">
        <f>IFERROR(VLOOKUP(Table4[[#This Row],[FromSite-UPS]],Table1[[#All],[Company or Name]:[FromSite3]],14,FALSE),"")</f>
        <v>0.66666666666666663</v>
      </c>
      <c r="M604" s="13" t="s">
        <v>1011</v>
      </c>
      <c r="N604" s="20"/>
      <c r="O604" s="20"/>
      <c r="P604" s="20"/>
      <c r="Q604" s="20"/>
      <c r="R604" s="20"/>
      <c r="S604" s="20" t="s">
        <v>126</v>
      </c>
      <c r="T604" s="20"/>
      <c r="U604" s="20"/>
      <c r="V604" s="20"/>
      <c r="W604" s="20" t="str">
        <f>TEXT(Table4[[#This Row],[Confirmed Sampling Date]], "yyyy") &amp; "_" &amp; TEXT(Table4[[#This Row],[Confirmed Sampling Date]], "mm") &amp; "_" &amp; TEXT(Table4[[#This Row],[Confirmed Sampling Date]], "dd")</f>
        <v>2025_12_15</v>
      </c>
      <c r="X604" s="20" t="str">
        <f t="shared" si="9"/>
        <v>Aachen</v>
      </c>
      <c r="Y604" s="20" t="str">
        <f>VLOOKUP(Table4[[#This Row],[FromSite-UPS]],Table1[[Company or Name]:[NOTES]],2,FALSE)</f>
        <v>Germany</v>
      </c>
      <c r="Z604" s="20">
        <f>IFERROR(WEEKNUM(Table4[[#This Row],[Confirmed Sampling Date]] - 10, 21), "TBD")</f>
        <v>49</v>
      </c>
      <c r="AA604" s="20" t="str">
        <f>_xlfn.XLOOKUP(Table4[[#This Row],[FromSite-UPS]],sites!D:D,sites!W:W,"",0)</f>
        <v>Krefelder Str. 299, Aachen, 52070, Germany</v>
      </c>
      <c r="AB604" s="20" t="str">
        <f>_xlfn.XLOOKUP(Table4[[#This Row],[ToLab]],labs!D:D,labs!P:P,"no adres",0)</f>
        <v>Av. Rovisco Pais 1, Laboratorio de Analises de Agua, Lisbon, 1049-001, Portugal</v>
      </c>
      <c r="AC604" s="20">
        <f>_xlfn.XLOOKUP(Table4[[#This Row],[combi]],AREA!E:E,AREA!F:F,"",0)</f>
        <v>89</v>
      </c>
      <c r="AD604" s="20" t="str">
        <f>_xlfn.XLOOKUP(Table4[[#This Row],[combi]],AREA!E:E,AREA!G:G,"",0)</f>
        <v>Pick-up service of hypothetic package as defined in the Tech. Specs. and delivery to lots
2 and 3 contractors according to Scenario 1</v>
      </c>
      <c r="AE604" s="20" t="s">
        <v>126</v>
      </c>
      <c r="AF604" s="20" t="str">
        <f>_xlfn.XLOOKUP(Table4[[#This Row],[FromSite-UPS]],sites!D:D,sites!AB:AB,"",0)&amp;_xlfn.XLOOKUP(Table4[[#This Row],[ToLab]],labs!D:D,labs!Q:Q,"",0)</f>
        <v>EUEU</v>
      </c>
    </row>
    <row r="605" spans="2:32" ht="15.6" hidden="1" customHeight="1" x14ac:dyDescent="0.25">
      <c r="B605" s="13">
        <v>618</v>
      </c>
      <c r="C605" s="14" t="s">
        <v>53</v>
      </c>
      <c r="D605" s="13">
        <v>1</v>
      </c>
      <c r="E605" s="83">
        <v>46007</v>
      </c>
      <c r="F605" s="83">
        <v>46008</v>
      </c>
      <c r="G605" s="20">
        <f>IFERROR(WEEKNUM(Table4[[#This Row],[Confirmed Pick-up Date]]),"TBD")</f>
        <v>51</v>
      </c>
      <c r="H605" s="20" t="str">
        <f>IFERROR(TEXT(Table4[[#This Row],[Confirmed Pick-up Date]],"yy-mm"),"TBD")</f>
        <v>25-12</v>
      </c>
      <c r="I605" s="13" t="s">
        <v>1590</v>
      </c>
      <c r="J605" s="20" t="str">
        <f>IFERROR(VLOOKUP(Table4[[#This Row],[FromSite-UPS]],Table1[[#All],[Company or Name]:[FromSite3]],15,FALSE),"")</f>
        <v>Àthens WWTP</v>
      </c>
      <c r="K605" s="20" t="str">
        <f>IFERROR(VLOOKUP(Table4[[#This Row],[FromSite-UPS]],Table1[[#All],[Company or Name]:[FromSite3]],16,FALSE),"")</f>
        <v>Athens Airport</v>
      </c>
      <c r="L605" s="20">
        <f>IFERROR(VLOOKUP(Table4[[#This Row],[FromSite-UPS]],Table1[[#All],[Company or Name]:[FromSite3]],14,FALSE),"")</f>
        <v>0.66666666666666663</v>
      </c>
      <c r="M605" s="13" t="s">
        <v>1011</v>
      </c>
      <c r="N605" s="20"/>
      <c r="O605" s="20"/>
      <c r="P605" s="20"/>
      <c r="Q605" s="20"/>
      <c r="R605" s="20"/>
      <c r="S605" s="20" t="s">
        <v>126</v>
      </c>
      <c r="T605" s="20"/>
      <c r="U605" s="20"/>
      <c r="V605" s="20"/>
      <c r="W605" s="20" t="str">
        <f>TEXT(Table4[[#This Row],[Confirmed Sampling Date]], "yyyy") &amp; "_" &amp; TEXT(Table4[[#This Row],[Confirmed Sampling Date]], "mm") &amp; "_" &amp; TEXT(Table4[[#This Row],[Confirmed Sampling Date]], "dd")</f>
        <v>2025_12_16</v>
      </c>
      <c r="X605" s="20" t="str">
        <f t="shared" si="9"/>
        <v>Àthens</v>
      </c>
      <c r="Y605" s="20" t="str">
        <f>VLOOKUP(Table4[[#This Row],[FromSite-UPS]],Table1[[Company or Name]:[NOTES]],2,FALSE)</f>
        <v>Greece</v>
      </c>
      <c r="Z605" s="20">
        <f>IFERROR(WEEKNUM(Table4[[#This Row],[Confirmed Sampling Date]] - 10, 21), "TBD")</f>
        <v>49</v>
      </c>
      <c r="AA605" s="20" t="str">
        <f>_xlfn.XLOOKUP(Table4[[#This Row],[FromSite-UPS]],sites!D:D,sites!W:W,"",0)</f>
        <v>Zografou, 4ος όροφος, εργαστήριο αριθμός 8, Athens,  157 71, Greece</v>
      </c>
      <c r="AB605" s="20" t="str">
        <f>_xlfn.XLOOKUP(Table4[[#This Row],[ToLab]],labs!D:D,labs!P:P,"no adres",0)</f>
        <v>Av. Rovisco Pais 1, Laboratorio de Analises de Agua, Lisbon, 1049-001, Portugal</v>
      </c>
      <c r="AC605" s="20">
        <f>_xlfn.XLOOKUP(Table4[[#This Row],[combi]],AREA!E:E,AREA!F:F,"",0)</f>
        <v>89</v>
      </c>
      <c r="AD605" s="20" t="str">
        <f>_xlfn.XLOOKUP(Table4[[#This Row],[combi]],AREA!E:E,AREA!G:G,"",0)</f>
        <v>Pick-up service of hypothetic package as defined in the Tech. Specs. and delivery to lots
2 and 3 contractors according to Scenario 1</v>
      </c>
      <c r="AE605" s="20" t="s">
        <v>126</v>
      </c>
      <c r="AF605" s="20" t="str">
        <f>_xlfn.XLOOKUP(Table4[[#This Row],[FromSite-UPS]],sites!D:D,sites!AB:AB,"",0)&amp;_xlfn.XLOOKUP(Table4[[#This Row],[ToLab]],labs!D:D,labs!Q:Q,"",0)</f>
        <v>EUEU</v>
      </c>
    </row>
    <row r="606" spans="2:32" ht="15.6" hidden="1" customHeight="1" x14ac:dyDescent="0.25">
      <c r="B606" s="13">
        <v>625</v>
      </c>
      <c r="C606" s="14" t="s">
        <v>53</v>
      </c>
      <c r="D606" s="13">
        <v>1</v>
      </c>
      <c r="E606" s="83">
        <v>46007</v>
      </c>
      <c r="F606" s="83">
        <v>46008</v>
      </c>
      <c r="G606" s="20">
        <f>IFERROR(WEEKNUM(Table4[[#This Row],[Confirmed Pick-up Date]]),"TBD")</f>
        <v>51</v>
      </c>
      <c r="H606" s="20" t="str">
        <f>IFERROR(TEXT(Table4[[#This Row],[Confirmed Pick-up Date]],"yy-mm"),"TBD")</f>
        <v>25-12</v>
      </c>
      <c r="I606" s="13" t="s">
        <v>1598</v>
      </c>
      <c r="J606" s="20" t="str">
        <f>IFERROR(VLOOKUP(Table4[[#This Row],[FromSite-UPS]],Table1[[#All],[Company or Name]:[FromSite3]],15,FALSE),"")</f>
        <v>Heraklion WWTP</v>
      </c>
      <c r="K606" s="20" t="str">
        <f>IFERROR(VLOOKUP(Table4[[#This Row],[FromSite-UPS]],Table1[[#All],[Company or Name]:[FromSite3]],16,FALSE),"")</f>
        <v>Heraklion Airport</v>
      </c>
      <c r="L606" s="20">
        <f>IFERROR(VLOOKUP(Table4[[#This Row],[FromSite-UPS]],Table1[[#All],[Company or Name]:[FromSite3]],14,FALSE),"")</f>
        <v>0.5</v>
      </c>
      <c r="M606" s="13" t="s">
        <v>1011</v>
      </c>
      <c r="N606" s="20"/>
      <c r="O606" s="20"/>
      <c r="P606" s="20"/>
      <c r="Q606" s="20"/>
      <c r="R606" s="20"/>
      <c r="S606" s="20" t="s">
        <v>126</v>
      </c>
      <c r="T606" s="20"/>
      <c r="U606" s="20"/>
      <c r="V606" s="20"/>
      <c r="W606" s="20" t="str">
        <f>TEXT(Table4[[#This Row],[Confirmed Sampling Date]], "yyyy") &amp; "_" &amp; TEXT(Table4[[#This Row],[Confirmed Sampling Date]], "mm") &amp; "_" &amp; TEXT(Table4[[#This Row],[Confirmed Sampling Date]], "dd")</f>
        <v>2025_12_16</v>
      </c>
      <c r="X606" s="20" t="str">
        <f t="shared" si="9"/>
        <v>Heraklion</v>
      </c>
      <c r="Y606" s="20" t="str">
        <f>VLOOKUP(Table4[[#This Row],[FromSite-UPS]],Table1[[Company or Name]:[NOTES]],2,FALSE)</f>
        <v>Greece</v>
      </c>
      <c r="Z606" s="20">
        <f>IFERROR(WEEKNUM(Table4[[#This Row],[Confirmed Sampling Date]] - 10, 21), "TBD")</f>
        <v>49</v>
      </c>
      <c r="AA606" s="20" t="str">
        <f>_xlfn.XLOOKUP(Table4[[#This Row],[FromSite-UPS]],sites!D:D,sites!W:W,"",0)</f>
        <v>Andrea Kalokerinou 13, Pteryga 3D, Giofirakia, 715 00, Greece</v>
      </c>
      <c r="AB606" s="20" t="str">
        <f>_xlfn.XLOOKUP(Table4[[#This Row],[ToLab]],labs!D:D,labs!P:P,"no adres",0)</f>
        <v>Av. Rovisco Pais 1, Laboratorio de Analises de Agua, Lisbon, 1049-001, Portugal</v>
      </c>
      <c r="AC606" s="20">
        <f>_xlfn.XLOOKUP(Table4[[#This Row],[combi]],AREA!E:E,AREA!F:F,"",0)</f>
        <v>89</v>
      </c>
      <c r="AD606" s="20" t="str">
        <f>_xlfn.XLOOKUP(Table4[[#This Row],[combi]],AREA!E:E,AREA!G:G,"",0)</f>
        <v>Pick-up service of hypothetic package as defined in the Tech. Specs. and delivery to lots
2 and 3 contractors according to Scenario 1</v>
      </c>
      <c r="AE606" s="20" t="s">
        <v>126</v>
      </c>
      <c r="AF606" s="20" t="str">
        <f>_xlfn.XLOOKUP(Table4[[#This Row],[FromSite-UPS]],sites!D:D,sites!AB:AB,"",0)&amp;_xlfn.XLOOKUP(Table4[[#This Row],[ToLab]],labs!D:D,labs!Q:Q,"",0)</f>
        <v>EUEU</v>
      </c>
    </row>
    <row r="607" spans="2:32" ht="15.6" hidden="1" customHeight="1" x14ac:dyDescent="0.25">
      <c r="B607" s="13">
        <v>632</v>
      </c>
      <c r="C607" s="14" t="s">
        <v>53</v>
      </c>
      <c r="D607" s="13">
        <v>1</v>
      </c>
      <c r="E607" s="34">
        <v>46007</v>
      </c>
      <c r="F607" s="34">
        <v>46008</v>
      </c>
      <c r="G607" s="20">
        <f>IFERROR(WEEKNUM(Table4[[#This Row],[Confirmed Pick-up Date]]),"TBD")</f>
        <v>51</v>
      </c>
      <c r="H607" s="20" t="str">
        <f>IFERROR(TEXT(Table4[[#This Row],[Confirmed Pick-up Date]],"yy-mm"),"TBD")</f>
        <v>25-12</v>
      </c>
      <c r="I607" s="13" t="s">
        <v>1598</v>
      </c>
      <c r="J607" s="20" t="str">
        <f>IFERROR(VLOOKUP(Table4[[#This Row],[FromSite-UPS]],Table1[[#All],[Company or Name]:[FromSite3]],15,FALSE),"")</f>
        <v>Heraklion WWTP</v>
      </c>
      <c r="K607" s="20" t="str">
        <f>IFERROR(VLOOKUP(Table4[[#This Row],[FromSite-UPS]],Table1[[#All],[Company or Name]:[FromSite3]],16,FALSE),"")</f>
        <v>Heraklion Airport</v>
      </c>
      <c r="L607" s="20">
        <f>IFERROR(VLOOKUP(Table4[[#This Row],[FromSite-UPS]],Table1[[#All],[Company or Name]:[FromSite3]],14,FALSE),"")</f>
        <v>0.5</v>
      </c>
      <c r="M607" s="13" t="s">
        <v>1011</v>
      </c>
      <c r="N607" s="20"/>
      <c r="O607" s="20"/>
      <c r="P607" s="20"/>
      <c r="Q607" s="20"/>
      <c r="R607" s="20"/>
      <c r="S607" s="20" t="s">
        <v>126</v>
      </c>
      <c r="T607" s="20"/>
      <c r="U607" s="20"/>
      <c r="V607" s="20"/>
      <c r="W607" s="20" t="str">
        <f>TEXT(Table4[[#This Row],[Confirmed Sampling Date]], "yyyy") &amp; "_" &amp; TEXT(Table4[[#This Row],[Confirmed Sampling Date]], "mm") &amp; "_" &amp; TEXT(Table4[[#This Row],[Confirmed Sampling Date]], "dd")</f>
        <v>2025_12_16</v>
      </c>
      <c r="X607" s="20" t="str">
        <f t="shared" si="9"/>
        <v>Heraklion</v>
      </c>
      <c r="Y607" s="20" t="str">
        <f>VLOOKUP(Table4[[#This Row],[FromSite-UPS]],Table1[[Company or Name]:[NOTES]],2,FALSE)</f>
        <v>Greece</v>
      </c>
      <c r="Z607" s="20">
        <f>IFERROR(WEEKNUM(Table4[[#This Row],[Confirmed Sampling Date]] - 10, 21), "TBD")</f>
        <v>49</v>
      </c>
      <c r="AA607" s="20" t="str">
        <f>_xlfn.XLOOKUP(Table4[[#This Row],[FromSite-UPS]],sites!D:D,sites!W:W,"",0)</f>
        <v>Andrea Kalokerinou 13, Pteryga 3D, Giofirakia, 715 00, Greece</v>
      </c>
      <c r="AB607" s="20" t="str">
        <f>_xlfn.XLOOKUP(Table4[[#This Row],[ToLab]],labs!D:D,labs!P:P,"no adres",0)</f>
        <v>Av. Rovisco Pais 1, Laboratorio de Analises de Agua, Lisbon, 1049-001, Portugal</v>
      </c>
      <c r="AC607" s="20">
        <f>_xlfn.XLOOKUP(Table4[[#This Row],[combi]],AREA!E:E,AREA!F:F,"",0)</f>
        <v>89</v>
      </c>
      <c r="AD607" s="20" t="str">
        <f>_xlfn.XLOOKUP(Table4[[#This Row],[combi]],AREA!E:E,AREA!G:G,"",0)</f>
        <v>Pick-up service of hypothetic package as defined in the Tech. Specs. and delivery to lots
2 and 3 contractors according to Scenario 1</v>
      </c>
      <c r="AE607" s="20" t="s">
        <v>126</v>
      </c>
      <c r="AF607" s="20" t="str">
        <f>_xlfn.XLOOKUP(Table4[[#This Row],[FromSite-UPS]],sites!D:D,sites!AB:AB,"",0)&amp;_xlfn.XLOOKUP(Table4[[#This Row],[ToLab]],labs!D:D,labs!Q:Q,"",0)</f>
        <v>EUEU</v>
      </c>
    </row>
    <row r="608" spans="2:32" ht="15.6" hidden="1" customHeight="1" x14ac:dyDescent="0.25">
      <c r="B608" s="13">
        <v>640</v>
      </c>
      <c r="C608" s="14" t="s">
        <v>53</v>
      </c>
      <c r="D608" s="13">
        <v>1</v>
      </c>
      <c r="E608" s="83">
        <v>46006</v>
      </c>
      <c r="F608" s="83">
        <v>46008</v>
      </c>
      <c r="G608" s="20">
        <f>IFERROR(WEEKNUM(Table4[[#This Row],[Confirmed Pick-up Date]]),"TBD")</f>
        <v>51</v>
      </c>
      <c r="H608" s="20" t="str">
        <f>IFERROR(TEXT(Table4[[#This Row],[Confirmed Pick-up Date]],"yy-mm"),"TBD")</f>
        <v>25-12</v>
      </c>
      <c r="I608" s="13" t="s">
        <v>1802</v>
      </c>
      <c r="J608" s="20" t="str">
        <f>IFERROR(VLOOKUP(Table4[[#This Row],[FromSite-UPS]],Table1[[#All],[Company or Name]:[FromSite3]],15,FALSE),"")</f>
        <v>Wien WWTP</v>
      </c>
      <c r="K608" s="20" t="str">
        <f>IFERROR(VLOOKUP(Table4[[#This Row],[FromSite-UPS]],Table1[[#All],[Company or Name]:[FromSite3]],16,FALSE),"")</f>
        <v>-</v>
      </c>
      <c r="L608" s="20">
        <f>IFERROR(VLOOKUP(Table4[[#This Row],[FromSite-UPS]],Table1[[#All],[Company or Name]:[FromSite3]],14,FALSE),"")</f>
        <v>0.5</v>
      </c>
      <c r="M608" s="13" t="s">
        <v>1011</v>
      </c>
      <c r="N608" s="20"/>
      <c r="O608" s="20"/>
      <c r="P608" s="20"/>
      <c r="Q608" s="20"/>
      <c r="R608" s="20"/>
      <c r="S608" s="20" t="s">
        <v>126</v>
      </c>
      <c r="T608" s="20"/>
      <c r="U608" s="20"/>
      <c r="V608" s="20"/>
      <c r="W608" s="20" t="str">
        <f>TEXT(Table4[[#This Row],[Confirmed Sampling Date]], "yyyy") &amp; "_" &amp; TEXT(Table4[[#This Row],[Confirmed Sampling Date]], "mm") &amp; "_" &amp; TEXT(Table4[[#This Row],[Confirmed Sampling Date]], "dd")</f>
        <v>2025_12_15</v>
      </c>
      <c r="X608" s="20" t="str">
        <f t="shared" si="9"/>
        <v>Wien</v>
      </c>
      <c r="Y608" s="20" t="str">
        <f>VLOOKUP(Table4[[#This Row],[FromSite-UPS]],Table1[[Company or Name]:[NOTES]],2,FALSE)</f>
        <v>Austria</v>
      </c>
      <c r="Z608" s="20">
        <f>IFERROR(WEEKNUM(Table4[[#This Row],[Confirmed Sampling Date]] - 10, 21), "TBD")</f>
        <v>49</v>
      </c>
      <c r="AA608" s="20" t="str">
        <f>_xlfn.XLOOKUP(Table4[[#This Row],[FromSite-UPS]],sites!D:D,sites!W:W,"",0)</f>
        <v>Währinger Gürtel 18-20, Wien, 1090, Austria</v>
      </c>
      <c r="AB608" s="20" t="str">
        <f>_xlfn.XLOOKUP(Table4[[#This Row],[ToLab]],labs!D:D,labs!P:P,"no adres",0)</f>
        <v>Av. Rovisco Pais 1, Laboratorio de Analises de Agua, Lisbon, 1049-001, Portugal</v>
      </c>
      <c r="AC608" s="20">
        <f>_xlfn.XLOOKUP(Table4[[#This Row],[combi]],AREA!E:E,AREA!F:F,"",0)</f>
        <v>89</v>
      </c>
      <c r="AD608" s="20" t="str">
        <f>_xlfn.XLOOKUP(Table4[[#This Row],[combi]],AREA!E:E,AREA!G:G,"",0)</f>
        <v>Pick-up service of hypothetic package as defined in the Tech. Specs. and delivery to lots
2 and 3 contractors according to Scenario 1</v>
      </c>
      <c r="AE608" s="20" t="s">
        <v>126</v>
      </c>
      <c r="AF608" s="20" t="str">
        <f>_xlfn.XLOOKUP(Table4[[#This Row],[FromSite-UPS]],sites!D:D,sites!AB:AB,"",0)&amp;_xlfn.XLOOKUP(Table4[[#This Row],[ToLab]],labs!D:D,labs!Q:Q,"",0)</f>
        <v>EUEU</v>
      </c>
    </row>
    <row r="609" spans="2:32" ht="15.6" hidden="1" customHeight="1" x14ac:dyDescent="0.25">
      <c r="B609" s="13">
        <v>301</v>
      </c>
      <c r="C609" s="14" t="s">
        <v>53</v>
      </c>
      <c r="D609" s="13">
        <v>1</v>
      </c>
      <c r="E609" s="79">
        <v>46008</v>
      </c>
      <c r="F609" s="80">
        <v>46009</v>
      </c>
      <c r="G609" s="20">
        <f>IFERROR(WEEKNUM(Table4[[#This Row],[Confirmed Pick-up Date]]),"TBD")</f>
        <v>51</v>
      </c>
      <c r="H609" s="20" t="str">
        <f>IFERROR(TEXT(Table4[[#This Row],[Confirmed Pick-up Date]],"yy-mm"),"TBD")</f>
        <v>25-12</v>
      </c>
      <c r="I609" s="13" t="s">
        <v>975</v>
      </c>
      <c r="J609" s="20" t="str">
        <f>IFERROR(VLOOKUP(Table4[[#This Row],[FromSite-UPS]],Table1[[#All],[Company or Name]:[FromSite3]],15,FALSE),"")</f>
        <v>Vilnius WWTP</v>
      </c>
      <c r="K609" s="20" t="str">
        <f>IFERROR(VLOOKUP(Table4[[#This Row],[FromSite-UPS]],Table1[[#All],[Company or Name]:[FromSite3]],16,FALSE),"")</f>
        <v>Vilnius Bus Terminal</v>
      </c>
      <c r="L609" s="20">
        <f>IFERROR(VLOOKUP(Table4[[#This Row],[FromSite-UPS]],Table1[[#All],[Company or Name]:[FromSite3]],14,FALSE),"")</f>
        <v>0.58333333333333337</v>
      </c>
      <c r="M609" s="13" t="s">
        <v>1011</v>
      </c>
      <c r="N609" s="20"/>
      <c r="O609" s="20"/>
      <c r="P609" s="20"/>
      <c r="Q609" s="20"/>
      <c r="R609" s="20"/>
      <c r="S609" s="20" t="s">
        <v>126</v>
      </c>
      <c r="T609" s="20"/>
      <c r="U609" s="20"/>
      <c r="V609" s="20"/>
      <c r="W609" s="20" t="str">
        <f>TEXT(Table4[[#This Row],[Confirmed Sampling Date]], "yyyy") &amp; "_" &amp; TEXT(Table4[[#This Row],[Confirmed Sampling Date]], "mm") &amp; "_" &amp; TEXT(Table4[[#This Row],[Confirmed Sampling Date]], "dd")</f>
        <v>2025_12_17</v>
      </c>
      <c r="X609" s="20" t="str">
        <f t="shared" si="9"/>
        <v>Vilnius</v>
      </c>
      <c r="Y609" s="20" t="str">
        <f>VLOOKUP(Table4[[#This Row],[FromSite-UPS]],Table1[[Company or Name]:[NOTES]],2,FALSE)</f>
        <v>Lithuania</v>
      </c>
      <c r="Z609" s="20">
        <f>IFERROR(WEEKNUM(Table4[[#This Row],[Confirmed Sampling Date]] - 10, 21), "TBD")</f>
        <v>49</v>
      </c>
      <c r="AA609" s="20" t="str">
        <f>_xlfn.XLOOKUP(Table4[[#This Row],[FromSite-UPS]],sites!D:D,sites!W:W,"",0)</f>
        <v>Zolyno 36 gatve, Vilnius, 10210, Lithuania</v>
      </c>
      <c r="AB609" s="20" t="str">
        <f>_xlfn.XLOOKUP(Table4[[#This Row],[ToLab]],labs!D:D,labs!P:P,"no adres",0)</f>
        <v>Av. Rovisco Pais 1, Laboratorio de Analises de Agua, Lisbon, 1049-001, Portugal</v>
      </c>
      <c r="AC609" s="20">
        <f>_xlfn.XLOOKUP(Table4[[#This Row],[combi]],AREA!E:E,AREA!F:F,"",0)</f>
        <v>89</v>
      </c>
      <c r="AD609" s="20" t="str">
        <f>_xlfn.XLOOKUP(Table4[[#This Row],[combi]],AREA!E:E,AREA!G:G,"",0)</f>
        <v>Pick-up service of hypothetic package as defined in the Tech. Specs. and delivery to lots
2 and 3 contractors according to Scenario 1</v>
      </c>
      <c r="AE609" s="20" t="s">
        <v>126</v>
      </c>
      <c r="AF609" s="20" t="str">
        <f>_xlfn.XLOOKUP(Table4[[#This Row],[FromSite-UPS]],sites!D:D,sites!AB:AB,"",0)&amp;_xlfn.XLOOKUP(Table4[[#This Row],[ToLab]],labs!D:D,labs!Q:Q,"",0)</f>
        <v>EUEU</v>
      </c>
    </row>
    <row r="610" spans="2:32" ht="15.6" hidden="1" customHeight="1" x14ac:dyDescent="0.25">
      <c r="B610" s="13">
        <v>311</v>
      </c>
      <c r="C610" s="14" t="s">
        <v>53</v>
      </c>
      <c r="D610" s="13">
        <v>1</v>
      </c>
      <c r="E610" s="79">
        <v>46008</v>
      </c>
      <c r="F610" s="80">
        <v>46009</v>
      </c>
      <c r="G610" s="20">
        <f>IFERROR(WEEKNUM(Table4[[#This Row],[Confirmed Pick-up Date]]),"TBD")</f>
        <v>51</v>
      </c>
      <c r="H610" s="20" t="str">
        <f>IFERROR(TEXT(Table4[[#This Row],[Confirmed Pick-up Date]],"yy-mm"),"TBD")</f>
        <v>25-12</v>
      </c>
      <c r="I610" s="78" t="s">
        <v>1628</v>
      </c>
      <c r="J610" s="20" t="str">
        <f>IFERROR(VLOOKUP(Table4[[#This Row],[FromSite-UPS]],Table1[[#All],[Company or Name]:[FromSite3]],15,FALSE),"")</f>
        <v>Funchal WWTP</v>
      </c>
      <c r="K610" s="20" t="str">
        <f>IFERROR(VLOOKUP(Table4[[#This Row],[FromSite-UPS]],Table1[[#All],[Company or Name]:[FromSite3]],16,FALSE),"")</f>
        <v>Madeira, 10 locations</v>
      </c>
      <c r="L610" s="20">
        <f>IFERROR(VLOOKUP(Table4[[#This Row],[FromSite-UPS]],Table1[[#All],[Company or Name]:[FromSite3]],14,FALSE),"")</f>
        <v>0.70833333333333337</v>
      </c>
      <c r="M610" s="13" t="s">
        <v>1011</v>
      </c>
      <c r="N610" s="20"/>
      <c r="O610" s="20"/>
      <c r="P610" s="20"/>
      <c r="Q610" s="20" t="s">
        <v>1857</v>
      </c>
      <c r="R610" s="20"/>
      <c r="S610" s="20" t="s">
        <v>126</v>
      </c>
      <c r="T610" s="20"/>
      <c r="U610" s="20"/>
      <c r="V610" s="20"/>
      <c r="W610" s="20" t="str">
        <f>TEXT(Table4[[#This Row],[Confirmed Sampling Date]], "yyyy") &amp; "_" &amp; TEXT(Table4[[#This Row],[Confirmed Sampling Date]], "mm") &amp; "_" &amp; TEXT(Table4[[#This Row],[Confirmed Sampling Date]], "dd")</f>
        <v>2025_12_17</v>
      </c>
      <c r="X610" s="20" t="str">
        <f t="shared" si="9"/>
        <v>Funchal</v>
      </c>
      <c r="Y610" s="20" t="str">
        <f>VLOOKUP(Table4[[#This Row],[FromSite-UPS]],Table1[[Company or Name]:[NOTES]],2,FALSE)</f>
        <v>Portugal</v>
      </c>
      <c r="Z610" s="20">
        <f>IFERROR(WEEKNUM(Table4[[#This Row],[Confirmed Sampling Date]] - 10, 21), "TBD")</f>
        <v>49</v>
      </c>
      <c r="AA610" s="20" t="str">
        <f>_xlfn.XLOOKUP(Table4[[#This Row],[FromSite-UPS]],sites!D:D,sites!W:W,"",0)</f>
        <v>R. do Matadouro 4, Funchal, 9050-100, Portugal</v>
      </c>
      <c r="AB610" s="20" t="str">
        <f>_xlfn.XLOOKUP(Table4[[#This Row],[ToLab]],labs!D:D,labs!P:P,"no adres",0)</f>
        <v>Av. Rovisco Pais 1, Laboratorio de Analises de Agua, Lisbon, 1049-001, Portugal</v>
      </c>
      <c r="AC610" s="20">
        <f>_xlfn.XLOOKUP(Table4[[#This Row],[combi]],AREA!E:E,AREA!F:F,"",0)</f>
        <v>89</v>
      </c>
      <c r="AD610" s="20" t="str">
        <f>_xlfn.XLOOKUP(Table4[[#This Row],[combi]],AREA!E:E,AREA!G:G,"",0)</f>
        <v>Pick-up service of hypothetic package as defined in the Tech. Specs. and delivery to lots
2 and 3 contractors according to Scenario 1</v>
      </c>
      <c r="AE610" s="20" t="s">
        <v>126</v>
      </c>
      <c r="AF610" s="20" t="str">
        <f>_xlfn.XLOOKUP(Table4[[#This Row],[FromSite-UPS]],sites!D:D,sites!AB:AB,"",0)&amp;_xlfn.XLOOKUP(Table4[[#This Row],[ToLab]],labs!D:D,labs!Q:Q,"",0)</f>
        <v>EUEU</v>
      </c>
    </row>
    <row r="611" spans="2:32" ht="15.6" hidden="1" customHeight="1" x14ac:dyDescent="0.25">
      <c r="B611" s="13">
        <v>321</v>
      </c>
      <c r="C611" s="14" t="s">
        <v>53</v>
      </c>
      <c r="D611" s="13">
        <v>1</v>
      </c>
      <c r="E611" s="79">
        <v>46008</v>
      </c>
      <c r="F611" s="80">
        <v>46009</v>
      </c>
      <c r="G611" s="20">
        <f>IFERROR(WEEKNUM(Table4[[#This Row],[Confirmed Pick-up Date]]),"TBD")</f>
        <v>51</v>
      </c>
      <c r="H611" s="20" t="str">
        <f>IFERROR(TEXT(Table4[[#This Row],[Confirmed Pick-up Date]],"yy-mm"),"TBD")</f>
        <v>25-12</v>
      </c>
      <c r="I611" s="78" t="s">
        <v>1628</v>
      </c>
      <c r="J611" s="20" t="str">
        <f>IFERROR(VLOOKUP(Table4[[#This Row],[FromSite-UPS]],Table1[[#All],[Company or Name]:[FromSite3]],15,FALSE),"")</f>
        <v>Funchal WWTP</v>
      </c>
      <c r="K611" s="20" t="str">
        <f>IFERROR(VLOOKUP(Table4[[#This Row],[FromSite-UPS]],Table1[[#All],[Company or Name]:[FromSite3]],16,FALSE),"")</f>
        <v>Madeira, 10 locations</v>
      </c>
      <c r="L611" s="20">
        <f>IFERROR(VLOOKUP(Table4[[#This Row],[FromSite-UPS]],Table1[[#All],[Company or Name]:[FromSite3]],14,FALSE),"")</f>
        <v>0.70833333333333337</v>
      </c>
      <c r="M611" s="13" t="s">
        <v>1011</v>
      </c>
      <c r="N611" s="20"/>
      <c r="O611" s="20"/>
      <c r="P611" s="20"/>
      <c r="Q611" s="20"/>
      <c r="R611" s="20"/>
      <c r="S611" s="20" t="s">
        <v>126</v>
      </c>
      <c r="T611" s="20"/>
      <c r="U611" s="20"/>
      <c r="V611" s="20"/>
      <c r="W611" s="20" t="str">
        <f>TEXT(Table4[[#This Row],[Confirmed Sampling Date]], "yyyy") &amp; "_" &amp; TEXT(Table4[[#This Row],[Confirmed Sampling Date]], "mm") &amp; "_" &amp; TEXT(Table4[[#This Row],[Confirmed Sampling Date]], "dd")</f>
        <v>2025_12_17</v>
      </c>
      <c r="X611" s="20" t="str">
        <f t="shared" si="9"/>
        <v>Funchal</v>
      </c>
      <c r="Y611" s="20" t="str">
        <f>VLOOKUP(Table4[[#This Row],[FromSite-UPS]],Table1[[Company or Name]:[NOTES]],2,FALSE)</f>
        <v>Portugal</v>
      </c>
      <c r="Z611" s="20">
        <f>IFERROR(WEEKNUM(Table4[[#This Row],[Confirmed Sampling Date]] - 10, 21), "TBD")</f>
        <v>49</v>
      </c>
      <c r="AA611" s="20" t="str">
        <f>_xlfn.XLOOKUP(Table4[[#This Row],[FromSite-UPS]],sites!D:D,sites!W:W,"",0)</f>
        <v>R. do Matadouro 4, Funchal, 9050-100, Portugal</v>
      </c>
      <c r="AB611" s="20" t="str">
        <f>_xlfn.XLOOKUP(Table4[[#This Row],[ToLab]],labs!D:D,labs!P:P,"no adres",0)</f>
        <v>Av. Rovisco Pais 1, Laboratorio de Analises de Agua, Lisbon, 1049-001, Portugal</v>
      </c>
      <c r="AC611" s="20">
        <f>_xlfn.XLOOKUP(Table4[[#This Row],[combi]],AREA!E:E,AREA!F:F,"",0)</f>
        <v>89</v>
      </c>
      <c r="AD611" s="20" t="str">
        <f>_xlfn.XLOOKUP(Table4[[#This Row],[combi]],AREA!E:E,AREA!G:G,"",0)</f>
        <v>Pick-up service of hypothetic package as defined in the Tech. Specs. and delivery to lots
2 and 3 contractors according to Scenario 1</v>
      </c>
      <c r="AE611" s="20" t="s">
        <v>126</v>
      </c>
      <c r="AF611" s="20" t="str">
        <f>_xlfn.XLOOKUP(Table4[[#This Row],[FromSite-UPS]],sites!D:D,sites!AB:AB,"",0)&amp;_xlfn.XLOOKUP(Table4[[#This Row],[ToLab]],labs!D:D,labs!Q:Q,"",0)</f>
        <v>EUEU</v>
      </c>
    </row>
    <row r="612" spans="2:32" ht="15.6" hidden="1" customHeight="1" x14ac:dyDescent="0.25">
      <c r="B612" s="13">
        <v>331</v>
      </c>
      <c r="C612" s="14" t="s">
        <v>53</v>
      </c>
      <c r="D612" s="13">
        <v>1</v>
      </c>
      <c r="E612" s="79">
        <v>46008</v>
      </c>
      <c r="F612" s="80">
        <v>46009</v>
      </c>
      <c r="G612" s="20">
        <f>IFERROR(WEEKNUM(Table4[[#This Row],[Confirmed Pick-up Date]]),"TBD")</f>
        <v>51</v>
      </c>
      <c r="H612" s="20" t="str">
        <f>IFERROR(TEXT(Table4[[#This Row],[Confirmed Pick-up Date]],"yy-mm"),"TBD")</f>
        <v>25-12</v>
      </c>
      <c r="I612" s="78" t="s">
        <v>1628</v>
      </c>
      <c r="J612" s="20" t="str">
        <f>IFERROR(VLOOKUP(Table4[[#This Row],[FromSite-UPS]],Table1[[#All],[Company or Name]:[FromSite3]],15,FALSE),"")</f>
        <v>Funchal WWTP</v>
      </c>
      <c r="K612" s="20" t="str">
        <f>IFERROR(VLOOKUP(Table4[[#This Row],[FromSite-UPS]],Table1[[#All],[Company or Name]:[FromSite3]],16,FALSE),"")</f>
        <v>Madeira, 10 locations</v>
      </c>
      <c r="L612" s="20">
        <f>IFERROR(VLOOKUP(Table4[[#This Row],[FromSite-UPS]],Table1[[#All],[Company or Name]:[FromSite3]],14,FALSE),"")</f>
        <v>0.70833333333333337</v>
      </c>
      <c r="M612" s="13" t="s">
        <v>1011</v>
      </c>
      <c r="N612" s="20"/>
      <c r="O612" s="20"/>
      <c r="P612" s="20"/>
      <c r="Q612" s="20"/>
      <c r="R612" s="20"/>
      <c r="S612" s="20" t="s">
        <v>126</v>
      </c>
      <c r="T612" s="20"/>
      <c r="U612" s="20"/>
      <c r="V612" s="20"/>
      <c r="W612" s="20" t="str">
        <f>TEXT(Table4[[#This Row],[Confirmed Sampling Date]], "yyyy") &amp; "_" &amp; TEXT(Table4[[#This Row],[Confirmed Sampling Date]], "mm") &amp; "_" &amp; TEXT(Table4[[#This Row],[Confirmed Sampling Date]], "dd")</f>
        <v>2025_12_17</v>
      </c>
      <c r="X612" s="20" t="str">
        <f t="shared" si="9"/>
        <v>Funchal</v>
      </c>
      <c r="Y612" s="20" t="str">
        <f>VLOOKUP(Table4[[#This Row],[FromSite-UPS]],Table1[[Company or Name]:[NOTES]],2,FALSE)</f>
        <v>Portugal</v>
      </c>
      <c r="Z612" s="20">
        <f>IFERROR(WEEKNUM(Table4[[#This Row],[Confirmed Sampling Date]] - 10, 21), "TBD")</f>
        <v>49</v>
      </c>
      <c r="AA612" s="20" t="str">
        <f>_xlfn.XLOOKUP(Table4[[#This Row],[FromSite-UPS]],sites!D:D,sites!W:W,"",0)</f>
        <v>R. do Matadouro 4, Funchal, 9050-100, Portugal</v>
      </c>
      <c r="AB612" s="20" t="str">
        <f>_xlfn.XLOOKUP(Table4[[#This Row],[ToLab]],labs!D:D,labs!P:P,"no adres",0)</f>
        <v>Av. Rovisco Pais 1, Laboratorio de Analises de Agua, Lisbon, 1049-001, Portugal</v>
      </c>
      <c r="AC612" s="20">
        <f>_xlfn.XLOOKUP(Table4[[#This Row],[combi]],AREA!E:E,AREA!F:F,"",0)</f>
        <v>89</v>
      </c>
      <c r="AD612" s="20" t="str">
        <f>_xlfn.XLOOKUP(Table4[[#This Row],[combi]],AREA!E:E,AREA!G:G,"",0)</f>
        <v>Pick-up service of hypothetic package as defined in the Tech. Specs. and delivery to lots
2 and 3 contractors according to Scenario 1</v>
      </c>
      <c r="AE612" s="20" t="s">
        <v>126</v>
      </c>
      <c r="AF612" s="20" t="str">
        <f>_xlfn.XLOOKUP(Table4[[#This Row],[FromSite-UPS]],sites!D:D,sites!AB:AB,"",0)&amp;_xlfn.XLOOKUP(Table4[[#This Row],[ToLab]],labs!D:D,labs!Q:Q,"",0)</f>
        <v>EUEU</v>
      </c>
    </row>
    <row r="613" spans="2:32" ht="15.6" hidden="1" customHeight="1" x14ac:dyDescent="0.25">
      <c r="B613" s="13">
        <v>341</v>
      </c>
      <c r="C613" s="14" t="s">
        <v>53</v>
      </c>
      <c r="D613" s="13">
        <v>1</v>
      </c>
      <c r="E613" s="79">
        <v>46008</v>
      </c>
      <c r="F613" s="80">
        <v>46009</v>
      </c>
      <c r="G613" s="20">
        <f>IFERROR(WEEKNUM(Table4[[#This Row],[Confirmed Pick-up Date]]),"TBD")</f>
        <v>51</v>
      </c>
      <c r="H613" s="20" t="str">
        <f>IFERROR(TEXT(Table4[[#This Row],[Confirmed Pick-up Date]],"yy-mm"),"TBD")</f>
        <v>25-12</v>
      </c>
      <c r="I613" s="78" t="s">
        <v>1628</v>
      </c>
      <c r="J613" s="20" t="str">
        <f>IFERROR(VLOOKUP(Table4[[#This Row],[FromSite-UPS]],Table1[[#All],[Company or Name]:[FromSite3]],15,FALSE),"")</f>
        <v>Funchal WWTP</v>
      </c>
      <c r="K613" s="20" t="str">
        <f>IFERROR(VLOOKUP(Table4[[#This Row],[FromSite-UPS]],Table1[[#All],[Company or Name]:[FromSite3]],16,FALSE),"")</f>
        <v>Madeira, 10 locations</v>
      </c>
      <c r="L613" s="20">
        <f>IFERROR(VLOOKUP(Table4[[#This Row],[FromSite-UPS]],Table1[[#All],[Company or Name]:[FromSite3]],14,FALSE),"")</f>
        <v>0.70833333333333337</v>
      </c>
      <c r="M613" s="13" t="s">
        <v>1011</v>
      </c>
      <c r="N613" s="20"/>
      <c r="O613" s="20"/>
      <c r="P613" s="20"/>
      <c r="Q613" s="20"/>
      <c r="R613" s="20"/>
      <c r="S613" s="20" t="s">
        <v>126</v>
      </c>
      <c r="T613" s="20"/>
      <c r="U613" s="20"/>
      <c r="V613" s="20"/>
      <c r="W613" s="20" t="str">
        <f>TEXT(Table4[[#This Row],[Confirmed Sampling Date]], "yyyy") &amp; "_" &amp; TEXT(Table4[[#This Row],[Confirmed Sampling Date]], "mm") &amp; "_" &amp; TEXT(Table4[[#This Row],[Confirmed Sampling Date]], "dd")</f>
        <v>2025_12_17</v>
      </c>
      <c r="X613" s="20" t="str">
        <f t="shared" si="9"/>
        <v>Funchal</v>
      </c>
      <c r="Y613" s="20" t="str">
        <f>VLOOKUP(Table4[[#This Row],[FromSite-UPS]],Table1[[Company or Name]:[NOTES]],2,FALSE)</f>
        <v>Portugal</v>
      </c>
      <c r="Z613" s="20">
        <f>IFERROR(WEEKNUM(Table4[[#This Row],[Confirmed Sampling Date]] - 10, 21), "TBD")</f>
        <v>49</v>
      </c>
      <c r="AA613" s="20" t="str">
        <f>_xlfn.XLOOKUP(Table4[[#This Row],[FromSite-UPS]],sites!D:D,sites!W:W,"",0)</f>
        <v>R. do Matadouro 4, Funchal, 9050-100, Portugal</v>
      </c>
      <c r="AB613" s="20" t="str">
        <f>_xlfn.XLOOKUP(Table4[[#This Row],[ToLab]],labs!D:D,labs!P:P,"no adres",0)</f>
        <v>Av. Rovisco Pais 1, Laboratorio de Analises de Agua, Lisbon, 1049-001, Portugal</v>
      </c>
      <c r="AC613" s="20">
        <f>_xlfn.XLOOKUP(Table4[[#This Row],[combi]],AREA!E:E,AREA!F:F,"",0)</f>
        <v>89</v>
      </c>
      <c r="AD613" s="20" t="str">
        <f>_xlfn.XLOOKUP(Table4[[#This Row],[combi]],AREA!E:E,AREA!G:G,"",0)</f>
        <v>Pick-up service of hypothetic package as defined in the Tech. Specs. and delivery to lots
2 and 3 contractors according to Scenario 1</v>
      </c>
      <c r="AE613" s="20" t="s">
        <v>126</v>
      </c>
      <c r="AF613" s="20" t="str">
        <f>_xlfn.XLOOKUP(Table4[[#This Row],[FromSite-UPS]],sites!D:D,sites!AB:AB,"",0)&amp;_xlfn.XLOOKUP(Table4[[#This Row],[ToLab]],labs!D:D,labs!Q:Q,"",0)</f>
        <v>EUEU</v>
      </c>
    </row>
    <row r="614" spans="2:32" ht="15.6" hidden="1" customHeight="1" x14ac:dyDescent="0.25">
      <c r="B614" s="13">
        <v>351</v>
      </c>
      <c r="C614" s="14" t="s">
        <v>53</v>
      </c>
      <c r="D614" s="13">
        <v>1</v>
      </c>
      <c r="E614" s="79">
        <v>46008</v>
      </c>
      <c r="F614" s="80">
        <v>46009</v>
      </c>
      <c r="G614" s="20">
        <f>IFERROR(WEEKNUM(Table4[[#This Row],[Confirmed Pick-up Date]]),"TBD")</f>
        <v>51</v>
      </c>
      <c r="H614" s="20" t="str">
        <f>IFERROR(TEXT(Table4[[#This Row],[Confirmed Pick-up Date]],"yy-mm"),"TBD")</f>
        <v>25-12</v>
      </c>
      <c r="I614" s="78" t="s">
        <v>1628</v>
      </c>
      <c r="J614" s="20" t="str">
        <f>IFERROR(VLOOKUP(Table4[[#This Row],[FromSite-UPS]],Table1[[#All],[Company or Name]:[FromSite3]],15,FALSE),"")</f>
        <v>Funchal WWTP</v>
      </c>
      <c r="K614" s="20" t="str">
        <f>IFERROR(VLOOKUP(Table4[[#This Row],[FromSite-UPS]],Table1[[#All],[Company or Name]:[FromSite3]],16,FALSE),"")</f>
        <v>Madeira, 10 locations</v>
      </c>
      <c r="L614" s="20">
        <f>IFERROR(VLOOKUP(Table4[[#This Row],[FromSite-UPS]],Table1[[#All],[Company or Name]:[FromSite3]],14,FALSE),"")</f>
        <v>0.70833333333333337</v>
      </c>
      <c r="M614" s="13" t="s">
        <v>1011</v>
      </c>
      <c r="N614" s="20"/>
      <c r="O614" s="20"/>
      <c r="P614" s="20"/>
      <c r="Q614" s="20"/>
      <c r="R614" s="20"/>
      <c r="S614" s="20" t="s">
        <v>126</v>
      </c>
      <c r="T614" s="20"/>
      <c r="U614" s="20"/>
      <c r="V614" s="20"/>
      <c r="W614" s="20" t="str">
        <f>TEXT(Table4[[#This Row],[Confirmed Sampling Date]], "yyyy") &amp; "_" &amp; TEXT(Table4[[#This Row],[Confirmed Sampling Date]], "mm") &amp; "_" &amp; TEXT(Table4[[#This Row],[Confirmed Sampling Date]], "dd")</f>
        <v>2025_12_17</v>
      </c>
      <c r="X614" s="20" t="str">
        <f t="shared" si="9"/>
        <v>Funchal</v>
      </c>
      <c r="Y614" s="20" t="str">
        <f>VLOOKUP(Table4[[#This Row],[FromSite-UPS]],Table1[[Company or Name]:[NOTES]],2,FALSE)</f>
        <v>Portugal</v>
      </c>
      <c r="Z614" s="20">
        <f>IFERROR(WEEKNUM(Table4[[#This Row],[Confirmed Sampling Date]] - 10, 21), "TBD")</f>
        <v>49</v>
      </c>
      <c r="AA614" s="20" t="str">
        <f>_xlfn.XLOOKUP(Table4[[#This Row],[FromSite-UPS]],sites!D:D,sites!W:W,"",0)</f>
        <v>R. do Matadouro 4, Funchal, 9050-100, Portugal</v>
      </c>
      <c r="AB614" s="20" t="str">
        <f>_xlfn.XLOOKUP(Table4[[#This Row],[ToLab]],labs!D:D,labs!P:P,"no adres",0)</f>
        <v>Av. Rovisco Pais 1, Laboratorio de Analises de Agua, Lisbon, 1049-001, Portugal</v>
      </c>
      <c r="AC614" s="20">
        <f>_xlfn.XLOOKUP(Table4[[#This Row],[combi]],AREA!E:E,AREA!F:F,"",0)</f>
        <v>89</v>
      </c>
      <c r="AD614" s="20" t="str">
        <f>_xlfn.XLOOKUP(Table4[[#This Row],[combi]],AREA!E:E,AREA!G:G,"",0)</f>
        <v>Pick-up service of hypothetic package as defined in the Tech. Specs. and delivery to lots
2 and 3 contractors according to Scenario 1</v>
      </c>
      <c r="AE614" s="20" t="s">
        <v>126</v>
      </c>
      <c r="AF614" s="20" t="str">
        <f>_xlfn.XLOOKUP(Table4[[#This Row],[FromSite-UPS]],sites!D:D,sites!AB:AB,"",0)&amp;_xlfn.XLOOKUP(Table4[[#This Row],[ToLab]],labs!D:D,labs!Q:Q,"",0)</f>
        <v>EUEU</v>
      </c>
    </row>
    <row r="615" spans="2:32" ht="15.6" hidden="1" customHeight="1" x14ac:dyDescent="0.25">
      <c r="B615" s="13">
        <v>361</v>
      </c>
      <c r="C615" s="14" t="s">
        <v>53</v>
      </c>
      <c r="D615" s="13">
        <v>1</v>
      </c>
      <c r="E615" s="79">
        <v>46008</v>
      </c>
      <c r="F615" s="80">
        <v>46009</v>
      </c>
      <c r="G615" s="20">
        <f>IFERROR(WEEKNUM(Table4[[#This Row],[Confirmed Pick-up Date]]),"TBD")</f>
        <v>51</v>
      </c>
      <c r="H615" s="20" t="str">
        <f>IFERROR(TEXT(Table4[[#This Row],[Confirmed Pick-up Date]],"yy-mm"),"TBD")</f>
        <v>25-12</v>
      </c>
      <c r="I615" s="78" t="s">
        <v>1628</v>
      </c>
      <c r="J615" s="20" t="str">
        <f>IFERROR(VLOOKUP(Table4[[#This Row],[FromSite-UPS]],Table1[[#All],[Company or Name]:[FromSite3]],15,FALSE),"")</f>
        <v>Funchal WWTP</v>
      </c>
      <c r="K615" s="20" t="str">
        <f>IFERROR(VLOOKUP(Table4[[#This Row],[FromSite-UPS]],Table1[[#All],[Company or Name]:[FromSite3]],16,FALSE),"")</f>
        <v>Madeira, 10 locations</v>
      </c>
      <c r="L615" s="20">
        <f>IFERROR(VLOOKUP(Table4[[#This Row],[FromSite-UPS]],Table1[[#All],[Company or Name]:[FromSite3]],14,FALSE),"")</f>
        <v>0.70833333333333337</v>
      </c>
      <c r="M615" s="13" t="s">
        <v>1011</v>
      </c>
      <c r="N615" s="20"/>
      <c r="O615" s="20"/>
      <c r="P615" s="20"/>
      <c r="Q615" s="20"/>
      <c r="R615" s="20"/>
      <c r="S615" s="20" t="s">
        <v>126</v>
      </c>
      <c r="T615" s="20"/>
      <c r="U615" s="20"/>
      <c r="V615" s="20"/>
      <c r="W615" s="20" t="str">
        <f>TEXT(Table4[[#This Row],[Confirmed Sampling Date]], "yyyy") &amp; "_" &amp; TEXT(Table4[[#This Row],[Confirmed Sampling Date]], "mm") &amp; "_" &amp; TEXT(Table4[[#This Row],[Confirmed Sampling Date]], "dd")</f>
        <v>2025_12_17</v>
      </c>
      <c r="X615" s="20" t="str">
        <f t="shared" si="9"/>
        <v>Funchal</v>
      </c>
      <c r="Y615" s="20" t="str">
        <f>VLOOKUP(Table4[[#This Row],[FromSite-UPS]],Table1[[Company or Name]:[NOTES]],2,FALSE)</f>
        <v>Portugal</v>
      </c>
      <c r="Z615" s="20">
        <f>IFERROR(WEEKNUM(Table4[[#This Row],[Confirmed Sampling Date]] - 10, 21), "TBD")</f>
        <v>49</v>
      </c>
      <c r="AA615" s="20" t="str">
        <f>_xlfn.XLOOKUP(Table4[[#This Row],[FromSite-UPS]],sites!D:D,sites!W:W,"",0)</f>
        <v>R. do Matadouro 4, Funchal, 9050-100, Portugal</v>
      </c>
      <c r="AB615" s="20" t="str">
        <f>_xlfn.XLOOKUP(Table4[[#This Row],[ToLab]],labs!D:D,labs!P:P,"no adres",0)</f>
        <v>Av. Rovisco Pais 1, Laboratorio de Analises de Agua, Lisbon, 1049-001, Portugal</v>
      </c>
      <c r="AC615" s="20">
        <f>_xlfn.XLOOKUP(Table4[[#This Row],[combi]],AREA!E:E,AREA!F:F,"",0)</f>
        <v>89</v>
      </c>
      <c r="AD615" s="20" t="str">
        <f>_xlfn.XLOOKUP(Table4[[#This Row],[combi]],AREA!E:E,AREA!G:G,"",0)</f>
        <v>Pick-up service of hypothetic package as defined in the Tech. Specs. and delivery to lots
2 and 3 contractors according to Scenario 1</v>
      </c>
      <c r="AE615" s="20" t="s">
        <v>126</v>
      </c>
      <c r="AF615" s="20" t="str">
        <f>_xlfn.XLOOKUP(Table4[[#This Row],[FromSite-UPS]],sites!D:D,sites!AB:AB,"",0)&amp;_xlfn.XLOOKUP(Table4[[#This Row],[ToLab]],labs!D:D,labs!Q:Q,"",0)</f>
        <v>EUEU</v>
      </c>
    </row>
    <row r="616" spans="2:32" ht="15.6" hidden="1" customHeight="1" x14ac:dyDescent="0.25">
      <c r="B616" s="13">
        <v>371</v>
      </c>
      <c r="C616" s="14" t="s">
        <v>53</v>
      </c>
      <c r="D616" s="13">
        <v>1</v>
      </c>
      <c r="E616" s="79">
        <v>46008</v>
      </c>
      <c r="F616" s="81">
        <v>46009</v>
      </c>
      <c r="G616" s="20">
        <f>IFERROR(WEEKNUM(Table4[[#This Row],[Confirmed Pick-up Date]]),"TBD")</f>
        <v>51</v>
      </c>
      <c r="H616" s="20" t="str">
        <f>IFERROR(TEXT(Table4[[#This Row],[Confirmed Pick-up Date]],"yy-mm"),"TBD")</f>
        <v>25-12</v>
      </c>
      <c r="I616" s="67" t="s">
        <v>1628</v>
      </c>
      <c r="J616" s="20" t="str">
        <f>IFERROR(VLOOKUP(Table4[[#This Row],[FromSite-UPS]],Table1[[#All],[Company or Name]:[FromSite3]],15,FALSE),"")</f>
        <v>Funchal WWTP</v>
      </c>
      <c r="K616" s="20" t="str">
        <f>IFERROR(VLOOKUP(Table4[[#This Row],[FromSite-UPS]],Table1[[#All],[Company or Name]:[FromSite3]],16,FALSE),"")</f>
        <v>Madeira, 10 locations</v>
      </c>
      <c r="L616" s="20">
        <f>IFERROR(VLOOKUP(Table4[[#This Row],[FromSite-UPS]],Table1[[#All],[Company or Name]:[FromSite3]],14,FALSE),"")</f>
        <v>0.70833333333333337</v>
      </c>
      <c r="M616" s="13" t="s">
        <v>1011</v>
      </c>
      <c r="N616" s="20"/>
      <c r="O616" s="20"/>
      <c r="P616" s="20"/>
      <c r="Q616" s="20"/>
      <c r="R616" s="20"/>
      <c r="S616" s="20" t="s">
        <v>126</v>
      </c>
      <c r="T616" s="20"/>
      <c r="U616" s="20"/>
      <c r="V616" s="20"/>
      <c r="W616" s="20" t="str">
        <f>TEXT(Table4[[#This Row],[Confirmed Sampling Date]], "yyyy") &amp; "_" &amp; TEXT(Table4[[#This Row],[Confirmed Sampling Date]], "mm") &amp; "_" &amp; TEXT(Table4[[#This Row],[Confirmed Sampling Date]], "dd")</f>
        <v>2025_12_17</v>
      </c>
      <c r="X616" s="20" t="str">
        <f t="shared" si="9"/>
        <v>Funchal</v>
      </c>
      <c r="Y616" s="20" t="str">
        <f>VLOOKUP(Table4[[#This Row],[FromSite-UPS]],Table1[[Company or Name]:[NOTES]],2,FALSE)</f>
        <v>Portugal</v>
      </c>
      <c r="Z616" s="20">
        <f>IFERROR(WEEKNUM(Table4[[#This Row],[Confirmed Sampling Date]] - 10, 21), "TBD")</f>
        <v>49</v>
      </c>
      <c r="AA616" s="20" t="str">
        <f>_xlfn.XLOOKUP(Table4[[#This Row],[FromSite-UPS]],sites!D:D,sites!W:W,"",0)</f>
        <v>R. do Matadouro 4, Funchal, 9050-100, Portugal</v>
      </c>
      <c r="AB616" s="20" t="str">
        <f>_xlfn.XLOOKUP(Table4[[#This Row],[ToLab]],labs!D:D,labs!P:P,"no adres",0)</f>
        <v>Av. Rovisco Pais 1, Laboratorio de Analises de Agua, Lisbon, 1049-001, Portugal</v>
      </c>
      <c r="AC616" s="20">
        <f>_xlfn.XLOOKUP(Table4[[#This Row],[combi]],AREA!E:E,AREA!F:F,"",0)</f>
        <v>89</v>
      </c>
      <c r="AD616" s="20" t="str">
        <f>_xlfn.XLOOKUP(Table4[[#This Row],[combi]],AREA!E:E,AREA!G:G,"",0)</f>
        <v>Pick-up service of hypothetic package as defined in the Tech. Specs. and delivery to lots
2 and 3 contractors according to Scenario 1</v>
      </c>
      <c r="AE616" s="20" t="s">
        <v>126</v>
      </c>
      <c r="AF616" s="20" t="str">
        <f>_xlfn.XLOOKUP(Table4[[#This Row],[FromSite-UPS]],sites!D:D,sites!AB:AB,"",0)&amp;_xlfn.XLOOKUP(Table4[[#This Row],[ToLab]],labs!D:D,labs!Q:Q,"",0)</f>
        <v>EUEU</v>
      </c>
    </row>
    <row r="617" spans="2:32" ht="15.6" hidden="1" customHeight="1" x14ac:dyDescent="0.25">
      <c r="B617" s="13">
        <v>381</v>
      </c>
      <c r="C617" s="14" t="s">
        <v>53</v>
      </c>
      <c r="D617" s="13">
        <v>1</v>
      </c>
      <c r="E617" s="79">
        <v>46008</v>
      </c>
      <c r="F617" s="80">
        <v>46009</v>
      </c>
      <c r="G617" s="20">
        <f>IFERROR(WEEKNUM(Table4[[#This Row],[Confirmed Pick-up Date]]),"TBD")</f>
        <v>51</v>
      </c>
      <c r="H617" s="20" t="str">
        <f>IFERROR(TEXT(Table4[[#This Row],[Confirmed Pick-up Date]],"yy-mm"),"TBD")</f>
        <v>25-12</v>
      </c>
      <c r="I617" s="78" t="s">
        <v>1628</v>
      </c>
      <c r="J617" s="20" t="str">
        <f>IFERROR(VLOOKUP(Table4[[#This Row],[FromSite-UPS]],Table1[[#All],[Company or Name]:[FromSite3]],15,FALSE),"")</f>
        <v>Funchal WWTP</v>
      </c>
      <c r="K617" s="20" t="str">
        <f>IFERROR(VLOOKUP(Table4[[#This Row],[FromSite-UPS]],Table1[[#All],[Company or Name]:[FromSite3]],16,FALSE),"")</f>
        <v>Madeira, 10 locations</v>
      </c>
      <c r="L617" s="20">
        <f>IFERROR(VLOOKUP(Table4[[#This Row],[FromSite-UPS]],Table1[[#All],[Company or Name]:[FromSite3]],14,FALSE),"")</f>
        <v>0.70833333333333337</v>
      </c>
      <c r="M617" s="13" t="s">
        <v>1011</v>
      </c>
      <c r="N617" s="20"/>
      <c r="O617" s="20"/>
      <c r="P617" s="20"/>
      <c r="Q617" s="20"/>
      <c r="R617" s="20"/>
      <c r="S617" s="20" t="s">
        <v>126</v>
      </c>
      <c r="T617" s="20"/>
      <c r="U617" s="20"/>
      <c r="V617" s="20"/>
      <c r="W617" s="20" t="str">
        <f>TEXT(Table4[[#This Row],[Confirmed Sampling Date]], "yyyy") &amp; "_" &amp; TEXT(Table4[[#This Row],[Confirmed Sampling Date]], "mm") &amp; "_" &amp; TEXT(Table4[[#This Row],[Confirmed Sampling Date]], "dd")</f>
        <v>2025_12_17</v>
      </c>
      <c r="X617" s="20" t="str">
        <f t="shared" si="9"/>
        <v>Funchal</v>
      </c>
      <c r="Y617" s="20" t="str">
        <f>VLOOKUP(Table4[[#This Row],[FromSite-UPS]],Table1[[Company or Name]:[NOTES]],2,FALSE)</f>
        <v>Portugal</v>
      </c>
      <c r="Z617" s="20">
        <f>IFERROR(WEEKNUM(Table4[[#This Row],[Confirmed Sampling Date]] - 10, 21), "TBD")</f>
        <v>49</v>
      </c>
      <c r="AA617" s="20" t="str">
        <f>_xlfn.XLOOKUP(Table4[[#This Row],[FromSite-UPS]],sites!D:D,sites!W:W,"",0)</f>
        <v>R. do Matadouro 4, Funchal, 9050-100, Portugal</v>
      </c>
      <c r="AB617" s="20" t="str">
        <f>_xlfn.XLOOKUP(Table4[[#This Row],[ToLab]],labs!D:D,labs!P:P,"no adres",0)</f>
        <v>Av. Rovisco Pais 1, Laboratorio de Analises de Agua, Lisbon, 1049-001, Portugal</v>
      </c>
      <c r="AC617" s="20">
        <f>_xlfn.XLOOKUP(Table4[[#This Row],[combi]],AREA!E:E,AREA!F:F,"",0)</f>
        <v>89</v>
      </c>
      <c r="AD617" s="20" t="str">
        <f>_xlfn.XLOOKUP(Table4[[#This Row],[combi]],AREA!E:E,AREA!G:G,"",0)</f>
        <v>Pick-up service of hypothetic package as defined in the Tech. Specs. and delivery to lots
2 and 3 contractors according to Scenario 1</v>
      </c>
      <c r="AE617" s="20" t="s">
        <v>126</v>
      </c>
      <c r="AF617" s="20" t="str">
        <f>_xlfn.XLOOKUP(Table4[[#This Row],[FromSite-UPS]],sites!D:D,sites!AB:AB,"",0)&amp;_xlfn.XLOOKUP(Table4[[#This Row],[ToLab]],labs!D:D,labs!Q:Q,"",0)</f>
        <v>EUEU</v>
      </c>
    </row>
    <row r="618" spans="2:32" ht="15.6" hidden="1" customHeight="1" x14ac:dyDescent="0.25">
      <c r="B618" s="13">
        <v>391</v>
      </c>
      <c r="C618" s="14" t="s">
        <v>53</v>
      </c>
      <c r="D618" s="13">
        <v>1</v>
      </c>
      <c r="E618" s="79">
        <v>46008</v>
      </c>
      <c r="F618" s="80">
        <v>46009</v>
      </c>
      <c r="G618" s="20">
        <f>IFERROR(WEEKNUM(Table4[[#This Row],[Confirmed Pick-up Date]]),"TBD")</f>
        <v>51</v>
      </c>
      <c r="H618" s="20" t="str">
        <f>IFERROR(TEXT(Table4[[#This Row],[Confirmed Pick-up Date]],"yy-mm"),"TBD")</f>
        <v>25-12</v>
      </c>
      <c r="I618" s="78" t="s">
        <v>1628</v>
      </c>
      <c r="J618" s="20" t="str">
        <f>IFERROR(VLOOKUP(Table4[[#This Row],[FromSite-UPS]],Table1[[#All],[Company or Name]:[FromSite3]],15,FALSE),"")</f>
        <v>Funchal WWTP</v>
      </c>
      <c r="K618" s="20" t="str">
        <f>IFERROR(VLOOKUP(Table4[[#This Row],[FromSite-UPS]],Table1[[#All],[Company or Name]:[FromSite3]],16,FALSE),"")</f>
        <v>Madeira, 10 locations</v>
      </c>
      <c r="L618" s="20">
        <f>IFERROR(VLOOKUP(Table4[[#This Row],[FromSite-UPS]],Table1[[#All],[Company or Name]:[FromSite3]],14,FALSE),"")</f>
        <v>0.70833333333333337</v>
      </c>
      <c r="M618" s="13" t="s">
        <v>1011</v>
      </c>
      <c r="N618" s="20"/>
      <c r="O618" s="20"/>
      <c r="P618" s="20"/>
      <c r="Q618" s="20"/>
      <c r="R618" s="20"/>
      <c r="S618" s="20" t="s">
        <v>126</v>
      </c>
      <c r="T618" s="20"/>
      <c r="U618" s="20"/>
      <c r="V618" s="20"/>
      <c r="W618" s="20" t="str">
        <f>TEXT(Table4[[#This Row],[Confirmed Sampling Date]], "yyyy") &amp; "_" &amp; TEXT(Table4[[#This Row],[Confirmed Sampling Date]], "mm") &amp; "_" &amp; TEXT(Table4[[#This Row],[Confirmed Sampling Date]], "dd")</f>
        <v>2025_12_17</v>
      </c>
      <c r="X618" s="20" t="str">
        <f t="shared" si="9"/>
        <v>Funchal</v>
      </c>
      <c r="Y618" s="20" t="str">
        <f>VLOOKUP(Table4[[#This Row],[FromSite-UPS]],Table1[[Company or Name]:[NOTES]],2,FALSE)</f>
        <v>Portugal</v>
      </c>
      <c r="Z618" s="20">
        <f>IFERROR(WEEKNUM(Table4[[#This Row],[Confirmed Sampling Date]] - 10, 21), "TBD")</f>
        <v>49</v>
      </c>
      <c r="AA618" s="20" t="str">
        <f>_xlfn.XLOOKUP(Table4[[#This Row],[FromSite-UPS]],sites!D:D,sites!W:W,"",0)</f>
        <v>R. do Matadouro 4, Funchal, 9050-100, Portugal</v>
      </c>
      <c r="AB618" s="20" t="str">
        <f>_xlfn.XLOOKUP(Table4[[#This Row],[ToLab]],labs!D:D,labs!P:P,"no adres",0)</f>
        <v>Av. Rovisco Pais 1, Laboratorio de Analises de Agua, Lisbon, 1049-001, Portugal</v>
      </c>
      <c r="AC618" s="20">
        <f>_xlfn.XLOOKUP(Table4[[#This Row],[combi]],AREA!E:E,AREA!F:F,"",0)</f>
        <v>89</v>
      </c>
      <c r="AD618" s="20" t="str">
        <f>_xlfn.XLOOKUP(Table4[[#This Row],[combi]],AREA!E:E,AREA!G:G,"",0)</f>
        <v>Pick-up service of hypothetic package as defined in the Tech. Specs. and delivery to lots
2 and 3 contractors according to Scenario 1</v>
      </c>
      <c r="AE618" s="20" t="s">
        <v>126</v>
      </c>
      <c r="AF618" s="20" t="str">
        <f>_xlfn.XLOOKUP(Table4[[#This Row],[FromSite-UPS]],sites!D:D,sites!AB:AB,"",0)&amp;_xlfn.XLOOKUP(Table4[[#This Row],[ToLab]],labs!D:D,labs!Q:Q,"",0)</f>
        <v>EUEU</v>
      </c>
    </row>
    <row r="619" spans="2:32" ht="15.6" hidden="1" customHeight="1" x14ac:dyDescent="0.25">
      <c r="B619" s="13">
        <v>401</v>
      </c>
      <c r="C619" s="14" t="s">
        <v>53</v>
      </c>
      <c r="D619" s="13">
        <v>1</v>
      </c>
      <c r="E619" s="79">
        <v>46008</v>
      </c>
      <c r="F619" s="81">
        <v>46009</v>
      </c>
      <c r="G619" s="20">
        <f>IFERROR(WEEKNUM(Table4[[#This Row],[Confirmed Pick-up Date]]),"TBD")</f>
        <v>51</v>
      </c>
      <c r="H619" s="20" t="str">
        <f>IFERROR(TEXT(Table4[[#This Row],[Confirmed Pick-up Date]],"yy-mm"),"TBD")</f>
        <v>25-12</v>
      </c>
      <c r="I619" s="78" t="s">
        <v>1628</v>
      </c>
      <c r="J619" s="20" t="str">
        <f>IFERROR(VLOOKUP(Table4[[#This Row],[FromSite-UPS]],Table1[[#All],[Company or Name]:[FromSite3]],15,FALSE),"")</f>
        <v>Funchal WWTP</v>
      </c>
      <c r="K619" s="20" t="str">
        <f>IFERROR(VLOOKUP(Table4[[#This Row],[FromSite-UPS]],Table1[[#All],[Company or Name]:[FromSite3]],16,FALSE),"")</f>
        <v>Madeira, 10 locations</v>
      </c>
      <c r="L619" s="20">
        <f>IFERROR(VLOOKUP(Table4[[#This Row],[FromSite-UPS]],Table1[[#All],[Company or Name]:[FromSite3]],14,FALSE),"")</f>
        <v>0.70833333333333337</v>
      </c>
      <c r="M619" s="13" t="s">
        <v>1011</v>
      </c>
      <c r="N619" s="20"/>
      <c r="O619" s="20"/>
      <c r="P619" s="20"/>
      <c r="Q619" s="20"/>
      <c r="R619" s="20"/>
      <c r="S619" s="20" t="s">
        <v>126</v>
      </c>
      <c r="T619" s="20"/>
      <c r="U619" s="20"/>
      <c r="V619" s="20"/>
      <c r="W619" s="20" t="str">
        <f>TEXT(Table4[[#This Row],[Confirmed Sampling Date]], "yyyy") &amp; "_" &amp; TEXT(Table4[[#This Row],[Confirmed Sampling Date]], "mm") &amp; "_" &amp; TEXT(Table4[[#This Row],[Confirmed Sampling Date]], "dd")</f>
        <v>2025_12_17</v>
      </c>
      <c r="X619" s="20" t="str">
        <f t="shared" si="9"/>
        <v>Funchal</v>
      </c>
      <c r="Y619" s="20" t="str">
        <f>VLOOKUP(Table4[[#This Row],[FromSite-UPS]],Table1[[Company or Name]:[NOTES]],2,FALSE)</f>
        <v>Portugal</v>
      </c>
      <c r="Z619" s="20">
        <f>IFERROR(WEEKNUM(Table4[[#This Row],[Confirmed Sampling Date]] - 10, 21), "TBD")</f>
        <v>49</v>
      </c>
      <c r="AA619" s="20" t="str">
        <f>_xlfn.XLOOKUP(Table4[[#This Row],[FromSite-UPS]],sites!D:D,sites!W:W,"",0)</f>
        <v>R. do Matadouro 4, Funchal, 9050-100, Portugal</v>
      </c>
      <c r="AB619" s="20" t="str">
        <f>_xlfn.XLOOKUP(Table4[[#This Row],[ToLab]],labs!D:D,labs!P:P,"no adres",0)</f>
        <v>Av. Rovisco Pais 1, Laboratorio de Analises de Agua, Lisbon, 1049-001, Portugal</v>
      </c>
      <c r="AC619" s="20">
        <f>_xlfn.XLOOKUP(Table4[[#This Row],[combi]],AREA!E:E,AREA!F:F,"",0)</f>
        <v>89</v>
      </c>
      <c r="AD619" s="20" t="str">
        <f>_xlfn.XLOOKUP(Table4[[#This Row],[combi]],AREA!E:E,AREA!G:G,"",0)</f>
        <v>Pick-up service of hypothetic package as defined in the Tech. Specs. and delivery to lots
2 and 3 contractors according to Scenario 1</v>
      </c>
      <c r="AE619" s="20" t="s">
        <v>126</v>
      </c>
      <c r="AF619" s="20" t="str">
        <f>_xlfn.XLOOKUP(Table4[[#This Row],[FromSite-UPS]],sites!D:D,sites!AB:AB,"",0)&amp;_xlfn.XLOOKUP(Table4[[#This Row],[ToLab]],labs!D:D,labs!Q:Q,"",0)</f>
        <v>EUEU</v>
      </c>
    </row>
    <row r="620" spans="2:32" ht="15.6" hidden="1" customHeight="1" x14ac:dyDescent="0.25">
      <c r="B620" s="13">
        <v>411</v>
      </c>
      <c r="C620" s="14" t="s">
        <v>53</v>
      </c>
      <c r="D620" s="13">
        <v>1</v>
      </c>
      <c r="E620" s="79">
        <v>46008</v>
      </c>
      <c r="F620" s="80">
        <v>46009</v>
      </c>
      <c r="G620" s="20">
        <f>IFERROR(WEEKNUM(Table4[[#This Row],[Confirmed Pick-up Date]]),"TBD")</f>
        <v>51</v>
      </c>
      <c r="H620" s="20" t="str">
        <f>IFERROR(TEXT(Table4[[#This Row],[Confirmed Pick-up Date]],"yy-mm"),"TBD")</f>
        <v>25-12</v>
      </c>
      <c r="I620" s="78" t="s">
        <v>1628</v>
      </c>
      <c r="J620" s="20" t="str">
        <f>IFERROR(VLOOKUP(Table4[[#This Row],[FromSite-UPS]],Table1[[#All],[Company or Name]:[FromSite3]],15,FALSE),"")</f>
        <v>Funchal WWTP</v>
      </c>
      <c r="K620" s="20" t="str">
        <f>IFERROR(VLOOKUP(Table4[[#This Row],[FromSite-UPS]],Table1[[#All],[Company or Name]:[FromSite3]],16,FALSE),"")</f>
        <v>Madeira, 10 locations</v>
      </c>
      <c r="L620" s="20">
        <f>IFERROR(VLOOKUP(Table4[[#This Row],[FromSite-UPS]],Table1[[#All],[Company or Name]:[FromSite3]],14,FALSE),"")</f>
        <v>0.70833333333333337</v>
      </c>
      <c r="M620" s="13" t="s">
        <v>1011</v>
      </c>
      <c r="N620" s="20"/>
      <c r="O620" s="20"/>
      <c r="P620" s="20"/>
      <c r="Q620" s="20"/>
      <c r="R620" s="20"/>
      <c r="S620" s="20" t="s">
        <v>126</v>
      </c>
      <c r="T620" s="20"/>
      <c r="U620" s="20"/>
      <c r="V620" s="20"/>
      <c r="W620" s="20" t="str">
        <f>TEXT(Table4[[#This Row],[Confirmed Sampling Date]], "yyyy") &amp; "_" &amp; TEXT(Table4[[#This Row],[Confirmed Sampling Date]], "mm") &amp; "_" &amp; TEXT(Table4[[#This Row],[Confirmed Sampling Date]], "dd")</f>
        <v>2025_12_17</v>
      </c>
      <c r="X620" s="20" t="str">
        <f t="shared" si="9"/>
        <v>Funchal</v>
      </c>
      <c r="Y620" s="20" t="str">
        <f>VLOOKUP(Table4[[#This Row],[FromSite-UPS]],Table1[[Company or Name]:[NOTES]],2,FALSE)</f>
        <v>Portugal</v>
      </c>
      <c r="Z620" s="20">
        <f>IFERROR(WEEKNUM(Table4[[#This Row],[Confirmed Sampling Date]] - 10, 21), "TBD")</f>
        <v>49</v>
      </c>
      <c r="AA620" s="20" t="str">
        <f>_xlfn.XLOOKUP(Table4[[#This Row],[FromSite-UPS]],sites!D:D,sites!W:W,"",0)</f>
        <v>R. do Matadouro 4, Funchal, 9050-100, Portugal</v>
      </c>
      <c r="AB620" s="20" t="str">
        <f>_xlfn.XLOOKUP(Table4[[#This Row],[ToLab]],labs!D:D,labs!P:P,"no adres",0)</f>
        <v>Av. Rovisco Pais 1, Laboratorio de Analises de Agua, Lisbon, 1049-001, Portugal</v>
      </c>
      <c r="AC620" s="20">
        <f>_xlfn.XLOOKUP(Table4[[#This Row],[combi]],AREA!E:E,AREA!F:F,"",0)</f>
        <v>89</v>
      </c>
      <c r="AD620" s="20" t="str">
        <f>_xlfn.XLOOKUP(Table4[[#This Row],[combi]],AREA!E:E,AREA!G:G,"",0)</f>
        <v>Pick-up service of hypothetic package as defined in the Tech. Specs. and delivery to lots
2 and 3 contractors according to Scenario 1</v>
      </c>
      <c r="AE620" s="20" t="s">
        <v>126</v>
      </c>
      <c r="AF620" s="20" t="str">
        <f>_xlfn.XLOOKUP(Table4[[#This Row],[FromSite-UPS]],sites!D:D,sites!AB:AB,"",0)&amp;_xlfn.XLOOKUP(Table4[[#This Row],[ToLab]],labs!D:D,labs!Q:Q,"",0)</f>
        <v>EUEU</v>
      </c>
    </row>
    <row r="621" spans="2:32" ht="15.6" hidden="1" customHeight="1" x14ac:dyDescent="0.25">
      <c r="B621" s="13">
        <v>421</v>
      </c>
      <c r="C621" s="14" t="s">
        <v>53</v>
      </c>
      <c r="D621" s="13">
        <v>1</v>
      </c>
      <c r="E621" s="79">
        <v>46008</v>
      </c>
      <c r="F621" s="80">
        <v>46009</v>
      </c>
      <c r="G621" s="20">
        <f>IFERROR(WEEKNUM(Table4[[#This Row],[Confirmed Pick-up Date]]),"TBD")</f>
        <v>51</v>
      </c>
      <c r="H621" s="20" t="str">
        <f>IFERROR(TEXT(Table4[[#This Row],[Confirmed Pick-up Date]],"yy-mm"),"TBD")</f>
        <v>25-12</v>
      </c>
      <c r="I621" s="78" t="s">
        <v>1628</v>
      </c>
      <c r="J621" s="20" t="str">
        <f>IFERROR(VLOOKUP(Table4[[#This Row],[FromSite-UPS]],Table1[[#All],[Company or Name]:[FromSite3]],15,FALSE),"")</f>
        <v>Funchal WWTP</v>
      </c>
      <c r="K621" s="20" t="str">
        <f>IFERROR(VLOOKUP(Table4[[#This Row],[FromSite-UPS]],Table1[[#All],[Company or Name]:[FromSite3]],16,FALSE),"")</f>
        <v>Madeira, 10 locations</v>
      </c>
      <c r="L621" s="20">
        <f>IFERROR(VLOOKUP(Table4[[#This Row],[FromSite-UPS]],Table1[[#All],[Company or Name]:[FromSite3]],14,FALSE),"")</f>
        <v>0.70833333333333337</v>
      </c>
      <c r="M621" s="13" t="s">
        <v>1011</v>
      </c>
      <c r="N621" s="20"/>
      <c r="O621" s="20"/>
      <c r="P621" s="20"/>
      <c r="Q621" s="20"/>
      <c r="R621" s="20"/>
      <c r="S621" s="20" t="s">
        <v>126</v>
      </c>
      <c r="T621" s="20"/>
      <c r="U621" s="20"/>
      <c r="V621" s="20"/>
      <c r="W621" s="20" t="str">
        <f>TEXT(Table4[[#This Row],[Confirmed Sampling Date]], "yyyy") &amp; "_" &amp; TEXT(Table4[[#This Row],[Confirmed Sampling Date]], "mm") &amp; "_" &amp; TEXT(Table4[[#This Row],[Confirmed Sampling Date]], "dd")</f>
        <v>2025_12_17</v>
      </c>
      <c r="X621" s="20" t="str">
        <f t="shared" si="9"/>
        <v>Funchal</v>
      </c>
      <c r="Y621" s="20" t="str">
        <f>VLOOKUP(Table4[[#This Row],[FromSite-UPS]],Table1[[Company or Name]:[NOTES]],2,FALSE)</f>
        <v>Portugal</v>
      </c>
      <c r="Z621" s="20">
        <f>IFERROR(WEEKNUM(Table4[[#This Row],[Confirmed Sampling Date]] - 10, 21), "TBD")</f>
        <v>49</v>
      </c>
      <c r="AA621" s="20" t="str">
        <f>_xlfn.XLOOKUP(Table4[[#This Row],[FromSite-UPS]],sites!D:D,sites!W:W,"",0)</f>
        <v>R. do Matadouro 4, Funchal, 9050-100, Portugal</v>
      </c>
      <c r="AB621" s="20" t="str">
        <f>_xlfn.XLOOKUP(Table4[[#This Row],[ToLab]],labs!D:D,labs!P:P,"no adres",0)</f>
        <v>Av. Rovisco Pais 1, Laboratorio de Analises de Agua, Lisbon, 1049-001, Portugal</v>
      </c>
      <c r="AC621" s="20">
        <f>_xlfn.XLOOKUP(Table4[[#This Row],[combi]],AREA!E:E,AREA!F:F,"",0)</f>
        <v>89</v>
      </c>
      <c r="AD621" s="20" t="str">
        <f>_xlfn.XLOOKUP(Table4[[#This Row],[combi]],AREA!E:E,AREA!G:G,"",0)</f>
        <v>Pick-up service of hypothetic package as defined in the Tech. Specs. and delivery to lots
2 and 3 contractors according to Scenario 1</v>
      </c>
      <c r="AE621" s="20" t="s">
        <v>126</v>
      </c>
      <c r="AF621" s="20" t="str">
        <f>_xlfn.XLOOKUP(Table4[[#This Row],[FromSite-UPS]],sites!D:D,sites!AB:AB,"",0)&amp;_xlfn.XLOOKUP(Table4[[#This Row],[ToLab]],labs!D:D,labs!Q:Q,"",0)</f>
        <v>EUEU</v>
      </c>
    </row>
    <row r="622" spans="2:32" ht="15.6" hidden="1" customHeight="1" x14ac:dyDescent="0.25">
      <c r="B622" s="13">
        <v>431</v>
      </c>
      <c r="C622" s="14" t="s">
        <v>53</v>
      </c>
      <c r="D622" s="13">
        <v>1</v>
      </c>
      <c r="E622" s="79">
        <v>46008</v>
      </c>
      <c r="F622" s="80">
        <v>46009</v>
      </c>
      <c r="G622" s="20">
        <f>IFERROR(WEEKNUM(Table4[[#This Row],[Confirmed Pick-up Date]]),"TBD")</f>
        <v>51</v>
      </c>
      <c r="H622" s="20" t="str">
        <f>IFERROR(TEXT(Table4[[#This Row],[Confirmed Pick-up Date]],"yy-mm"),"TBD")</f>
        <v>25-12</v>
      </c>
      <c r="I622" s="78" t="s">
        <v>1628</v>
      </c>
      <c r="J622" s="20" t="str">
        <f>IFERROR(VLOOKUP(Table4[[#This Row],[FromSite-UPS]],Table1[[#All],[Company or Name]:[FromSite3]],15,FALSE),"")</f>
        <v>Funchal WWTP</v>
      </c>
      <c r="K622" s="20" t="str">
        <f>IFERROR(VLOOKUP(Table4[[#This Row],[FromSite-UPS]],Table1[[#All],[Company or Name]:[FromSite3]],16,FALSE),"")</f>
        <v>Madeira, 10 locations</v>
      </c>
      <c r="L622" s="20">
        <f>IFERROR(VLOOKUP(Table4[[#This Row],[FromSite-UPS]],Table1[[#All],[Company or Name]:[FromSite3]],14,FALSE),"")</f>
        <v>0.70833333333333337</v>
      </c>
      <c r="M622" s="13" t="s">
        <v>1011</v>
      </c>
      <c r="N622" s="20"/>
      <c r="O622" s="20"/>
      <c r="P622" s="20"/>
      <c r="Q622" s="20"/>
      <c r="R622" s="20"/>
      <c r="S622" s="20" t="s">
        <v>126</v>
      </c>
      <c r="T622" s="20"/>
      <c r="U622" s="20"/>
      <c r="V622" s="20"/>
      <c r="W622" s="20" t="str">
        <f>TEXT(Table4[[#This Row],[Confirmed Sampling Date]], "yyyy") &amp; "_" &amp; TEXT(Table4[[#This Row],[Confirmed Sampling Date]], "mm") &amp; "_" &amp; TEXT(Table4[[#This Row],[Confirmed Sampling Date]], "dd")</f>
        <v>2025_12_17</v>
      </c>
      <c r="X622" s="20" t="str">
        <f t="shared" si="9"/>
        <v>Funchal</v>
      </c>
      <c r="Y622" s="20" t="str">
        <f>VLOOKUP(Table4[[#This Row],[FromSite-UPS]],Table1[[Company or Name]:[NOTES]],2,FALSE)</f>
        <v>Portugal</v>
      </c>
      <c r="Z622" s="20">
        <f>IFERROR(WEEKNUM(Table4[[#This Row],[Confirmed Sampling Date]] - 10, 21), "TBD")</f>
        <v>49</v>
      </c>
      <c r="AA622" s="20" t="str">
        <f>_xlfn.XLOOKUP(Table4[[#This Row],[FromSite-UPS]],sites!D:D,sites!W:W,"",0)</f>
        <v>R. do Matadouro 4, Funchal, 9050-100, Portugal</v>
      </c>
      <c r="AB622" s="20" t="str">
        <f>_xlfn.XLOOKUP(Table4[[#This Row],[ToLab]],labs!D:D,labs!P:P,"no adres",0)</f>
        <v>Av. Rovisco Pais 1, Laboratorio de Analises de Agua, Lisbon, 1049-001, Portugal</v>
      </c>
      <c r="AC622" s="20">
        <f>_xlfn.XLOOKUP(Table4[[#This Row],[combi]],AREA!E:E,AREA!F:F,"",0)</f>
        <v>89</v>
      </c>
      <c r="AD622" s="20" t="str">
        <f>_xlfn.XLOOKUP(Table4[[#This Row],[combi]],AREA!E:E,AREA!G:G,"",0)</f>
        <v>Pick-up service of hypothetic package as defined in the Tech. Specs. and delivery to lots
2 and 3 contractors according to Scenario 1</v>
      </c>
      <c r="AE622" s="20" t="s">
        <v>126</v>
      </c>
      <c r="AF622" s="20" t="str">
        <f>_xlfn.XLOOKUP(Table4[[#This Row],[FromSite-UPS]],sites!D:D,sites!AB:AB,"",0)&amp;_xlfn.XLOOKUP(Table4[[#This Row],[ToLab]],labs!D:D,labs!Q:Q,"",0)</f>
        <v>EUEU</v>
      </c>
    </row>
    <row r="623" spans="2:32" ht="15.6" hidden="1" customHeight="1" x14ac:dyDescent="0.25">
      <c r="B623" s="13">
        <v>441</v>
      </c>
      <c r="C623" s="14" t="s">
        <v>53</v>
      </c>
      <c r="D623" s="13">
        <v>1</v>
      </c>
      <c r="E623" s="79">
        <v>46008</v>
      </c>
      <c r="F623" s="80">
        <v>46009</v>
      </c>
      <c r="G623" s="20">
        <f>IFERROR(WEEKNUM(Table4[[#This Row],[Confirmed Pick-up Date]]),"TBD")</f>
        <v>51</v>
      </c>
      <c r="H623" s="20" t="str">
        <f>IFERROR(TEXT(Table4[[#This Row],[Confirmed Pick-up Date]],"yy-mm"),"TBD")</f>
        <v>25-12</v>
      </c>
      <c r="I623" s="78" t="s">
        <v>1628</v>
      </c>
      <c r="J623" s="20" t="str">
        <f>IFERROR(VLOOKUP(Table4[[#This Row],[FromSite-UPS]],Table1[[#All],[Company or Name]:[FromSite3]],15,FALSE),"")</f>
        <v>Funchal WWTP</v>
      </c>
      <c r="K623" s="20" t="str">
        <f>IFERROR(VLOOKUP(Table4[[#This Row],[FromSite-UPS]],Table1[[#All],[Company or Name]:[FromSite3]],16,FALSE),"")</f>
        <v>Madeira, 10 locations</v>
      </c>
      <c r="L623" s="20">
        <f>IFERROR(VLOOKUP(Table4[[#This Row],[FromSite-UPS]],Table1[[#All],[Company or Name]:[FromSite3]],14,FALSE),"")</f>
        <v>0.70833333333333337</v>
      </c>
      <c r="M623" s="13" t="s">
        <v>1011</v>
      </c>
      <c r="N623" s="20"/>
      <c r="O623" s="20"/>
      <c r="P623" s="20"/>
      <c r="Q623" s="20"/>
      <c r="R623" s="20"/>
      <c r="S623" s="20" t="s">
        <v>126</v>
      </c>
      <c r="T623" s="20"/>
      <c r="U623" s="20"/>
      <c r="V623" s="20"/>
      <c r="W623" s="20" t="str">
        <f>TEXT(Table4[[#This Row],[Confirmed Sampling Date]], "yyyy") &amp; "_" &amp; TEXT(Table4[[#This Row],[Confirmed Sampling Date]], "mm") &amp; "_" &amp; TEXT(Table4[[#This Row],[Confirmed Sampling Date]], "dd")</f>
        <v>2025_12_17</v>
      </c>
      <c r="X623" s="20" t="str">
        <f t="shared" si="9"/>
        <v>Funchal</v>
      </c>
      <c r="Y623" s="20" t="str">
        <f>VLOOKUP(Table4[[#This Row],[FromSite-UPS]],Table1[[Company or Name]:[NOTES]],2,FALSE)</f>
        <v>Portugal</v>
      </c>
      <c r="Z623" s="20">
        <f>IFERROR(WEEKNUM(Table4[[#This Row],[Confirmed Sampling Date]] - 10, 21), "TBD")</f>
        <v>49</v>
      </c>
      <c r="AA623" s="20" t="str">
        <f>_xlfn.XLOOKUP(Table4[[#This Row],[FromSite-UPS]],sites!D:D,sites!W:W,"",0)</f>
        <v>R. do Matadouro 4, Funchal, 9050-100, Portugal</v>
      </c>
      <c r="AB623" s="20" t="str">
        <f>_xlfn.XLOOKUP(Table4[[#This Row],[ToLab]],labs!D:D,labs!P:P,"no adres",0)</f>
        <v>Av. Rovisco Pais 1, Laboratorio de Analises de Agua, Lisbon, 1049-001, Portugal</v>
      </c>
      <c r="AC623" s="20">
        <f>_xlfn.XLOOKUP(Table4[[#This Row],[combi]],AREA!E:E,AREA!F:F,"",0)</f>
        <v>89</v>
      </c>
      <c r="AD623" s="20" t="str">
        <f>_xlfn.XLOOKUP(Table4[[#This Row],[combi]],AREA!E:E,AREA!G:G,"",0)</f>
        <v>Pick-up service of hypothetic package as defined in the Tech. Specs. and delivery to lots
2 and 3 contractors according to Scenario 1</v>
      </c>
      <c r="AE623" s="20" t="s">
        <v>126</v>
      </c>
      <c r="AF623" s="20" t="str">
        <f>_xlfn.XLOOKUP(Table4[[#This Row],[FromSite-UPS]],sites!D:D,sites!AB:AB,"",0)&amp;_xlfn.XLOOKUP(Table4[[#This Row],[ToLab]],labs!D:D,labs!Q:Q,"",0)</f>
        <v>EUEU</v>
      </c>
    </row>
    <row r="624" spans="2:32" ht="15.6" hidden="1" customHeight="1" x14ac:dyDescent="0.25">
      <c r="B624" s="13">
        <v>451</v>
      </c>
      <c r="C624" s="14" t="s">
        <v>53</v>
      </c>
      <c r="D624" s="13">
        <v>1</v>
      </c>
      <c r="E624" s="79">
        <v>46008</v>
      </c>
      <c r="F624" s="80">
        <v>46009</v>
      </c>
      <c r="G624" s="20">
        <f>IFERROR(WEEKNUM(Table4[[#This Row],[Confirmed Pick-up Date]]),"TBD")</f>
        <v>51</v>
      </c>
      <c r="H624" s="20" t="str">
        <f>IFERROR(TEXT(Table4[[#This Row],[Confirmed Pick-up Date]],"yy-mm"),"TBD")</f>
        <v>25-12</v>
      </c>
      <c r="I624" s="78" t="s">
        <v>1628</v>
      </c>
      <c r="J624" s="20" t="str">
        <f>IFERROR(VLOOKUP(Table4[[#This Row],[FromSite-UPS]],Table1[[#All],[Company or Name]:[FromSite3]],15,FALSE),"")</f>
        <v>Funchal WWTP</v>
      </c>
      <c r="K624" s="20" t="str">
        <f>IFERROR(VLOOKUP(Table4[[#This Row],[FromSite-UPS]],Table1[[#All],[Company or Name]:[FromSite3]],16,FALSE),"")</f>
        <v>Madeira, 10 locations</v>
      </c>
      <c r="L624" s="20">
        <f>IFERROR(VLOOKUP(Table4[[#This Row],[FromSite-UPS]],Table1[[#All],[Company or Name]:[FromSite3]],14,FALSE),"")</f>
        <v>0.70833333333333337</v>
      </c>
      <c r="M624" s="13" t="s">
        <v>1011</v>
      </c>
      <c r="N624" s="20"/>
      <c r="O624" s="20"/>
      <c r="P624" s="20"/>
      <c r="Q624" s="20"/>
      <c r="R624" s="20"/>
      <c r="S624" s="20" t="s">
        <v>126</v>
      </c>
      <c r="T624" s="20"/>
      <c r="U624" s="20"/>
      <c r="V624" s="20"/>
      <c r="W624" s="20" t="str">
        <f>TEXT(Table4[[#This Row],[Confirmed Sampling Date]], "yyyy") &amp; "_" &amp; TEXT(Table4[[#This Row],[Confirmed Sampling Date]], "mm") &amp; "_" &amp; TEXT(Table4[[#This Row],[Confirmed Sampling Date]], "dd")</f>
        <v>2025_12_17</v>
      </c>
      <c r="X624" s="20" t="str">
        <f t="shared" si="9"/>
        <v>Funchal</v>
      </c>
      <c r="Y624" s="20" t="str">
        <f>VLOOKUP(Table4[[#This Row],[FromSite-UPS]],Table1[[Company or Name]:[NOTES]],2,FALSE)</f>
        <v>Portugal</v>
      </c>
      <c r="Z624" s="20">
        <f>IFERROR(WEEKNUM(Table4[[#This Row],[Confirmed Sampling Date]] - 10, 21), "TBD")</f>
        <v>49</v>
      </c>
      <c r="AA624" s="20" t="str">
        <f>_xlfn.XLOOKUP(Table4[[#This Row],[FromSite-UPS]],sites!D:D,sites!W:W,"",0)</f>
        <v>R. do Matadouro 4, Funchal, 9050-100, Portugal</v>
      </c>
      <c r="AB624" s="20" t="str">
        <f>_xlfn.XLOOKUP(Table4[[#This Row],[ToLab]],labs!D:D,labs!P:P,"no adres",0)</f>
        <v>Av. Rovisco Pais 1, Laboratorio de Analises de Agua, Lisbon, 1049-001, Portugal</v>
      </c>
      <c r="AC624" s="20">
        <f>_xlfn.XLOOKUP(Table4[[#This Row],[combi]],AREA!E:E,AREA!F:F,"",0)</f>
        <v>89</v>
      </c>
      <c r="AD624" s="20" t="str">
        <f>_xlfn.XLOOKUP(Table4[[#This Row],[combi]],AREA!E:E,AREA!G:G,"",0)</f>
        <v>Pick-up service of hypothetic package as defined in the Tech. Specs. and delivery to lots
2 and 3 contractors according to Scenario 1</v>
      </c>
      <c r="AE624" s="20" t="s">
        <v>126</v>
      </c>
      <c r="AF624" s="20" t="str">
        <f>_xlfn.XLOOKUP(Table4[[#This Row],[FromSite-UPS]],sites!D:D,sites!AB:AB,"",0)&amp;_xlfn.XLOOKUP(Table4[[#This Row],[ToLab]],labs!D:D,labs!Q:Q,"",0)</f>
        <v>EUEU</v>
      </c>
    </row>
    <row r="625" spans="2:32" ht="15.6" hidden="1" customHeight="1" x14ac:dyDescent="0.25">
      <c r="B625" s="13">
        <v>461</v>
      </c>
      <c r="C625" s="14" t="s">
        <v>53</v>
      </c>
      <c r="D625" s="13">
        <v>1</v>
      </c>
      <c r="E625" s="79">
        <v>46008</v>
      </c>
      <c r="F625" s="80">
        <v>46009</v>
      </c>
      <c r="G625" s="20">
        <f>IFERROR(WEEKNUM(Table4[[#This Row],[Confirmed Pick-up Date]]),"TBD")</f>
        <v>51</v>
      </c>
      <c r="H625" s="20" t="str">
        <f>IFERROR(TEXT(Table4[[#This Row],[Confirmed Pick-up Date]],"yy-mm"),"TBD")</f>
        <v>25-12</v>
      </c>
      <c r="I625" s="78" t="s">
        <v>1628</v>
      </c>
      <c r="J625" s="20" t="str">
        <f>IFERROR(VLOOKUP(Table4[[#This Row],[FromSite-UPS]],Table1[[#All],[Company or Name]:[FromSite3]],15,FALSE),"")</f>
        <v>Funchal WWTP</v>
      </c>
      <c r="K625" s="20" t="str">
        <f>IFERROR(VLOOKUP(Table4[[#This Row],[FromSite-UPS]],Table1[[#All],[Company or Name]:[FromSite3]],16,FALSE),"")</f>
        <v>Madeira, 10 locations</v>
      </c>
      <c r="L625" s="20">
        <f>IFERROR(VLOOKUP(Table4[[#This Row],[FromSite-UPS]],Table1[[#All],[Company or Name]:[FromSite3]],14,FALSE),"")</f>
        <v>0.70833333333333337</v>
      </c>
      <c r="M625" s="13" t="s">
        <v>1011</v>
      </c>
      <c r="N625" s="20"/>
      <c r="O625" s="20"/>
      <c r="P625" s="20"/>
      <c r="Q625" s="20"/>
      <c r="R625" s="20"/>
      <c r="S625" s="20" t="s">
        <v>126</v>
      </c>
      <c r="T625" s="20"/>
      <c r="U625" s="20"/>
      <c r="V625" s="20"/>
      <c r="W625" s="20" t="str">
        <f>TEXT(Table4[[#This Row],[Confirmed Sampling Date]], "yyyy") &amp; "_" &amp; TEXT(Table4[[#This Row],[Confirmed Sampling Date]], "mm") &amp; "_" &amp; TEXT(Table4[[#This Row],[Confirmed Sampling Date]], "dd")</f>
        <v>2025_12_17</v>
      </c>
      <c r="X625" s="20" t="str">
        <f t="shared" si="9"/>
        <v>Funchal</v>
      </c>
      <c r="Y625" s="20" t="str">
        <f>VLOOKUP(Table4[[#This Row],[FromSite-UPS]],Table1[[Company or Name]:[NOTES]],2,FALSE)</f>
        <v>Portugal</v>
      </c>
      <c r="Z625" s="20">
        <f>IFERROR(WEEKNUM(Table4[[#This Row],[Confirmed Sampling Date]] - 10, 21), "TBD")</f>
        <v>49</v>
      </c>
      <c r="AA625" s="20" t="str">
        <f>_xlfn.XLOOKUP(Table4[[#This Row],[FromSite-UPS]],sites!D:D,sites!W:W,"",0)</f>
        <v>R. do Matadouro 4, Funchal, 9050-100, Portugal</v>
      </c>
      <c r="AB625" s="20" t="str">
        <f>_xlfn.XLOOKUP(Table4[[#This Row],[ToLab]],labs!D:D,labs!P:P,"no adres",0)</f>
        <v>Av. Rovisco Pais 1, Laboratorio de Analises de Agua, Lisbon, 1049-001, Portugal</v>
      </c>
      <c r="AC625" s="20">
        <f>_xlfn.XLOOKUP(Table4[[#This Row],[combi]],AREA!E:E,AREA!F:F,"",0)</f>
        <v>89</v>
      </c>
      <c r="AD625" s="20" t="str">
        <f>_xlfn.XLOOKUP(Table4[[#This Row],[combi]],AREA!E:E,AREA!G:G,"",0)</f>
        <v>Pick-up service of hypothetic package as defined in the Tech. Specs. and delivery to lots
2 and 3 contractors according to Scenario 1</v>
      </c>
      <c r="AE625" s="20" t="s">
        <v>126</v>
      </c>
      <c r="AF625" s="20" t="str">
        <f>_xlfn.XLOOKUP(Table4[[#This Row],[FromSite-UPS]],sites!D:D,sites!AB:AB,"",0)&amp;_xlfn.XLOOKUP(Table4[[#This Row],[ToLab]],labs!D:D,labs!Q:Q,"",0)</f>
        <v>EUEU</v>
      </c>
    </row>
    <row r="626" spans="2:32" ht="15.6" hidden="1" customHeight="1" x14ac:dyDescent="0.25">
      <c r="B626" s="13">
        <v>471</v>
      </c>
      <c r="C626" s="14" t="s">
        <v>53</v>
      </c>
      <c r="D626" s="13">
        <v>1</v>
      </c>
      <c r="E626" s="79">
        <v>46008</v>
      </c>
      <c r="F626" s="80">
        <v>46009</v>
      </c>
      <c r="G626" s="20">
        <f>IFERROR(WEEKNUM(Table4[[#This Row],[Confirmed Pick-up Date]]),"TBD")</f>
        <v>51</v>
      </c>
      <c r="H626" s="20" t="str">
        <f>IFERROR(TEXT(Table4[[#This Row],[Confirmed Pick-up Date]],"yy-mm"),"TBD")</f>
        <v>25-12</v>
      </c>
      <c r="I626" s="78" t="s">
        <v>1628</v>
      </c>
      <c r="J626" s="20" t="str">
        <f>IFERROR(VLOOKUP(Table4[[#This Row],[FromSite-UPS]],Table1[[#All],[Company or Name]:[FromSite3]],15,FALSE),"")</f>
        <v>Funchal WWTP</v>
      </c>
      <c r="K626" s="20" t="str">
        <f>IFERROR(VLOOKUP(Table4[[#This Row],[FromSite-UPS]],Table1[[#All],[Company or Name]:[FromSite3]],16,FALSE),"")</f>
        <v>Madeira, 10 locations</v>
      </c>
      <c r="L626" s="20">
        <f>IFERROR(VLOOKUP(Table4[[#This Row],[FromSite-UPS]],Table1[[#All],[Company or Name]:[FromSite3]],14,FALSE),"")</f>
        <v>0.70833333333333337</v>
      </c>
      <c r="M626" s="13" t="s">
        <v>1011</v>
      </c>
      <c r="N626" s="20"/>
      <c r="O626" s="20"/>
      <c r="P626" s="20"/>
      <c r="Q626" s="20"/>
      <c r="R626" s="20"/>
      <c r="S626" s="20" t="s">
        <v>126</v>
      </c>
      <c r="T626" s="20"/>
      <c r="U626" s="20"/>
      <c r="V626" s="20"/>
      <c r="W626" s="20" t="str">
        <f>TEXT(Table4[[#This Row],[Confirmed Sampling Date]], "yyyy") &amp; "_" &amp; TEXT(Table4[[#This Row],[Confirmed Sampling Date]], "mm") &amp; "_" &amp; TEXT(Table4[[#This Row],[Confirmed Sampling Date]], "dd")</f>
        <v>2025_12_17</v>
      </c>
      <c r="X626" s="20" t="str">
        <f t="shared" si="9"/>
        <v>Funchal</v>
      </c>
      <c r="Y626" s="20" t="str">
        <f>VLOOKUP(Table4[[#This Row],[FromSite-UPS]],Table1[[Company or Name]:[NOTES]],2,FALSE)</f>
        <v>Portugal</v>
      </c>
      <c r="Z626" s="20">
        <f>IFERROR(WEEKNUM(Table4[[#This Row],[Confirmed Sampling Date]] - 10, 21), "TBD")</f>
        <v>49</v>
      </c>
      <c r="AA626" s="20" t="str">
        <f>_xlfn.XLOOKUP(Table4[[#This Row],[FromSite-UPS]],sites!D:D,sites!W:W,"",0)</f>
        <v>R. do Matadouro 4, Funchal, 9050-100, Portugal</v>
      </c>
      <c r="AB626" s="20" t="str">
        <f>_xlfn.XLOOKUP(Table4[[#This Row],[ToLab]],labs!D:D,labs!P:P,"no adres",0)</f>
        <v>Av. Rovisco Pais 1, Laboratorio de Analises de Agua, Lisbon, 1049-001, Portugal</v>
      </c>
      <c r="AC626" s="20">
        <f>_xlfn.XLOOKUP(Table4[[#This Row],[combi]],AREA!E:E,AREA!F:F,"",0)</f>
        <v>89</v>
      </c>
      <c r="AD626" s="20" t="str">
        <f>_xlfn.XLOOKUP(Table4[[#This Row],[combi]],AREA!E:E,AREA!G:G,"",0)</f>
        <v>Pick-up service of hypothetic package as defined in the Tech. Specs. and delivery to lots
2 and 3 contractors according to Scenario 1</v>
      </c>
      <c r="AE626" s="20" t="s">
        <v>126</v>
      </c>
      <c r="AF626" s="20" t="str">
        <f>_xlfn.XLOOKUP(Table4[[#This Row],[FromSite-UPS]],sites!D:D,sites!AB:AB,"",0)&amp;_xlfn.XLOOKUP(Table4[[#This Row],[ToLab]],labs!D:D,labs!Q:Q,"",0)</f>
        <v>EUEU</v>
      </c>
    </row>
    <row r="627" spans="2:32" ht="15.6" hidden="1" customHeight="1" x14ac:dyDescent="0.25">
      <c r="B627" s="13">
        <v>481</v>
      </c>
      <c r="C627" s="14" t="s">
        <v>53</v>
      </c>
      <c r="D627" s="13">
        <v>1</v>
      </c>
      <c r="E627" s="79">
        <v>46008</v>
      </c>
      <c r="F627" s="80">
        <v>46009</v>
      </c>
      <c r="G627" s="20">
        <f>IFERROR(WEEKNUM(Table4[[#This Row],[Confirmed Pick-up Date]]),"TBD")</f>
        <v>51</v>
      </c>
      <c r="H627" s="20" t="str">
        <f>IFERROR(TEXT(Table4[[#This Row],[Confirmed Pick-up Date]],"yy-mm"),"TBD")</f>
        <v>25-12</v>
      </c>
      <c r="I627" s="78" t="s">
        <v>1628</v>
      </c>
      <c r="J627" s="20" t="str">
        <f>IFERROR(VLOOKUP(Table4[[#This Row],[FromSite-UPS]],Table1[[#All],[Company or Name]:[FromSite3]],15,FALSE),"")</f>
        <v>Funchal WWTP</v>
      </c>
      <c r="K627" s="20" t="str">
        <f>IFERROR(VLOOKUP(Table4[[#This Row],[FromSite-UPS]],Table1[[#All],[Company or Name]:[FromSite3]],16,FALSE),"")</f>
        <v>Madeira, 10 locations</v>
      </c>
      <c r="L627" s="20">
        <f>IFERROR(VLOOKUP(Table4[[#This Row],[FromSite-UPS]],Table1[[#All],[Company or Name]:[FromSite3]],14,FALSE),"")</f>
        <v>0.70833333333333337</v>
      </c>
      <c r="M627" s="13" t="s">
        <v>1011</v>
      </c>
      <c r="N627" s="20"/>
      <c r="O627" s="20"/>
      <c r="P627" s="20"/>
      <c r="Q627" s="20"/>
      <c r="R627" s="20"/>
      <c r="S627" s="20" t="s">
        <v>126</v>
      </c>
      <c r="T627" s="20"/>
      <c r="U627" s="20"/>
      <c r="V627" s="20"/>
      <c r="W627" s="20" t="str">
        <f>TEXT(Table4[[#This Row],[Confirmed Sampling Date]], "yyyy") &amp; "_" &amp; TEXT(Table4[[#This Row],[Confirmed Sampling Date]], "mm") &amp; "_" &amp; TEXT(Table4[[#This Row],[Confirmed Sampling Date]], "dd")</f>
        <v>2025_12_17</v>
      </c>
      <c r="X627" s="20" t="str">
        <f t="shared" si="9"/>
        <v>Funchal</v>
      </c>
      <c r="Y627" s="20" t="str">
        <f>VLOOKUP(Table4[[#This Row],[FromSite-UPS]],Table1[[Company or Name]:[NOTES]],2,FALSE)</f>
        <v>Portugal</v>
      </c>
      <c r="Z627" s="20">
        <f>IFERROR(WEEKNUM(Table4[[#This Row],[Confirmed Sampling Date]] - 10, 21), "TBD")</f>
        <v>49</v>
      </c>
      <c r="AA627" s="20" t="str">
        <f>_xlfn.XLOOKUP(Table4[[#This Row],[FromSite-UPS]],sites!D:D,sites!W:W,"",0)</f>
        <v>R. do Matadouro 4, Funchal, 9050-100, Portugal</v>
      </c>
      <c r="AB627" s="20" t="str">
        <f>_xlfn.XLOOKUP(Table4[[#This Row],[ToLab]],labs!D:D,labs!P:P,"no adres",0)</f>
        <v>Av. Rovisco Pais 1, Laboratorio de Analises de Agua, Lisbon, 1049-001, Portugal</v>
      </c>
      <c r="AC627" s="20">
        <f>_xlfn.XLOOKUP(Table4[[#This Row],[combi]],AREA!E:E,AREA!F:F,"",0)</f>
        <v>89</v>
      </c>
      <c r="AD627" s="20" t="str">
        <f>_xlfn.XLOOKUP(Table4[[#This Row],[combi]],AREA!E:E,AREA!G:G,"",0)</f>
        <v>Pick-up service of hypothetic package as defined in the Tech. Specs. and delivery to lots
2 and 3 contractors according to Scenario 1</v>
      </c>
      <c r="AE627" s="20" t="s">
        <v>126</v>
      </c>
      <c r="AF627" s="20" t="str">
        <f>_xlfn.XLOOKUP(Table4[[#This Row],[FromSite-UPS]],sites!D:D,sites!AB:AB,"",0)&amp;_xlfn.XLOOKUP(Table4[[#This Row],[ToLab]],labs!D:D,labs!Q:Q,"",0)</f>
        <v>EUEU</v>
      </c>
    </row>
    <row r="628" spans="2:32" ht="15.6" hidden="1" customHeight="1" x14ac:dyDescent="0.25">
      <c r="B628" s="13">
        <v>491</v>
      </c>
      <c r="C628" s="14" t="s">
        <v>53</v>
      </c>
      <c r="D628" s="13">
        <v>1</v>
      </c>
      <c r="E628" s="79">
        <v>46008</v>
      </c>
      <c r="F628" s="80">
        <v>46009</v>
      </c>
      <c r="G628" s="20">
        <f>IFERROR(WEEKNUM(Table4[[#This Row],[Confirmed Pick-up Date]]),"TBD")</f>
        <v>51</v>
      </c>
      <c r="H628" s="20" t="str">
        <f>IFERROR(TEXT(Table4[[#This Row],[Confirmed Pick-up Date]],"yy-mm"),"TBD")</f>
        <v>25-12</v>
      </c>
      <c r="I628" s="78" t="s">
        <v>1628</v>
      </c>
      <c r="J628" s="20" t="str">
        <f>IFERROR(VLOOKUP(Table4[[#This Row],[FromSite-UPS]],Table1[[#All],[Company or Name]:[FromSite3]],15,FALSE),"")</f>
        <v>Funchal WWTP</v>
      </c>
      <c r="K628" s="20" t="str">
        <f>IFERROR(VLOOKUP(Table4[[#This Row],[FromSite-UPS]],Table1[[#All],[Company or Name]:[FromSite3]],16,FALSE),"")</f>
        <v>Madeira, 10 locations</v>
      </c>
      <c r="L628" s="20">
        <f>IFERROR(VLOOKUP(Table4[[#This Row],[FromSite-UPS]],Table1[[#All],[Company or Name]:[FromSite3]],14,FALSE),"")</f>
        <v>0.70833333333333337</v>
      </c>
      <c r="M628" s="13" t="s">
        <v>1011</v>
      </c>
      <c r="N628" s="20"/>
      <c r="O628" s="20"/>
      <c r="P628" s="20"/>
      <c r="Q628" s="20"/>
      <c r="R628" s="20"/>
      <c r="S628" s="20" t="s">
        <v>126</v>
      </c>
      <c r="T628" s="20"/>
      <c r="U628" s="20"/>
      <c r="V628" s="20"/>
      <c r="W628" s="20" t="str">
        <f>TEXT(Table4[[#This Row],[Confirmed Sampling Date]], "yyyy") &amp; "_" &amp; TEXT(Table4[[#This Row],[Confirmed Sampling Date]], "mm") &amp; "_" &amp; TEXT(Table4[[#This Row],[Confirmed Sampling Date]], "dd")</f>
        <v>2025_12_17</v>
      </c>
      <c r="X628" s="20" t="str">
        <f t="shared" si="9"/>
        <v>Funchal</v>
      </c>
      <c r="Y628" s="20" t="str">
        <f>VLOOKUP(Table4[[#This Row],[FromSite-UPS]],Table1[[Company or Name]:[NOTES]],2,FALSE)</f>
        <v>Portugal</v>
      </c>
      <c r="Z628" s="20">
        <f>IFERROR(WEEKNUM(Table4[[#This Row],[Confirmed Sampling Date]] - 10, 21), "TBD")</f>
        <v>49</v>
      </c>
      <c r="AA628" s="20" t="str">
        <f>_xlfn.XLOOKUP(Table4[[#This Row],[FromSite-UPS]],sites!D:D,sites!W:W,"",0)</f>
        <v>R. do Matadouro 4, Funchal, 9050-100, Portugal</v>
      </c>
      <c r="AB628" s="20" t="str">
        <f>_xlfn.XLOOKUP(Table4[[#This Row],[ToLab]],labs!D:D,labs!P:P,"no adres",0)</f>
        <v>Av. Rovisco Pais 1, Laboratorio de Analises de Agua, Lisbon, 1049-001, Portugal</v>
      </c>
      <c r="AC628" s="20">
        <f>_xlfn.XLOOKUP(Table4[[#This Row],[combi]],AREA!E:E,AREA!F:F,"",0)</f>
        <v>89</v>
      </c>
      <c r="AD628" s="20" t="str">
        <f>_xlfn.XLOOKUP(Table4[[#This Row],[combi]],AREA!E:E,AREA!G:G,"",0)</f>
        <v>Pick-up service of hypothetic package as defined in the Tech. Specs. and delivery to lots
2 and 3 contractors according to Scenario 1</v>
      </c>
      <c r="AE628" s="20" t="s">
        <v>126</v>
      </c>
      <c r="AF628" s="20" t="str">
        <f>_xlfn.XLOOKUP(Table4[[#This Row],[FromSite-UPS]],sites!D:D,sites!AB:AB,"",0)&amp;_xlfn.XLOOKUP(Table4[[#This Row],[ToLab]],labs!D:D,labs!Q:Q,"",0)</f>
        <v>EUEU</v>
      </c>
    </row>
    <row r="629" spans="2:32" ht="15.6" hidden="1" customHeight="1" x14ac:dyDescent="0.25">
      <c r="B629" s="13">
        <v>501</v>
      </c>
      <c r="C629" s="14" t="s">
        <v>53</v>
      </c>
      <c r="D629" s="13">
        <v>1</v>
      </c>
      <c r="E629" s="79">
        <v>46008</v>
      </c>
      <c r="F629" s="80">
        <v>46009</v>
      </c>
      <c r="G629" s="20">
        <f>IFERROR(WEEKNUM(Table4[[#This Row],[Confirmed Pick-up Date]]),"TBD")</f>
        <v>51</v>
      </c>
      <c r="H629" s="20" t="str">
        <f>IFERROR(TEXT(Table4[[#This Row],[Confirmed Pick-up Date]],"yy-mm"),"TBD")</f>
        <v>25-12</v>
      </c>
      <c r="I629" s="78" t="s">
        <v>1628</v>
      </c>
      <c r="J629" s="20" t="str">
        <f>IFERROR(VLOOKUP(Table4[[#This Row],[FromSite-UPS]],Table1[[#All],[Company or Name]:[FromSite3]],15,FALSE),"")</f>
        <v>Funchal WWTP</v>
      </c>
      <c r="K629" s="20" t="str">
        <f>IFERROR(VLOOKUP(Table4[[#This Row],[FromSite-UPS]],Table1[[#All],[Company or Name]:[FromSite3]],16,FALSE),"")</f>
        <v>Madeira, 10 locations</v>
      </c>
      <c r="L629" s="20">
        <f>IFERROR(VLOOKUP(Table4[[#This Row],[FromSite-UPS]],Table1[[#All],[Company or Name]:[FromSite3]],14,FALSE),"")</f>
        <v>0.70833333333333337</v>
      </c>
      <c r="M629" s="13" t="s">
        <v>1011</v>
      </c>
      <c r="N629" s="20"/>
      <c r="O629" s="20"/>
      <c r="P629" s="20"/>
      <c r="Q629" s="20"/>
      <c r="R629" s="20"/>
      <c r="S629" s="20" t="s">
        <v>126</v>
      </c>
      <c r="T629" s="20"/>
      <c r="U629" s="20"/>
      <c r="V629" s="20"/>
      <c r="W629" s="20" t="str">
        <f>TEXT(Table4[[#This Row],[Confirmed Sampling Date]], "yyyy") &amp; "_" &amp; TEXT(Table4[[#This Row],[Confirmed Sampling Date]], "mm") &amp; "_" &amp; TEXT(Table4[[#This Row],[Confirmed Sampling Date]], "dd")</f>
        <v>2025_12_17</v>
      </c>
      <c r="X629" s="20" t="str">
        <f t="shared" si="9"/>
        <v>Funchal</v>
      </c>
      <c r="Y629" s="20" t="str">
        <f>VLOOKUP(Table4[[#This Row],[FromSite-UPS]],Table1[[Company or Name]:[NOTES]],2,FALSE)</f>
        <v>Portugal</v>
      </c>
      <c r="Z629" s="20">
        <f>IFERROR(WEEKNUM(Table4[[#This Row],[Confirmed Sampling Date]] - 10, 21), "TBD")</f>
        <v>49</v>
      </c>
      <c r="AA629" s="20" t="str">
        <f>_xlfn.XLOOKUP(Table4[[#This Row],[FromSite-UPS]],sites!D:D,sites!W:W,"",0)</f>
        <v>R. do Matadouro 4, Funchal, 9050-100, Portugal</v>
      </c>
      <c r="AB629" s="20" t="str">
        <f>_xlfn.XLOOKUP(Table4[[#This Row],[ToLab]],labs!D:D,labs!P:P,"no adres",0)</f>
        <v>Av. Rovisco Pais 1, Laboratorio de Analises de Agua, Lisbon, 1049-001, Portugal</v>
      </c>
      <c r="AC629" s="20">
        <f>_xlfn.XLOOKUP(Table4[[#This Row],[combi]],AREA!E:E,AREA!F:F,"",0)</f>
        <v>89</v>
      </c>
      <c r="AD629" s="20" t="str">
        <f>_xlfn.XLOOKUP(Table4[[#This Row],[combi]],AREA!E:E,AREA!G:G,"",0)</f>
        <v>Pick-up service of hypothetic package as defined in the Tech. Specs. and delivery to lots
2 and 3 contractors according to Scenario 1</v>
      </c>
      <c r="AE629" s="20" t="s">
        <v>126</v>
      </c>
      <c r="AF629" s="20" t="str">
        <f>_xlfn.XLOOKUP(Table4[[#This Row],[FromSite-UPS]],sites!D:D,sites!AB:AB,"",0)&amp;_xlfn.XLOOKUP(Table4[[#This Row],[ToLab]],labs!D:D,labs!Q:Q,"",0)</f>
        <v>EUEU</v>
      </c>
    </row>
    <row r="630" spans="2:32" ht="15.6" hidden="1" customHeight="1" x14ac:dyDescent="0.25">
      <c r="B630" s="13">
        <v>510</v>
      </c>
      <c r="C630" s="14" t="s">
        <v>53</v>
      </c>
      <c r="D630" s="13">
        <v>1</v>
      </c>
      <c r="E630" s="79">
        <v>46006</v>
      </c>
      <c r="F630" s="80">
        <v>46009</v>
      </c>
      <c r="G630" s="20">
        <f>IFERROR(WEEKNUM(Table4[[#This Row],[Confirmed Pick-up Date]]),"TBD")</f>
        <v>51</v>
      </c>
      <c r="H630" s="20" t="str">
        <f>IFERROR(TEXT(Table4[[#This Row],[Confirmed Pick-up Date]],"yy-mm"),"TBD")</f>
        <v>25-12</v>
      </c>
      <c r="I630" s="78" t="s">
        <v>1114</v>
      </c>
      <c r="J630" s="20" t="str">
        <f>IFERROR(VLOOKUP(Table4[[#This Row],[FromSite-UPS]],Table1[[#All],[Company or Name]:[FromSite3]],15,FALSE),"")</f>
        <v>Uppsala WWTP</v>
      </c>
      <c r="K630" s="20" t="str">
        <f>IFERROR(VLOOKUP(Table4[[#This Row],[FromSite-UPS]],Table1[[#All],[Company or Name]:[FromSite3]],16,FALSE),"")</f>
        <v>-</v>
      </c>
      <c r="L630" s="20">
        <f>IFERROR(VLOOKUP(Table4[[#This Row],[FromSite-UPS]],Table1[[#All],[Company or Name]:[FromSite3]],14,FALSE),"")</f>
        <v>0.58333333333333337</v>
      </c>
      <c r="M630" s="13" t="s">
        <v>1011</v>
      </c>
      <c r="N630" s="20"/>
      <c r="O630" s="20"/>
      <c r="P630" s="20"/>
      <c r="Q630" s="20"/>
      <c r="R630" s="20"/>
      <c r="S630" s="20" t="s">
        <v>126</v>
      </c>
      <c r="T630" s="20"/>
      <c r="U630" s="20"/>
      <c r="V630" s="20"/>
      <c r="W630" s="20" t="str">
        <f>TEXT(Table4[[#This Row],[Confirmed Sampling Date]], "yyyy") &amp; "_" &amp; TEXT(Table4[[#This Row],[Confirmed Sampling Date]], "mm") &amp; "_" &amp; TEXT(Table4[[#This Row],[Confirmed Sampling Date]], "dd")</f>
        <v>2025_12_15</v>
      </c>
      <c r="X630" s="20" t="str">
        <f t="shared" si="9"/>
        <v>Uppsala</v>
      </c>
      <c r="Y630" s="20" t="str">
        <f>VLOOKUP(Table4[[#This Row],[FromSite-UPS]],Table1[[Company or Name]:[NOTES]],2,FALSE)</f>
        <v>Sweden</v>
      </c>
      <c r="Z630" s="20">
        <f>IFERROR(WEEKNUM(Table4[[#This Row],[Confirmed Sampling Date]] - 10, 21), "TBD")</f>
        <v>49</v>
      </c>
      <c r="AA630" s="20" t="str">
        <f>_xlfn.XLOOKUP(Table4[[#This Row],[FromSite-UPS]],sites!D:D,sites!W:W,"",0)</f>
        <v>Gerda Nilssons väg 5, Uppsala, 756 51, Sweden</v>
      </c>
      <c r="AB630" s="20" t="str">
        <f>_xlfn.XLOOKUP(Table4[[#This Row],[ToLab]],labs!D:D,labs!P:P,"no adres",0)</f>
        <v>Av. Rovisco Pais 1, Laboratorio de Analises de Agua, Lisbon, 1049-001, Portugal</v>
      </c>
      <c r="AC630" s="20" t="str">
        <f>_xlfn.XLOOKUP(Table4[[#This Row],[combi]],AREA!E:E,AREA!F:F,"",0)</f>
        <v/>
      </c>
      <c r="AD630" s="20" t="str">
        <f>_xlfn.XLOOKUP(Table4[[#This Row],[combi]],AREA!E:E,AREA!G:G,"",0)</f>
        <v/>
      </c>
      <c r="AE630" s="20" t="s">
        <v>126</v>
      </c>
      <c r="AF630" s="20" t="s">
        <v>126</v>
      </c>
    </row>
    <row r="631" spans="2:32" ht="15.6" hidden="1" customHeight="1" x14ac:dyDescent="0.25">
      <c r="B631" s="13">
        <v>546</v>
      </c>
      <c r="C631" s="14" t="s">
        <v>53</v>
      </c>
      <c r="D631" s="13">
        <v>1</v>
      </c>
      <c r="E631" s="34">
        <v>46008</v>
      </c>
      <c r="F631" s="83">
        <v>46009</v>
      </c>
      <c r="G631" s="20">
        <f>IFERROR(WEEKNUM(Table4[[#This Row],[Confirmed Pick-up Date]]),"TBD")</f>
        <v>51</v>
      </c>
      <c r="H631" s="20" t="str">
        <f>IFERROR(TEXT(Table4[[#This Row],[Confirmed Pick-up Date]],"yy-mm"),"TBD")</f>
        <v>25-12</v>
      </c>
      <c r="I631" s="13" t="s">
        <v>1628</v>
      </c>
      <c r="J631" s="20" t="str">
        <f>IFERROR(VLOOKUP(Table4[[#This Row],[FromSite-UPS]],Table1[[#All],[Company or Name]:[FromSite3]],15,FALSE),"")</f>
        <v>Funchal WWTP</v>
      </c>
      <c r="K631" s="20" t="str">
        <f>IFERROR(VLOOKUP(Table4[[#This Row],[FromSite-UPS]],Table1[[#All],[Company or Name]:[FromSite3]],16,FALSE),"")</f>
        <v>Madeira, 10 locations</v>
      </c>
      <c r="L631" s="20">
        <f>IFERROR(VLOOKUP(Table4[[#This Row],[FromSite-UPS]],Table1[[#All],[Company or Name]:[FromSite3]],14,FALSE),"")</f>
        <v>0.70833333333333337</v>
      </c>
      <c r="M631" s="13" t="s">
        <v>1283</v>
      </c>
      <c r="N631" s="20"/>
      <c r="O631" s="20"/>
      <c r="P631" s="20"/>
      <c r="Q631" s="20"/>
      <c r="R631" s="20"/>
      <c r="S631" s="20" t="s">
        <v>126</v>
      </c>
      <c r="T631" s="20"/>
      <c r="U631" s="20"/>
      <c r="V631" s="20"/>
      <c r="W631" s="20" t="str">
        <f>TEXT(Table4[[#This Row],[Confirmed Sampling Date]], "yyyy") &amp; "_" &amp; TEXT(Table4[[#This Row],[Confirmed Sampling Date]], "mm") &amp; "_" &amp; TEXT(Table4[[#This Row],[Confirmed Sampling Date]], "dd")</f>
        <v>2025_12_17</v>
      </c>
      <c r="X631" s="20" t="str">
        <f t="shared" si="9"/>
        <v>Funchal</v>
      </c>
      <c r="Y631" s="20" t="str">
        <f>VLOOKUP(Table4[[#This Row],[FromSite-UPS]],Table1[[Company or Name]:[NOTES]],2,FALSE)</f>
        <v>Portugal</v>
      </c>
      <c r="Z631" s="20">
        <f>IFERROR(WEEKNUM(Table4[[#This Row],[Confirmed Sampling Date]] - 10, 21), "TBD")</f>
        <v>49</v>
      </c>
      <c r="AA631" s="20" t="str">
        <f>_xlfn.XLOOKUP(Table4[[#This Row],[FromSite-UPS]],sites!D:D,sites!W:W,"",0)</f>
        <v>R. do Matadouro 4, Funchal, 9050-100, Portugal</v>
      </c>
      <c r="AB631" s="20" t="str">
        <f>_xlfn.XLOOKUP(Table4[[#This Row],[ToLab]],labs!D:D,labs!P:P,"no adres",0)</f>
        <v>C. del Dracma 16-18, Labaqua SAU - Sede Alicante, Alicante, 03114 , Spain</v>
      </c>
      <c r="AC631" s="20">
        <f>_xlfn.XLOOKUP(Table4[[#This Row],[combi]],AREA!E:E,AREA!F:F,"",0)</f>
        <v>89</v>
      </c>
      <c r="AD631" s="20" t="str">
        <f>_xlfn.XLOOKUP(Table4[[#This Row],[combi]],AREA!E:E,AREA!G:G,"",0)</f>
        <v>Pick-up service of hypothetic package as defined in the Tech. Specs. and delivery to lots
2 and 3 contractors according to Scenario 1</v>
      </c>
      <c r="AE631" s="20" t="s">
        <v>126</v>
      </c>
      <c r="AF631" s="20" t="str">
        <f>_xlfn.XLOOKUP(Table4[[#This Row],[FromSite-UPS]],sites!D:D,sites!AB:AB,"",0)&amp;_xlfn.XLOOKUP(Table4[[#This Row],[ToLab]],labs!D:D,labs!Q:Q,"",0)</f>
        <v>EUEU</v>
      </c>
    </row>
    <row r="632" spans="2:32" ht="15.6" hidden="1" customHeight="1" x14ac:dyDescent="0.25">
      <c r="B632" s="13">
        <v>570</v>
      </c>
      <c r="C632" s="14" t="s">
        <v>53</v>
      </c>
      <c r="D632" s="13">
        <v>1</v>
      </c>
      <c r="E632" s="34">
        <v>46008</v>
      </c>
      <c r="F632" s="83">
        <v>46009</v>
      </c>
      <c r="G632" s="20">
        <f>IFERROR(WEEKNUM(Table4[[#This Row],[Confirmed Pick-up Date]]),"TBD")</f>
        <v>51</v>
      </c>
      <c r="H632" s="20" t="str">
        <f>IFERROR(TEXT(Table4[[#This Row],[Confirmed Pick-up Date]],"yy-mm"),"TBD")</f>
        <v>25-12</v>
      </c>
      <c r="I632" s="13" t="s">
        <v>1628</v>
      </c>
      <c r="J632" s="20" t="str">
        <f>IFERROR(VLOOKUP(Table4[[#This Row],[FromSite-UPS]],Table1[[#All],[Company or Name]:[FromSite3]],15,FALSE),"")</f>
        <v>Funchal WWTP</v>
      </c>
      <c r="K632" s="20" t="str">
        <f>IFERROR(VLOOKUP(Table4[[#This Row],[FromSite-UPS]],Table1[[#All],[Company or Name]:[FromSite3]],16,FALSE),"")</f>
        <v>Madeira, 10 locations</v>
      </c>
      <c r="L632" s="13" t="s">
        <v>1283</v>
      </c>
      <c r="M632" s="13" t="s">
        <v>1283</v>
      </c>
      <c r="N632" s="20"/>
      <c r="O632" s="20"/>
      <c r="P632" s="20"/>
      <c r="Q632" s="20"/>
      <c r="R632" s="20"/>
      <c r="S632" s="20" t="s">
        <v>126</v>
      </c>
      <c r="T632" s="20"/>
      <c r="U632" s="20"/>
      <c r="V632" s="20"/>
      <c r="W632" s="20" t="str">
        <f>TEXT(Table4[[#This Row],[Confirmed Sampling Date]], "yyyy") &amp; "_" &amp; TEXT(Table4[[#This Row],[Confirmed Sampling Date]], "mm") &amp; "_" &amp; TEXT(Table4[[#This Row],[Confirmed Sampling Date]], "dd")</f>
        <v>2025_12_17</v>
      </c>
      <c r="X632" s="20" t="str">
        <f t="shared" si="9"/>
        <v>Funchal</v>
      </c>
      <c r="Y632" s="20" t="str">
        <f>VLOOKUP(Table4[[#This Row],[FromSite-UPS]],Table1[[Company or Name]:[NOTES]],2,FALSE)</f>
        <v>Portugal</v>
      </c>
      <c r="Z632" s="20">
        <f>IFERROR(WEEKNUM(Table4[[#This Row],[Confirmed Sampling Date]] - 10, 21), "TBD")</f>
        <v>49</v>
      </c>
      <c r="AA632" s="20" t="str">
        <f>_xlfn.XLOOKUP(Table4[[#This Row],[FromSite-UPS]],sites!D:D,sites!W:W,"",0)</f>
        <v>R. do Matadouro 4, Funchal, 9050-100, Portugal</v>
      </c>
      <c r="AB632" s="20" t="str">
        <f>_xlfn.XLOOKUP(Table4[[#This Row],[ToLab]],labs!D:D,labs!P:P,"no adres",0)</f>
        <v>C. del Dracma 16-18, Labaqua SAU - Sede Alicante, Alicante, 03114 , Spain</v>
      </c>
      <c r="AC632" s="20">
        <f>_xlfn.XLOOKUP(Table4[[#This Row],[combi]],AREA!E:E,AREA!F:F,"",0)</f>
        <v>89</v>
      </c>
      <c r="AD632" s="20" t="str">
        <f>_xlfn.XLOOKUP(Table4[[#This Row],[combi]],AREA!E:E,AREA!G:G,"",0)</f>
        <v>Pick-up service of hypothetic package as defined in the Tech. Specs. and delivery to lots
2 and 3 contractors according to Scenario 1</v>
      </c>
      <c r="AE632" s="20" t="s">
        <v>126</v>
      </c>
      <c r="AF632" s="20" t="str">
        <f>_xlfn.XLOOKUP(Table4[[#This Row],[FromSite-UPS]],sites!D:D,sites!AB:AB,"",0)&amp;_xlfn.XLOOKUP(Table4[[#This Row],[ToLab]],labs!D:D,labs!Q:Q,"",0)</f>
        <v>EUEU</v>
      </c>
    </row>
    <row r="633" spans="2:32" ht="15.6" hidden="1" customHeight="1" x14ac:dyDescent="0.25">
      <c r="B633" s="13">
        <v>578</v>
      </c>
      <c r="C633" s="14" t="s">
        <v>53</v>
      </c>
      <c r="D633" s="13">
        <v>1</v>
      </c>
      <c r="E633" s="34">
        <v>46008</v>
      </c>
      <c r="F633" s="83">
        <v>46009</v>
      </c>
      <c r="G633" s="20">
        <f>IFERROR(WEEKNUM(Table4[[#This Row],[Confirmed Pick-up Date]]),"TBD")</f>
        <v>51</v>
      </c>
      <c r="H633" s="20" t="str">
        <f>IFERROR(TEXT(Table4[[#This Row],[Confirmed Pick-up Date]],"yy-mm"),"TBD")</f>
        <v>25-12</v>
      </c>
      <c r="I633" s="13" t="s">
        <v>1628</v>
      </c>
      <c r="J633" s="20" t="str">
        <f>IFERROR(VLOOKUP(Table4[[#This Row],[FromSite-UPS]],Table1[[#All],[Company or Name]:[FromSite3]],15,FALSE),"")</f>
        <v>Funchal WWTP</v>
      </c>
      <c r="K633" s="20" t="str">
        <f>IFERROR(VLOOKUP(Table4[[#This Row],[FromSite-UPS]],Table1[[#All],[Company or Name]:[FromSite3]],16,FALSE),"")</f>
        <v>Madeira, 10 locations</v>
      </c>
      <c r="L633" s="13" t="s">
        <v>1283</v>
      </c>
      <c r="M633" s="13" t="s">
        <v>1283</v>
      </c>
      <c r="N633" s="20"/>
      <c r="O633" s="20"/>
      <c r="P633" s="20"/>
      <c r="Q633" s="20"/>
      <c r="R633" s="20"/>
      <c r="S633" s="20" t="s">
        <v>126</v>
      </c>
      <c r="T633" s="20"/>
      <c r="U633" s="20"/>
      <c r="V633" s="20"/>
      <c r="W633" s="20" t="str">
        <f>TEXT(Table4[[#This Row],[Confirmed Sampling Date]], "yyyy") &amp; "_" &amp; TEXT(Table4[[#This Row],[Confirmed Sampling Date]], "mm") &amp; "_" &amp; TEXT(Table4[[#This Row],[Confirmed Sampling Date]], "dd")</f>
        <v>2025_12_17</v>
      </c>
      <c r="X633" s="20" t="str">
        <f t="shared" si="9"/>
        <v>Funchal</v>
      </c>
      <c r="Y633" s="20" t="str">
        <f>VLOOKUP(Table4[[#This Row],[FromSite-UPS]],Table1[[Company or Name]:[NOTES]],2,FALSE)</f>
        <v>Portugal</v>
      </c>
      <c r="Z633" s="20">
        <f>IFERROR(WEEKNUM(Table4[[#This Row],[Confirmed Sampling Date]] - 10, 21), "TBD")</f>
        <v>49</v>
      </c>
      <c r="AA633" s="20" t="str">
        <f>_xlfn.XLOOKUP(Table4[[#This Row],[FromSite-UPS]],sites!D:D,sites!W:W,"",0)</f>
        <v>R. do Matadouro 4, Funchal, 9050-100, Portugal</v>
      </c>
      <c r="AB633" s="20" t="str">
        <f>_xlfn.XLOOKUP(Table4[[#This Row],[ToLab]],labs!D:D,labs!P:P,"no adres",0)</f>
        <v>C. del Dracma 16-18, Labaqua SAU - Sede Alicante, Alicante, 03114 , Spain</v>
      </c>
      <c r="AC633" s="20">
        <f>_xlfn.XLOOKUP(Table4[[#This Row],[combi]],AREA!E:E,AREA!F:F,"",0)</f>
        <v>89</v>
      </c>
      <c r="AD633" s="20" t="str">
        <f>_xlfn.XLOOKUP(Table4[[#This Row],[combi]],AREA!E:E,AREA!G:G,"",0)</f>
        <v>Pick-up service of hypothetic package as defined in the Tech. Specs. and delivery to lots
2 and 3 contractors according to Scenario 1</v>
      </c>
      <c r="AE633" s="20" t="s">
        <v>126</v>
      </c>
      <c r="AF633" s="20" t="str">
        <f>_xlfn.XLOOKUP(Table4[[#This Row],[FromSite-UPS]],sites!D:D,sites!AB:AB,"",0)&amp;_xlfn.XLOOKUP(Table4[[#This Row],[ToLab]],labs!D:D,labs!Q:Q,"",0)</f>
        <v>EUEU</v>
      </c>
    </row>
    <row r="634" spans="2:32" ht="15.6" hidden="1" customHeight="1" x14ac:dyDescent="0.25">
      <c r="B634" s="13">
        <v>586</v>
      </c>
      <c r="C634" s="14" t="s">
        <v>53</v>
      </c>
      <c r="D634" s="13">
        <v>1</v>
      </c>
      <c r="E634" s="34">
        <v>46008</v>
      </c>
      <c r="F634" s="83">
        <v>46009</v>
      </c>
      <c r="G634" s="20">
        <f>IFERROR(WEEKNUM(Table4[[#This Row],[Confirmed Pick-up Date]]),"TBD")</f>
        <v>51</v>
      </c>
      <c r="H634" s="20" t="str">
        <f>IFERROR(TEXT(Table4[[#This Row],[Confirmed Pick-up Date]],"yy-mm"),"TBD")</f>
        <v>25-12</v>
      </c>
      <c r="I634" s="13" t="s">
        <v>1628</v>
      </c>
      <c r="J634" s="20" t="str">
        <f>IFERROR(VLOOKUP(Table4[[#This Row],[FromSite-UPS]],Table1[[#All],[Company or Name]:[FromSite3]],15,FALSE),"")</f>
        <v>Funchal WWTP</v>
      </c>
      <c r="K634" s="20" t="str">
        <f>IFERROR(VLOOKUP(Table4[[#This Row],[FromSite-UPS]],Table1[[#All],[Company or Name]:[FromSite3]],16,FALSE),"")</f>
        <v>Madeira, 10 locations</v>
      </c>
      <c r="L634" s="13" t="s">
        <v>1283</v>
      </c>
      <c r="M634" s="13" t="s">
        <v>1283</v>
      </c>
      <c r="N634" s="20"/>
      <c r="O634" s="20"/>
      <c r="P634" s="20"/>
      <c r="Q634" s="20"/>
      <c r="R634" s="20"/>
      <c r="S634" s="20" t="s">
        <v>126</v>
      </c>
      <c r="T634" s="20"/>
      <c r="U634" s="20"/>
      <c r="V634" s="20"/>
      <c r="W634" s="20" t="str">
        <f>TEXT(Table4[[#This Row],[Confirmed Sampling Date]], "yyyy") &amp; "_" &amp; TEXT(Table4[[#This Row],[Confirmed Sampling Date]], "mm") &amp; "_" &amp; TEXT(Table4[[#This Row],[Confirmed Sampling Date]], "dd")</f>
        <v>2025_12_17</v>
      </c>
      <c r="X634" s="20" t="str">
        <f t="shared" si="9"/>
        <v>Funchal</v>
      </c>
      <c r="Y634" s="20" t="str">
        <f>VLOOKUP(Table4[[#This Row],[FromSite-UPS]],Table1[[Company or Name]:[NOTES]],2,FALSE)</f>
        <v>Portugal</v>
      </c>
      <c r="Z634" s="20">
        <f>IFERROR(WEEKNUM(Table4[[#This Row],[Confirmed Sampling Date]] - 10, 21), "TBD")</f>
        <v>49</v>
      </c>
      <c r="AA634" s="20" t="str">
        <f>_xlfn.XLOOKUP(Table4[[#This Row],[FromSite-UPS]],sites!D:D,sites!W:W,"",0)</f>
        <v>R. do Matadouro 4, Funchal, 9050-100, Portugal</v>
      </c>
      <c r="AB634" s="20" t="str">
        <f>_xlfn.XLOOKUP(Table4[[#This Row],[ToLab]],labs!D:D,labs!P:P,"no adres",0)</f>
        <v>C. del Dracma 16-18, Labaqua SAU - Sede Alicante, Alicante, 03114 , Spain</v>
      </c>
      <c r="AC634" s="20">
        <f>_xlfn.XLOOKUP(Table4[[#This Row],[combi]],AREA!E:E,AREA!F:F,"",0)</f>
        <v>89</v>
      </c>
      <c r="AD634" s="20" t="str">
        <f>_xlfn.XLOOKUP(Table4[[#This Row],[combi]],AREA!E:E,AREA!G:G,"",0)</f>
        <v>Pick-up service of hypothetic package as defined in the Tech. Specs. and delivery to lots
2 and 3 contractors according to Scenario 1</v>
      </c>
      <c r="AE634" s="20" t="s">
        <v>126</v>
      </c>
      <c r="AF634" s="20" t="str">
        <f>_xlfn.XLOOKUP(Table4[[#This Row],[FromSite-UPS]],sites!D:D,sites!AB:AB,"",0)&amp;_xlfn.XLOOKUP(Table4[[#This Row],[ToLab]],labs!D:D,labs!Q:Q,"",0)</f>
        <v>EUEU</v>
      </c>
    </row>
    <row r="635" spans="2:32" ht="15.6" hidden="1" customHeight="1" x14ac:dyDescent="0.25">
      <c r="B635" s="13">
        <v>611</v>
      </c>
      <c r="C635" s="14" t="s">
        <v>53</v>
      </c>
      <c r="D635" s="13">
        <v>1</v>
      </c>
      <c r="E635" s="34">
        <v>46008</v>
      </c>
      <c r="F635" s="83">
        <v>46009</v>
      </c>
      <c r="G635" s="20">
        <f>IFERROR(WEEKNUM(Table4[[#This Row],[Confirmed Pick-up Date]]),"TBD")</f>
        <v>51</v>
      </c>
      <c r="H635" s="20" t="str">
        <f>IFERROR(TEXT(Table4[[#This Row],[Confirmed Pick-up Date]],"yy-mm"),"TBD")</f>
        <v>25-12</v>
      </c>
      <c r="I635" s="13" t="s">
        <v>1590</v>
      </c>
      <c r="J635" s="20" t="str">
        <f>IFERROR(VLOOKUP(Table4[[#This Row],[FromSite-UPS]],Table1[[#All],[Company or Name]:[FromSite3]],15,FALSE),"")</f>
        <v>Àthens WWTP</v>
      </c>
      <c r="K635" s="20" t="str">
        <f>IFERROR(VLOOKUP(Table4[[#This Row],[FromSite-UPS]],Table1[[#All],[Company or Name]:[FromSite3]],16,FALSE),"")</f>
        <v>Athens Airport</v>
      </c>
      <c r="L635" s="20">
        <f>IFERROR(VLOOKUP(Table4[[#This Row],[FromSite-UPS]],Table1[[#All],[Company or Name]:[FromSite3]],14,FALSE),"")</f>
        <v>0.66666666666666663</v>
      </c>
      <c r="M635" s="13" t="s">
        <v>1011</v>
      </c>
      <c r="N635" s="20"/>
      <c r="O635" s="20"/>
      <c r="P635" s="20"/>
      <c r="Q635" s="20"/>
      <c r="R635" s="20"/>
      <c r="S635" s="20" t="s">
        <v>126</v>
      </c>
      <c r="T635" s="20"/>
      <c r="U635" s="20"/>
      <c r="V635" s="20"/>
      <c r="W635" s="20" t="str">
        <f>TEXT(Table4[[#This Row],[Confirmed Sampling Date]], "yyyy") &amp; "_" &amp; TEXT(Table4[[#This Row],[Confirmed Sampling Date]], "mm") &amp; "_" &amp; TEXT(Table4[[#This Row],[Confirmed Sampling Date]], "dd")</f>
        <v>2025_12_17</v>
      </c>
      <c r="X635" s="20" t="str">
        <f t="shared" si="9"/>
        <v>Àthens</v>
      </c>
      <c r="Y635" s="20" t="str">
        <f>VLOOKUP(Table4[[#This Row],[FromSite-UPS]],Table1[[Company or Name]:[NOTES]],2,FALSE)</f>
        <v>Greece</v>
      </c>
      <c r="Z635" s="20">
        <f>IFERROR(WEEKNUM(Table4[[#This Row],[Confirmed Sampling Date]] - 10, 21), "TBD")</f>
        <v>49</v>
      </c>
      <c r="AA635" s="20" t="str">
        <f>_xlfn.XLOOKUP(Table4[[#This Row],[FromSite-UPS]],sites!D:D,sites!W:W,"",0)</f>
        <v>Zografou, 4ος όροφος, εργαστήριο αριθμός 8, Athens,  157 71, Greece</v>
      </c>
      <c r="AB635" s="20" t="str">
        <f>_xlfn.XLOOKUP(Table4[[#This Row],[ToLab]],labs!D:D,labs!P:P,"no adres",0)</f>
        <v>Av. Rovisco Pais 1, Laboratorio de Analises de Agua, Lisbon, 1049-001, Portugal</v>
      </c>
      <c r="AC635" s="20">
        <f>_xlfn.XLOOKUP(Table4[[#This Row],[combi]],AREA!E:E,AREA!F:F,"",0)</f>
        <v>89</v>
      </c>
      <c r="AD635" s="20" t="str">
        <f>_xlfn.XLOOKUP(Table4[[#This Row],[combi]],AREA!E:E,AREA!G:G,"",0)</f>
        <v>Pick-up service of hypothetic package as defined in the Tech. Specs. and delivery to lots
2 and 3 contractors according to Scenario 1</v>
      </c>
      <c r="AE635" s="20" t="s">
        <v>126</v>
      </c>
      <c r="AF635" s="20" t="str">
        <f>_xlfn.XLOOKUP(Table4[[#This Row],[FromSite-UPS]],sites!D:D,sites!AB:AB,"",0)&amp;_xlfn.XLOOKUP(Table4[[#This Row],[ToLab]],labs!D:D,labs!Q:Q,"",0)</f>
        <v>EUEU</v>
      </c>
    </row>
    <row r="636" spans="2:32" ht="15.6" hidden="1" customHeight="1" x14ac:dyDescent="0.25">
      <c r="B636" s="13">
        <v>646</v>
      </c>
      <c r="C636" s="14" t="s">
        <v>53</v>
      </c>
      <c r="D636" s="13">
        <v>1</v>
      </c>
      <c r="E636" s="34">
        <v>46008</v>
      </c>
      <c r="F636" s="22">
        <v>46009</v>
      </c>
      <c r="G636" s="20">
        <f>IFERROR(WEEKNUM(Table4[[#This Row],[Confirmed Pick-up Date]]),"TBD")</f>
        <v>51</v>
      </c>
      <c r="H636" s="20" t="str">
        <f>IFERROR(TEXT(Table4[[#This Row],[Confirmed Pick-up Date]],"yy-mm"),"TBD")</f>
        <v>25-12</v>
      </c>
      <c r="I636" s="13" t="s">
        <v>637</v>
      </c>
      <c r="J636" s="20" t="str">
        <f>IFERROR(VLOOKUP(Table4[[#This Row],[FromSite-UPS]],Table1[[#All],[Company or Name]:[FromSite3]],15,FALSE),"")</f>
        <v>Luxembourg (Beggen) WWTP</v>
      </c>
      <c r="K636" s="20" t="str">
        <f>IFERROR(VLOOKUP(Table4[[#This Row],[FromSite-UPS]],Table1[[#All],[Company or Name]:[FromSite3]],16,FALSE),"")</f>
        <v>Luxembourg Airport</v>
      </c>
      <c r="L636" s="20">
        <f>IFERROR(VLOOKUP(Table4[[#This Row],[FromSite-UPS]],Table1[[#All],[Company or Name]:[FromSite3]],14,FALSE),"")</f>
        <v>0.66666666666666663</v>
      </c>
      <c r="M636" s="13" t="s">
        <v>1011</v>
      </c>
      <c r="N636" s="20"/>
      <c r="O636" s="20"/>
      <c r="P636" s="20"/>
      <c r="Q636" s="101"/>
      <c r="R636" s="20"/>
      <c r="S636" s="20" t="s">
        <v>126</v>
      </c>
      <c r="T636" s="20"/>
      <c r="U636" s="20"/>
      <c r="V636" s="20"/>
      <c r="W636" s="20" t="str">
        <f>TEXT(Table4[[#This Row],[Confirmed Sampling Date]], "yyyy") &amp; "_" &amp; TEXT(Table4[[#This Row],[Confirmed Sampling Date]], "mm") &amp; "_" &amp; TEXT(Table4[[#This Row],[Confirmed Sampling Date]], "dd")</f>
        <v>2025_12_17</v>
      </c>
      <c r="X636" s="20" t="str">
        <f t="shared" si="9"/>
        <v>Luxembourg</v>
      </c>
      <c r="Y636" s="20" t="str">
        <f>VLOOKUP(Table4[[#This Row],[FromSite-UPS]],Table1[[Company or Name]:[NOTES]],2,FALSE)</f>
        <v>Luxembourg</v>
      </c>
      <c r="Z636" s="20">
        <f>IFERROR(WEEKNUM(Table4[[#This Row],[Confirmed Sampling Date]] - 10, 21), "TBD")</f>
        <v>49</v>
      </c>
      <c r="AA636" s="20" t="str">
        <f>_xlfn.XLOOKUP(Table4[[#This Row],[FromSite-UPS]],sites!D:D,sites!W:W,"",0)</f>
        <v>41 rue du Brill, Luxembourg, L-4422 , Luxembourg</v>
      </c>
      <c r="AB636" s="20" t="str">
        <f>_xlfn.XLOOKUP(Table4[[#This Row],[ToLab]],labs!D:D,labs!P:P,"no adres",0)</f>
        <v>Av. Rovisco Pais 1, Laboratorio de Analises de Agua, Lisbon, 1049-001, Portugal</v>
      </c>
      <c r="AC636" s="20">
        <f>_xlfn.XLOOKUP(Table4[[#This Row],[combi]],AREA!E:E,AREA!F:F,"",0)</f>
        <v>89</v>
      </c>
      <c r="AD636" s="20" t="str">
        <f>_xlfn.XLOOKUP(Table4[[#This Row],[combi]],AREA!E:E,AREA!G:G,"",0)</f>
        <v>Pick-up service of hypothetic package as defined in the Tech. Specs. and delivery to lots
2 and 3 contractors according to Scenario 1</v>
      </c>
      <c r="AE636" s="20" t="s">
        <v>126</v>
      </c>
      <c r="AF636" s="20" t="str">
        <f>_xlfn.XLOOKUP(Table4[[#This Row],[FromSite-UPS]],sites!D:D,sites!AB:AB,"",0)&amp;_xlfn.XLOOKUP(Table4[[#This Row],[ToLab]],labs!D:D,labs!Q:Q,"",0)</f>
        <v>EUEU</v>
      </c>
    </row>
    <row r="637" spans="2:32" ht="15.6" hidden="1" customHeight="1" x14ac:dyDescent="0.25">
      <c r="B637" s="13">
        <v>652</v>
      </c>
      <c r="C637" s="14" t="s">
        <v>53</v>
      </c>
      <c r="D637" s="13">
        <v>1</v>
      </c>
      <c r="E637" s="34">
        <v>46008</v>
      </c>
      <c r="F637" s="22">
        <v>46009</v>
      </c>
      <c r="G637" s="20">
        <f>IFERROR(WEEKNUM(Table4[[#This Row],[Confirmed Pick-up Date]]),"TBD")</f>
        <v>51</v>
      </c>
      <c r="H637" s="20" t="str">
        <f>IFERROR(TEXT(Table4[[#This Row],[Confirmed Pick-up Date]],"yy-mm"),"TBD")</f>
        <v>25-12</v>
      </c>
      <c r="I637" s="13" t="s">
        <v>637</v>
      </c>
      <c r="J637" s="20" t="str">
        <f>IFERROR(VLOOKUP(Table4[[#This Row],[FromSite-UPS]],Table1[[#All],[Company or Name]:[FromSite3]],15,FALSE),"")</f>
        <v>Luxembourg (Beggen) WWTP</v>
      </c>
      <c r="K637" s="20" t="str">
        <f>IFERROR(VLOOKUP(Table4[[#This Row],[FromSite-UPS]],Table1[[#All],[Company or Name]:[FromSite3]],16,FALSE),"")</f>
        <v>Luxembourg Airport</v>
      </c>
      <c r="L637" s="20">
        <f>IFERROR(VLOOKUP(Table4[[#This Row],[FromSite-UPS]],Table1[[#All],[Company or Name]:[FromSite3]],14,FALSE),"")</f>
        <v>0.66666666666666663</v>
      </c>
      <c r="M637" s="13" t="s">
        <v>1011</v>
      </c>
      <c r="N637" s="20"/>
      <c r="O637" s="20"/>
      <c r="P637" s="20"/>
      <c r="Q637" s="101"/>
      <c r="R637" s="20"/>
      <c r="S637" s="20" t="s">
        <v>126</v>
      </c>
      <c r="T637" s="20"/>
      <c r="U637" s="20"/>
      <c r="V637" s="20"/>
      <c r="W637" s="20" t="str">
        <f>TEXT(Table4[[#This Row],[Confirmed Sampling Date]], "yyyy") &amp; "_" &amp; TEXT(Table4[[#This Row],[Confirmed Sampling Date]], "mm") &amp; "_" &amp; TEXT(Table4[[#This Row],[Confirmed Sampling Date]], "dd")</f>
        <v>2025_12_17</v>
      </c>
      <c r="X637" s="20" t="str">
        <f t="shared" si="9"/>
        <v>Luxembourg</v>
      </c>
      <c r="Y637" s="20" t="str">
        <f>VLOOKUP(Table4[[#This Row],[FromSite-UPS]],Table1[[Company or Name]:[NOTES]],2,FALSE)</f>
        <v>Luxembourg</v>
      </c>
      <c r="Z637" s="20">
        <f>IFERROR(WEEKNUM(Table4[[#This Row],[Confirmed Sampling Date]] - 10, 21), "TBD")</f>
        <v>49</v>
      </c>
      <c r="AA637" s="20" t="str">
        <f>_xlfn.XLOOKUP(Table4[[#This Row],[FromSite-UPS]],sites!D:D,sites!W:W,"",0)</f>
        <v>41 rue du Brill, Luxembourg, L-4422 , Luxembourg</v>
      </c>
      <c r="AB637" s="20" t="str">
        <f>_xlfn.XLOOKUP(Table4[[#This Row],[ToLab]],labs!D:D,labs!P:P,"no adres",0)</f>
        <v>Av. Rovisco Pais 1, Laboratorio de Analises de Agua, Lisbon, 1049-001, Portugal</v>
      </c>
      <c r="AC637" s="20">
        <f>_xlfn.XLOOKUP(Table4[[#This Row],[combi]],AREA!E:E,AREA!F:F,"",0)</f>
        <v>89</v>
      </c>
      <c r="AD637" s="20" t="str">
        <f>_xlfn.XLOOKUP(Table4[[#This Row],[combi]],AREA!E:E,AREA!G:G,"",0)</f>
        <v>Pick-up service of hypothetic package as defined in the Tech. Specs. and delivery to lots
2 and 3 contractors according to Scenario 1</v>
      </c>
      <c r="AE637" s="20" t="s">
        <v>126</v>
      </c>
      <c r="AF637" s="20" t="str">
        <f>_xlfn.XLOOKUP(Table4[[#This Row],[FromSite-UPS]],sites!D:D,sites!AB:AB,"",0)&amp;_xlfn.XLOOKUP(Table4[[#This Row],[ToLab]],labs!D:D,labs!Q:Q,"",0)</f>
        <v>EUEU</v>
      </c>
    </row>
    <row r="638" spans="2:32" ht="15.6" hidden="1" customHeight="1" x14ac:dyDescent="0.25">
      <c r="B638" s="13">
        <v>529</v>
      </c>
      <c r="C638" s="14" t="s">
        <v>53</v>
      </c>
      <c r="D638" s="13">
        <v>1</v>
      </c>
      <c r="E638" s="83">
        <v>45886</v>
      </c>
      <c r="F638" s="83"/>
      <c r="G638" s="20">
        <f>IFERROR(WEEKNUM(Table4[[#This Row],[Confirmed Pick-up Date]]),"TBD")</f>
        <v>0</v>
      </c>
      <c r="H638" s="20" t="str">
        <f>IFERROR(TEXT(Table4[[#This Row],[Confirmed Pick-up Date]],"yy-mm"),"TBD")</f>
        <v>00-01</v>
      </c>
      <c r="I638" s="78" t="s">
        <v>1187</v>
      </c>
      <c r="J638" s="20" t="str">
        <f>IFERROR(VLOOKUP(Table4[[#This Row],[FromSite-UPS]],Table1[[#All],[Company or Name]:[FromSite3]],15,FALSE),"")</f>
        <v>Aachen WWTP</v>
      </c>
      <c r="K638" s="20" t="str">
        <f>IFERROR(VLOOKUP(Table4[[#This Row],[FromSite-UPS]],Table1[[#All],[Company or Name]:[FromSite3]],16,FALSE),"")</f>
        <v>Aachen Hospital</v>
      </c>
      <c r="L638" s="20">
        <f>IFERROR(VLOOKUP(Table4[[#This Row],[FromSite-UPS]],Table1[[#All],[Company or Name]:[FromSite3]],14,FALSE),"")</f>
        <v>0.66666666666666663</v>
      </c>
      <c r="M638" s="13" t="s">
        <v>1011</v>
      </c>
      <c r="N638" s="20" t="s">
        <v>892</v>
      </c>
      <c r="O638" s="20" t="s">
        <v>1280</v>
      </c>
      <c r="P638" s="20"/>
      <c r="Q638" s="20"/>
      <c r="R638" s="20" t="s">
        <v>1281</v>
      </c>
      <c r="S638" s="20" t="s">
        <v>125</v>
      </c>
      <c r="T638" s="20" t="s">
        <v>856</v>
      </c>
      <c r="U638" s="20" t="s">
        <v>1896</v>
      </c>
      <c r="V638" s="20" t="s">
        <v>1265</v>
      </c>
      <c r="W638" s="20" t="str">
        <f>TEXT(Table4[[#This Row],[Confirmed Sampling Date]], "yyyy") &amp; "_" &amp; TEXT(Table4[[#This Row],[Confirmed Sampling Date]], "mm") &amp; "_" &amp; TEXT(Table4[[#This Row],[Confirmed Sampling Date]], "dd")</f>
        <v>2025_08_17</v>
      </c>
      <c r="X638" s="20" t="str">
        <f t="shared" si="9"/>
        <v>Aachen</v>
      </c>
      <c r="Y638" s="20" t="str">
        <f>VLOOKUP(Table4[[#This Row],[FromSite-UPS]],Table1[[Company or Name]:[NOTES]],2,FALSE)</f>
        <v>Germany</v>
      </c>
      <c r="Z638" s="20">
        <f>IFERROR(WEEKNUM(Table4[[#This Row],[Confirmed Sampling Date]] - 10, 21), "TBD")</f>
        <v>32</v>
      </c>
      <c r="AA638" s="20" t="str">
        <f>_xlfn.XLOOKUP(Table4[[#This Row],[FromSite-UPS]],sites!D:D,sites!W:W,"",0)</f>
        <v>Krefelder Str. 299, Aachen, 52070, Germany</v>
      </c>
      <c r="AB638" s="20" t="str">
        <f>_xlfn.XLOOKUP(Table4[[#This Row],[ToLab]],labs!D:D,labs!P:P,"no adres",0)</f>
        <v>Av. Rovisco Pais 1, Laboratorio de Analises de Agua, Lisbon, 1049-001, Portugal</v>
      </c>
      <c r="AC638" s="20">
        <f>_xlfn.XLOOKUP(Table4[[#This Row],[combi]],AREA!E:E,AREA!F:F,"",0)</f>
        <v>89</v>
      </c>
      <c r="AD638" s="20" t="str">
        <f>_xlfn.XLOOKUP(Table4[[#This Row],[combi]],AREA!E:E,AREA!G:G,"",0)</f>
        <v>Pick-up service of hypothetic package as defined in the Tech. Specs. and delivery to lots
2 and 3 contractors according to Scenario 1</v>
      </c>
      <c r="AE638" s="20" t="s">
        <v>126</v>
      </c>
      <c r="AF638" s="20" t="str">
        <f>_xlfn.XLOOKUP(Table4[[#This Row],[FromSite-UPS]],sites!D:D,sites!AB:AB,"",0)&amp;_xlfn.XLOOKUP(Table4[[#This Row],[ToLab]],labs!D:D,labs!Q:Q,"",0)</f>
        <v>EUEU</v>
      </c>
    </row>
    <row r="640" spans="2:32" ht="15.6" customHeight="1" x14ac:dyDescent="0.25">
      <c r="Q640" s="122"/>
    </row>
    <row r="641" spans="17:17" ht="15.6" customHeight="1" x14ac:dyDescent="0.25">
      <c r="Q641" s="44"/>
    </row>
    <row r="642" spans="17:17" ht="15.6" customHeight="1" x14ac:dyDescent="0.25">
      <c r="Q642" s="44"/>
    </row>
    <row r="643" spans="17:17" ht="15.6" customHeight="1" x14ac:dyDescent="0.25">
      <c r="Q643" s="44"/>
    </row>
    <row r="644" spans="17:17" ht="15.6" customHeight="1" x14ac:dyDescent="0.25">
      <c r="Q644" s="44"/>
    </row>
    <row r="645" spans="17:17" ht="15.6" customHeight="1" x14ac:dyDescent="0.25">
      <c r="Q645" s="44"/>
    </row>
    <row r="646" spans="17:17" ht="15.6" customHeight="1" x14ac:dyDescent="0.25">
      <c r="Q646" s="123"/>
    </row>
    <row r="647" spans="17:17" ht="15.6" customHeight="1" x14ac:dyDescent="0.25">
      <c r="Q647" s="44"/>
    </row>
    <row r="648" spans="17:17" ht="15.6" customHeight="1" x14ac:dyDescent="0.25">
      <c r="Q648" s="44"/>
    </row>
    <row r="649" spans="17:17" ht="15.6" customHeight="1" x14ac:dyDescent="0.25">
      <c r="Q649" s="44"/>
    </row>
    <row r="650" spans="17:17" ht="15.6" customHeight="1" x14ac:dyDescent="0.25">
      <c r="Q650" s="122"/>
    </row>
    <row r="651" spans="17:17" ht="15.6" customHeight="1" x14ac:dyDescent="0.25">
      <c r="Q651" s="122"/>
    </row>
    <row r="652" spans="17:17" ht="15.6" customHeight="1" x14ac:dyDescent="0.25">
      <c r="Q652" s="122"/>
    </row>
    <row r="1048511" spans="3:3" ht="15.6" customHeight="1" x14ac:dyDescent="0.25">
      <c r="C1048511" s="42"/>
    </row>
  </sheetData>
  <conditionalFormatting sqref="AF492:AF494 AF500:AF503 S5:S638 AE1:AE1048576">
    <cfRule type="cellIs" dxfId="173" priority="38" operator="equal">
      <formula>"YES"</formula>
    </cfRule>
    <cfRule type="cellIs" dxfId="172" priority="39" operator="equal">
      <formula>"NO"</formula>
    </cfRule>
  </conditionalFormatting>
  <conditionalFormatting sqref="V538:V545">
    <cfRule type="cellIs" dxfId="171" priority="7" operator="equal">
      <formula>"YES"</formula>
    </cfRule>
    <cfRule type="cellIs" dxfId="170" priority="8" operator="equal">
      <formula>"NO"</formula>
    </cfRule>
  </conditionalFormatting>
  <conditionalFormatting sqref="V546:V553">
    <cfRule type="cellIs" dxfId="169" priority="5" operator="equal">
      <formula>"YES"</formula>
    </cfRule>
    <cfRule type="cellIs" dxfId="168" priority="6" operator="equal">
      <formula>"NO"</formula>
    </cfRule>
  </conditionalFormatting>
  <conditionalFormatting sqref="V554:V561">
    <cfRule type="cellIs" dxfId="167" priority="3" operator="equal">
      <formula>"YES"</formula>
    </cfRule>
    <cfRule type="cellIs" dxfId="166" priority="4" operator="equal">
      <formula>"NO"</formula>
    </cfRule>
  </conditionalFormatting>
  <conditionalFormatting sqref="V562:V569">
    <cfRule type="cellIs" dxfId="165" priority="1" operator="equal">
      <formula>"YES"</formula>
    </cfRule>
    <cfRule type="cellIs" dxfId="164" priority="2" operator="equal">
      <formula>"NO"</formula>
    </cfRule>
  </conditionalFormatting>
  <dataValidations count="2">
    <dataValidation type="list" allowBlank="1" showInputMessage="1" showErrorMessage="1" sqref="C1048511:C1048576 C5:C638" xr:uid="{2F67CED1-A614-43D4-A11F-A5433809DE8B}">
      <formula1>"3rd-party-sample-UPS"</formula1>
    </dataValidation>
    <dataValidation type="list" allowBlank="1" showInputMessage="1" showErrorMessage="1" sqref="R563:R569 S5:S638" xr:uid="{EC9480AA-D207-40EF-A1FF-A07408240CCD}">
      <formula1>"YES,NO"</formula1>
    </dataValidation>
  </dataValidations>
  <hyperlinks>
    <hyperlink ref="Q25" r:id="rId1" tooltip="https://wwwapps.ups.com/pickup/processstatusrequest?ordernumber=29tja6ak52r&amp;loc=en_cz&amp;initiatingpage=" display="https://wwwapps.ups.com/pickup/processstatusrequest?ordernumber=29TJA6AK52R&amp;loc=en_CZ&amp;initiatingPage=" xr:uid="{B8EDA149-5A72-471C-9247-F46994E7A683}"/>
    <hyperlink ref="Q26" r:id="rId2" tooltip="https://wwwapps.ups.com/pickup/processstatusrequest?ordernumber=29tja6ak52r&amp;loc=en_cz&amp;initiatingpage=" display="https://wwwapps.ups.com/pickup/processstatusrequest?ordernumber=29TJA6AK52R&amp;loc=en_CZ&amp;initiatingPage=" xr:uid="{14239EDD-E557-4DE0-849B-2094A4299F8E}"/>
    <hyperlink ref="Q27" r:id="rId3" tooltip="https://wwwapps.ups.com/pickup/processstatusrequest?ordernumber=29tja6ak52r&amp;loc=en_cz&amp;initiatingpage=" display="https://wwwapps.ups.com/pickup/processstatusrequest?ordernumber=29TJA6AK52R&amp;loc=en_CZ&amp;initiatingPage=" xr:uid="{96799379-2E9E-4CA4-BAC5-3CED87F62C6C}"/>
    <hyperlink ref="Q28" r:id="rId4" tooltip="https://wwwapps.ups.com/pickup/processstatusrequest?ordernumber=29tja6ak52r&amp;loc=en_cz&amp;initiatingpage=" display="https://wwwapps.ups.com/pickup/processstatusrequest?ordernumber=29TJA6AK52R&amp;loc=en_CZ&amp;initiatingPage=" xr:uid="{EA7DBA99-FFD7-44AC-BD47-3F58454E22C4}"/>
    <hyperlink ref="Q16" r:id="rId5" display="https://wwwapps.ups.com/pickup/processstatusrequest?ordernumber=29XJAJA64J9&amp;loc=en_DE&amp;initiatingPage=" xr:uid="{3A2B13DF-DC35-49CF-98D4-A85BF2F8A627}"/>
    <hyperlink ref="Q18" r:id="rId6" display="https://wwwapps.ups.com/pickup/processstatusrequest?ordernumber=29SJA89BEGM&amp;loc=en_BE&amp;initiatingPage=" xr:uid="{BA6A4D4D-7E9F-4B9B-80AE-E51DC4EB92FD}"/>
    <hyperlink ref="Q19" r:id="rId7" display="https://wwwapps.ups.com/pickup/processstatusrequest?ordernumber=29SJA89BEGM&amp;loc=en_BE&amp;initiatingPage=" xr:uid="{4564AA22-D310-4A20-8BEB-72BA7D0C61BD}"/>
    <hyperlink ref="Q20" r:id="rId8" display="https://wwwapps.ups.com/pickup/processstatusrequest?ordernumber=29FJAD95759&amp;loc=en_DE&amp;initiatingPage=" xr:uid="{44C9434E-6C52-432B-A6DA-4F8731A8BCAD}"/>
    <hyperlink ref="Q22" r:id="rId9" display="https://wwwapps.ups.com/pickup/processstatusrequest?ordernumber=29FJAD95759&amp;loc=en_DE&amp;initiatingPage=" xr:uid="{3AAE1D86-5249-49C9-8D87-0F029F338AF9}"/>
    <hyperlink ref="Q21" r:id="rId10" display="https://wwwapps.ups.com/pickup/processstatusrequest?ordernumber=29K5G6AOG65&amp;loc=en_DE&amp;initiatingPage=" xr:uid="{FB0D3B26-684F-4945-BE3D-EEF702E0B4B0}"/>
    <hyperlink ref="Q15" r:id="rId11" display="https://wwwapps.ups.com/pickup/processstatusrequest?ordernumber=29WJC6B6SLN&amp;loc=en_IT&amp;initiatingPage=" xr:uid="{2B34E114-8BF0-4A9B-A665-D798E2FCBEA5}"/>
    <hyperlink ref="Q23" r:id="rId12" display="https://wwwapps.ups.com/pickup/processstatusrequest?ordernumber=29K5I8D1FE7&amp;loc=en_IT&amp;initiatingPage=" xr:uid="{32265CD9-CDF6-42B9-B46C-7BA500C3FFEF}"/>
    <hyperlink ref="Q24" r:id="rId13" display="https://wwwapps.ups.com/pickup/processstatusrequest?ordernumber=2945I6AFIOJ&amp;loc=en_IT&amp;initiatingPage=" xr:uid="{7F7558EE-9364-4F25-9B4D-B2DCC7B6205C}"/>
    <hyperlink ref="Q17" r:id="rId14" display="https://wwwapps.ups.com/pickup/processstatusrequest?ordernumber=29XJAJA64J9&amp;loc=en_DE&amp;initiatingPage=" xr:uid="{0FAF547A-9F3B-45DC-AAD2-858D20C96CA7}"/>
    <hyperlink ref="Q30" r:id="rId15" display="https://wwwapps.ups.com/pickup/processstatusrequest?ordernumber=29TJB711LF5&amp;loc=en_CY&amp;initiatingPage=" xr:uid="{A784916E-5F95-46D0-AB3B-DE836E3C9E01}"/>
    <hyperlink ref="Q29" r:id="rId16" display="https://wwwapps.ups.com/pickup/processstatusrequest?ordernumber=29TJB711LF5&amp;loc=en_CY&amp;initiatingPage=" xr:uid="{9B3E09B3-0866-4611-84ED-88A6CDB0DC0B}"/>
    <hyperlink ref="Q289" r:id="rId17" display="https://wwwapps.ups.com/pickup/processstatusrequest?ordernumber=29TNC2PDP6H&amp;loc=en_DE&amp;initiatingPage=" xr:uid="{297F165D-23CA-494D-8019-4F7FDD4EEF36}"/>
    <hyperlink ref="Q290" r:id="rId18" display="https://wwwapps.ups.com/pickup/processstatusrequest?ordernumber=29TNC2PDP6H&amp;loc=en_DE&amp;initiatingPage=" xr:uid="{3F0ADE71-E098-4143-A67C-260AB48FF04D}"/>
    <hyperlink ref="Q291" r:id="rId19" display="https://wwwapps.ups.com/pickup/processstatusrequest?ordernumber=29TNC2PDP6H&amp;loc=en_DE&amp;initiatingPage=" xr:uid="{5C362729-4BA9-4D8A-8166-BC92B7D44F0B}"/>
  </hyperlinks>
  <pageMargins left="0.7" right="0.7" top="0.75" bottom="0.75" header="0.3" footer="0.3"/>
  <pageSetup paperSize="9" orientation="portrait" r:id="rId20"/>
  <drawing r:id="rId21"/>
  <legacyDrawing r:id="rId22"/>
  <tableParts count="1">
    <tablePart r:id="rId23"/>
  </tableParts>
  <extLst>
    <ext xmlns:x14="http://schemas.microsoft.com/office/spreadsheetml/2009/9/main" uri="{CCE6A557-97BC-4b89-ADB6-D9C93CAAB3DF}">
      <x14:dataValidations xmlns:xm="http://schemas.microsoft.com/office/excel/2006/main" count="4">
        <x14:dataValidation type="list" allowBlank="1" showInputMessage="1" showErrorMessage="1" xr:uid="{5D045D46-C841-416B-AC08-D93181BC8B35}">
          <x14:formula1>
            <xm:f>labs!$D$3:$D$4</xm:f>
          </x14:formula1>
          <xm:sqref>L562:L568 L538:L552 L554:L560</xm:sqref>
        </x14:dataValidation>
        <x14:dataValidation type="list" allowBlank="1" showInputMessage="1" showErrorMessage="1" xr:uid="{4D38A2B0-4F71-4319-A99A-6576CEF8B95F}">
          <x14:formula1>
            <xm:f>labs!$D$3:$D$5</xm:f>
          </x14:formula1>
          <xm:sqref>L569 L553 L561 M5:M638</xm:sqref>
        </x14:dataValidation>
        <x14:dataValidation type="list" allowBlank="1" showInputMessage="1" showErrorMessage="1" xr:uid="{0E4B2276-766D-4A66-A701-47FCAAD53795}">
          <x14:formula1>
            <xm:f>sites!$D$3:$D$21</xm:f>
          </x14:formula1>
          <xm:sqref>I4</xm:sqref>
        </x14:dataValidation>
        <x14:dataValidation type="list" allowBlank="1" showInputMessage="1" showErrorMessage="1" xr:uid="{BFE7196C-DA63-4C9A-B591-1DB0EA78DF1B}">
          <x14:formula1>
            <xm:f>sites!$D$3:$D$25</xm:f>
          </x14:formula1>
          <xm:sqref>I5:I638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DD488-2DEB-425F-ACC4-13194ADDC856}">
  <sheetPr codeName="Sheet5">
    <tabColor theme="5"/>
  </sheetPr>
  <dimension ref="A2:AB29"/>
  <sheetViews>
    <sheetView showGridLines="0" topLeftCell="P1" zoomScale="85" zoomScaleNormal="85" workbookViewId="0">
      <selection activeCell="Y3" sqref="Y3"/>
    </sheetView>
  </sheetViews>
  <sheetFormatPr defaultColWidth="8.5703125" defaultRowHeight="15" x14ac:dyDescent="0.25"/>
  <cols>
    <col min="1" max="1" width="3.42578125" style="48" customWidth="1"/>
    <col min="2" max="2" width="5.42578125" style="48" bestFit="1" customWidth="1"/>
    <col min="3" max="3" width="42.5703125" style="48" bestFit="1" customWidth="1"/>
    <col min="4" max="4" width="53.5703125" style="48" customWidth="1"/>
    <col min="5" max="5" width="18.42578125" style="48" customWidth="1"/>
    <col min="6" max="6" width="42.5703125" style="48" customWidth="1"/>
    <col min="7" max="7" width="49.5703125" style="48" bestFit="1" customWidth="1"/>
    <col min="8" max="8" width="10.42578125" style="48" bestFit="1" customWidth="1"/>
    <col min="9" max="9" width="17.42578125" style="48" customWidth="1"/>
    <col min="10" max="10" width="17.42578125" style="48" bestFit="1" customWidth="1"/>
    <col min="11" max="11" width="17.42578125" style="49" customWidth="1"/>
    <col min="12" max="12" width="24.42578125" style="48" customWidth="1"/>
    <col min="13" max="13" width="9.42578125" style="48" bestFit="1" customWidth="1"/>
    <col min="14" max="14" width="15.5703125" style="48" bestFit="1" customWidth="1"/>
    <col min="15" max="15" width="82.5703125" style="48" bestFit="1" customWidth="1"/>
    <col min="16" max="17" width="36.42578125" style="49" customWidth="1"/>
    <col min="18" max="18" width="36.42578125" style="48" customWidth="1"/>
    <col min="19" max="22" width="23.42578125" style="48" customWidth="1"/>
    <col min="23" max="23" width="92.5703125" style="48" bestFit="1" customWidth="1"/>
    <col min="24" max="24" width="33.42578125" style="48" customWidth="1"/>
    <col min="25" max="25" width="60.5703125" style="48" customWidth="1"/>
    <col min="26" max="26" width="106.42578125" style="48" customWidth="1"/>
    <col min="27" max="27" width="17.42578125" style="48" customWidth="1"/>
    <col min="28" max="28" width="27.5703125" style="48" customWidth="1"/>
    <col min="29" max="16384" width="8.5703125" style="48"/>
  </cols>
  <sheetData>
    <row r="2" spans="1:28" ht="23.85" customHeight="1" x14ac:dyDescent="0.25">
      <c r="A2" s="91"/>
      <c r="B2" s="91" t="s">
        <v>26</v>
      </c>
      <c r="C2" s="91" t="s">
        <v>0</v>
      </c>
      <c r="D2" s="91" t="s">
        <v>1</v>
      </c>
      <c r="E2" s="91" t="s">
        <v>2</v>
      </c>
      <c r="F2" s="91" t="s">
        <v>3</v>
      </c>
      <c r="G2" s="91" t="s">
        <v>4</v>
      </c>
      <c r="H2" s="91" t="s">
        <v>5</v>
      </c>
      <c r="I2" s="91" t="s">
        <v>6</v>
      </c>
      <c r="J2" s="91" t="s">
        <v>7</v>
      </c>
      <c r="K2" s="91" t="s">
        <v>8</v>
      </c>
      <c r="L2" s="91" t="s">
        <v>9</v>
      </c>
      <c r="M2" s="91" t="s">
        <v>10</v>
      </c>
      <c r="N2" s="91" t="s">
        <v>11</v>
      </c>
      <c r="O2" s="91" t="s">
        <v>12</v>
      </c>
      <c r="P2" s="91" t="s">
        <v>66</v>
      </c>
      <c r="Q2" s="91" t="s">
        <v>67</v>
      </c>
      <c r="R2" s="92" t="s">
        <v>61</v>
      </c>
      <c r="S2" s="92" t="s">
        <v>56</v>
      </c>
      <c r="T2" s="92" t="s">
        <v>57</v>
      </c>
      <c r="U2" s="92" t="s">
        <v>721</v>
      </c>
      <c r="V2" s="92" t="s">
        <v>722</v>
      </c>
      <c r="W2" s="91" t="s">
        <v>74</v>
      </c>
      <c r="X2" s="91" t="s">
        <v>809</v>
      </c>
      <c r="Y2" s="91" t="s">
        <v>232</v>
      </c>
      <c r="Z2" s="48" t="s">
        <v>729</v>
      </c>
      <c r="AA2" s="91" t="s">
        <v>976</v>
      </c>
      <c r="AB2" s="91" t="s">
        <v>1023</v>
      </c>
    </row>
    <row r="3" spans="1:28" ht="28.35" customHeight="1" x14ac:dyDescent="0.25">
      <c r="B3" s="48" t="s">
        <v>27</v>
      </c>
      <c r="C3" s="48" t="s">
        <v>14</v>
      </c>
      <c r="D3" s="48" t="s">
        <v>13</v>
      </c>
      <c r="E3" s="48" t="s">
        <v>15</v>
      </c>
      <c r="F3" s="48" t="s">
        <v>634</v>
      </c>
      <c r="G3" s="48" t="s">
        <v>635</v>
      </c>
      <c r="I3" s="48" t="s">
        <v>636</v>
      </c>
      <c r="K3" s="49">
        <v>12529</v>
      </c>
      <c r="L3" s="50" t="s">
        <v>16</v>
      </c>
      <c r="O3" s="88" t="s">
        <v>17</v>
      </c>
      <c r="P3" s="47">
        <v>0.41666666666666669</v>
      </c>
      <c r="Q3" s="47">
        <v>0.58333333333333337</v>
      </c>
      <c r="R3" s="46" t="s">
        <v>363</v>
      </c>
      <c r="S3" s="48" t="s">
        <v>58</v>
      </c>
      <c r="T3" s="48" t="s">
        <v>127</v>
      </c>
      <c r="U3" s="48" t="s">
        <v>127</v>
      </c>
      <c r="V3" s="48" t="s">
        <v>127</v>
      </c>
      <c r="W3" s="48" t="str">
        <f>Table1[[#This Row],[Address 1]] &amp; IF(Table1[[#This Row],[Address 2]]&lt;&gt;"", ", " &amp; Table1[[#This Row],[Address 2]], "") &amp; ", " &amp; Table1[[#This Row],[City]] &amp; ", " &amp; Table1[[#This Row],[Postal Code]] &amp; ", " &amp; Table1[[#This Row],[Country]]</f>
        <v>Strasse am Klarwerk 4, Klarwerk Wassmannsdorf, Schoenefeld, 12529, Germany</v>
      </c>
      <c r="X3" s="48" t="s">
        <v>810</v>
      </c>
      <c r="Y3" s="48" t="s">
        <v>926</v>
      </c>
      <c r="Z3" s="48" t="s">
        <v>808</v>
      </c>
      <c r="AB3" s="48" t="s">
        <v>1024</v>
      </c>
    </row>
    <row r="4" spans="1:28" ht="28.35" customHeight="1" x14ac:dyDescent="0.25">
      <c r="B4" s="48" t="s">
        <v>28</v>
      </c>
      <c r="C4" s="48" t="s">
        <v>18</v>
      </c>
      <c r="D4" s="48" t="s">
        <v>19</v>
      </c>
      <c r="E4" s="48" t="s">
        <v>15</v>
      </c>
      <c r="F4" s="48" t="s">
        <v>676</v>
      </c>
      <c r="G4" s="48" t="s">
        <v>20</v>
      </c>
      <c r="I4" s="48" t="s">
        <v>21</v>
      </c>
      <c r="K4" s="49">
        <v>80802</v>
      </c>
      <c r="L4" s="51" t="s">
        <v>922</v>
      </c>
      <c r="O4" s="46" t="s">
        <v>923</v>
      </c>
      <c r="P4" s="47">
        <v>0.41666666666666669</v>
      </c>
      <c r="Q4" s="47">
        <v>0.58333333333333337</v>
      </c>
      <c r="R4" s="46" t="s">
        <v>62</v>
      </c>
      <c r="S4" s="48" t="s">
        <v>59</v>
      </c>
      <c r="T4" s="48" t="s">
        <v>127</v>
      </c>
      <c r="U4" s="48" t="s">
        <v>127</v>
      </c>
      <c r="V4" s="48" t="s">
        <v>127</v>
      </c>
      <c r="W4" s="48" t="str">
        <f>Table1[[#This Row],[Address 1]] &amp; IF(Table1[[#This Row],[Address 2]]&lt;&gt;"", ", " &amp; Table1[[#This Row],[Address 2]], "") &amp; ", " &amp; Table1[[#This Row],[City]] &amp; ", " &amp; Table1[[#This Row],[Postal Code]] &amp; ", " &amp; Table1[[#This Row],[Country]]</f>
        <v>Leopoldstrasse 5, Institut fuer Infektions- und Tropenmedizin, Munich, 80802, Germany</v>
      </c>
      <c r="Y4" s="6" t="s">
        <v>1533</v>
      </c>
      <c r="Z4" s="6" t="s">
        <v>950</v>
      </c>
      <c r="AB4" s="48" t="s">
        <v>1024</v>
      </c>
    </row>
    <row r="5" spans="1:28" ht="28.35" customHeight="1" x14ac:dyDescent="0.25">
      <c r="B5" s="48" t="s">
        <v>29</v>
      </c>
      <c r="C5" s="48" t="s">
        <v>22</v>
      </c>
      <c r="D5" s="48" t="s">
        <v>677</v>
      </c>
      <c r="E5" s="48" t="s">
        <v>15</v>
      </c>
      <c r="F5" s="48" t="s">
        <v>24</v>
      </c>
      <c r="G5" s="48" t="s">
        <v>25</v>
      </c>
      <c r="I5" s="48" t="s">
        <v>23</v>
      </c>
      <c r="K5" s="49">
        <v>60528</v>
      </c>
      <c r="L5" s="51" t="s">
        <v>1005</v>
      </c>
      <c r="O5" s="6" t="s">
        <v>1006</v>
      </c>
      <c r="P5" s="47">
        <v>0.41666666666666669</v>
      </c>
      <c r="Q5" s="47">
        <v>0.58333333333333337</v>
      </c>
      <c r="R5" s="48" t="s">
        <v>63</v>
      </c>
      <c r="S5" s="48" t="s">
        <v>60</v>
      </c>
      <c r="T5" s="48" t="s">
        <v>127</v>
      </c>
      <c r="U5" s="48" t="s">
        <v>127</v>
      </c>
      <c r="V5" s="48" t="s">
        <v>127</v>
      </c>
      <c r="W5" s="48" t="str">
        <f>Table1[[#This Row],[Address 1]] &amp; IF(Table1[[#This Row],[Address 2]]&lt;&gt;"", ", " &amp; Table1[[#This Row],[Address 2]], "") &amp; ", " &amp; Table1[[#This Row],[City]] &amp; ", " &amp; Table1[[#This Row],[Postal Code]] &amp; ", " &amp; Table1[[#This Row],[Country]]</f>
        <v>Goldsteinstraße 160, Gebäude 71 , Frankfurt am Main , 60528, Germany</v>
      </c>
      <c r="Y5" s="48" t="s">
        <v>1530</v>
      </c>
      <c r="AB5" s="48" t="s">
        <v>1024</v>
      </c>
    </row>
    <row r="6" spans="1:28" ht="28.35" customHeight="1" x14ac:dyDescent="0.25">
      <c r="B6" s="48" t="s">
        <v>30</v>
      </c>
      <c r="C6" s="48" t="s">
        <v>32</v>
      </c>
      <c r="D6" s="48" t="s">
        <v>33</v>
      </c>
      <c r="E6" s="48" t="s">
        <v>38</v>
      </c>
      <c r="F6" s="48" t="s">
        <v>34</v>
      </c>
      <c r="G6" s="48" t="s">
        <v>40</v>
      </c>
      <c r="I6" s="48" t="s">
        <v>35</v>
      </c>
      <c r="K6" s="49" t="s">
        <v>36</v>
      </c>
      <c r="L6" s="51" t="s">
        <v>37</v>
      </c>
      <c r="O6" s="88" t="s">
        <v>39</v>
      </c>
      <c r="P6" s="47">
        <v>0.5</v>
      </c>
      <c r="Q6" s="47">
        <v>0.58333333333333337</v>
      </c>
      <c r="R6" s="46" t="s">
        <v>104</v>
      </c>
      <c r="S6" s="48" t="s">
        <v>127</v>
      </c>
      <c r="T6" s="48" t="s">
        <v>127</v>
      </c>
      <c r="U6" s="48" t="s">
        <v>127</v>
      </c>
      <c r="V6" s="48" t="s">
        <v>127</v>
      </c>
      <c r="W6" s="48" t="str">
        <f>Table1[[#This Row],[Address 1]] &amp; IF(Table1[[#This Row],[Address 2]]&lt;&gt;"", ", " &amp; Table1[[#This Row],[Address 2]], "") &amp; ", " &amp; Table1[[#This Row],[City]] &amp; ", " &amp; Table1[[#This Row],[Postal Code]] &amp; ", " &amp; Table1[[#This Row],[Country]]</f>
        <v>1-3-3 Nakamichi, Higashinari-ku, Osaka, 537-0025, Japan</v>
      </c>
      <c r="Y6" s="48" t="s">
        <v>920</v>
      </c>
      <c r="AB6" s="48" t="s">
        <v>1030</v>
      </c>
    </row>
    <row r="7" spans="1:28" ht="28.35" customHeight="1" x14ac:dyDescent="0.25">
      <c r="B7" s="48" t="s">
        <v>31</v>
      </c>
      <c r="C7" s="48" t="s">
        <v>230</v>
      </c>
      <c r="D7" s="48" t="s">
        <v>364</v>
      </c>
      <c r="E7" s="48" t="s">
        <v>69</v>
      </c>
      <c r="F7" s="52" t="s">
        <v>229</v>
      </c>
      <c r="I7" s="48" t="s">
        <v>77</v>
      </c>
      <c r="K7" s="53">
        <v>1050</v>
      </c>
      <c r="L7" s="51" t="s">
        <v>228</v>
      </c>
      <c r="O7" s="48" t="s">
        <v>231</v>
      </c>
      <c r="P7" s="54">
        <v>0.625</v>
      </c>
      <c r="Q7" s="54">
        <v>0.70833333333333337</v>
      </c>
      <c r="R7" s="48" t="s">
        <v>64</v>
      </c>
      <c r="S7" s="48" t="s">
        <v>68</v>
      </c>
      <c r="T7" s="48" t="s">
        <v>127</v>
      </c>
      <c r="U7" s="48" t="s">
        <v>127</v>
      </c>
      <c r="V7" s="48" t="s">
        <v>127</v>
      </c>
      <c r="W7" s="48" t="str">
        <f>Table1[[#This Row],[Address 1]] &amp; IF(Table1[[#This Row],[Address 2]]&lt;&gt;"", ", " &amp; Table1[[#This Row],[Address 2]], "") &amp; ", " &amp; Table1[[#This Row],[City]] &amp; ", " &amp; Table1[[#This Row],[Postal Code]] &amp; ", " &amp; Table1[[#This Row],[Country]]</f>
        <v>Rue Juliette Wytsmanstraat 14, Brussels, 1050, Belgium</v>
      </c>
      <c r="X7" s="56" t="s">
        <v>810</v>
      </c>
      <c r="Y7" s="48" t="s">
        <v>233</v>
      </c>
      <c r="AB7" s="48" t="s">
        <v>1024</v>
      </c>
    </row>
    <row r="8" spans="1:28" ht="28.35" customHeight="1" x14ac:dyDescent="0.25">
      <c r="B8" s="48" t="s">
        <v>227</v>
      </c>
      <c r="C8" s="48" t="s">
        <v>663</v>
      </c>
      <c r="D8" s="48" t="s">
        <v>637</v>
      </c>
      <c r="E8" s="48" t="s">
        <v>99</v>
      </c>
      <c r="F8" s="52" t="s">
        <v>234</v>
      </c>
      <c r="I8" s="52" t="s">
        <v>99</v>
      </c>
      <c r="K8" s="53" t="s">
        <v>235</v>
      </c>
      <c r="L8" s="55" t="s">
        <v>638</v>
      </c>
      <c r="O8" s="48" t="s">
        <v>236</v>
      </c>
      <c r="P8" s="54">
        <v>0.58333333333333337</v>
      </c>
      <c r="Q8" s="54">
        <v>0.66666666666666663</v>
      </c>
      <c r="R8" s="48" t="s">
        <v>362</v>
      </c>
      <c r="S8" s="48" t="s">
        <v>361</v>
      </c>
      <c r="T8" s="48" t="s">
        <v>127</v>
      </c>
      <c r="U8" s="48" t="s">
        <v>127</v>
      </c>
      <c r="V8" s="48" t="s">
        <v>127</v>
      </c>
      <c r="W8" s="56" t="str">
        <f>Table1[[#This Row],[Address 1]] &amp; IF(Table1[[#This Row],[Address 2]]&lt;&gt;"", ", " &amp; Table1[[#This Row],[Address 2]], "") &amp; ", " &amp; Table1[[#This Row],[City]] &amp; ", " &amp; Table1[[#This Row],[Postal Code]] &amp; ", " &amp; Table1[[#This Row],[Country]]</f>
        <v>41 rue du Brill, Luxembourg, L-4422 , Luxembourg</v>
      </c>
      <c r="X8" s="56"/>
      <c r="Y8" s="48" t="s">
        <v>237</v>
      </c>
      <c r="AB8" s="48" t="s">
        <v>1024</v>
      </c>
    </row>
    <row r="9" spans="1:28" ht="28.35" customHeight="1" x14ac:dyDescent="0.25">
      <c r="B9" s="48" t="s">
        <v>41</v>
      </c>
      <c r="C9" s="52" t="s">
        <v>665</v>
      </c>
      <c r="D9" s="52" t="s">
        <v>680</v>
      </c>
      <c r="E9" s="48" t="s">
        <v>43</v>
      </c>
      <c r="F9" s="52" t="s">
        <v>645</v>
      </c>
      <c r="I9" s="52" t="s">
        <v>683</v>
      </c>
      <c r="K9" s="63" t="s">
        <v>649</v>
      </c>
      <c r="L9" s="51" t="s">
        <v>646</v>
      </c>
      <c r="O9" s="48" t="s">
        <v>647</v>
      </c>
      <c r="P9" s="54">
        <v>0.625</v>
      </c>
      <c r="Q9" s="54">
        <v>0.70833333333333337</v>
      </c>
      <c r="R9" s="48" t="s">
        <v>648</v>
      </c>
      <c r="S9" s="48" t="s">
        <v>127</v>
      </c>
      <c r="T9" s="48" t="s">
        <v>127</v>
      </c>
      <c r="U9" s="48" t="s">
        <v>127</v>
      </c>
      <c r="V9" s="48" t="s">
        <v>127</v>
      </c>
      <c r="W9" s="56" t="str">
        <f>Table1[[#This Row],[Address 1]] &amp; IF(Table1[[#This Row],[Address 2]]&lt;&gt;"", ", " &amp; Table1[[#This Row],[Address 2]], "") &amp; ", " &amp; Table1[[#This Row],[City]] &amp; ", " &amp; Table1[[#This Row],[Postal Code]] &amp; ", " &amp; Table1[[#This Row],[Country]]</f>
        <v>Via dell'Equitazione 10, Rome, 00144, Italy</v>
      </c>
      <c r="X9" s="56"/>
      <c r="Y9" s="48" t="s">
        <v>666</v>
      </c>
      <c r="AB9" s="48" t="s">
        <v>1024</v>
      </c>
    </row>
    <row r="10" spans="1:28" ht="28.35" customHeight="1" x14ac:dyDescent="0.25">
      <c r="B10" s="48" t="s">
        <v>678</v>
      </c>
      <c r="C10" s="48" t="s">
        <v>679</v>
      </c>
      <c r="D10" s="48" t="s">
        <v>771</v>
      </c>
      <c r="E10" s="48" t="s">
        <v>43</v>
      </c>
      <c r="F10" s="52" t="s">
        <v>681</v>
      </c>
      <c r="I10" s="52" t="s">
        <v>682</v>
      </c>
      <c r="J10" s="48" t="s">
        <v>683</v>
      </c>
      <c r="K10" s="57" t="s">
        <v>686</v>
      </c>
      <c r="L10" s="52" t="s">
        <v>685</v>
      </c>
      <c r="O10" s="88" t="s">
        <v>684</v>
      </c>
      <c r="P10" s="54">
        <v>0.625</v>
      </c>
      <c r="Q10" s="54">
        <v>0.70833333333333337</v>
      </c>
      <c r="R10" s="48" t="s">
        <v>776</v>
      </c>
      <c r="S10" s="48" t="s">
        <v>127</v>
      </c>
      <c r="T10" s="48" t="s">
        <v>127</v>
      </c>
      <c r="U10" s="48" t="s">
        <v>127</v>
      </c>
      <c r="V10" s="48" t="s">
        <v>127</v>
      </c>
      <c r="W10" s="56" t="str">
        <f>Table1[[#This Row],[Address 1]] &amp; IF(Table1[[#This Row],[Address 2]]&lt;&gt;"", ", " &amp; Table1[[#This Row],[Address 2]], "") &amp; ", " &amp; Table1[[#This Row],[City]] &amp; ", " &amp; Table1[[#This Row],[Postal Code]] &amp; ", " &amp; Table1[[#This Row],[Country]]</f>
        <v>VIA FRATELLI WRIGHT (DEPURATORE BIOLOGICO), FIUMICINO, 00054, Italy</v>
      </c>
      <c r="X10" s="56" t="s">
        <v>887</v>
      </c>
      <c r="Y10" s="48" t="s">
        <v>888</v>
      </c>
      <c r="AB10" s="48" t="s">
        <v>1024</v>
      </c>
    </row>
    <row r="11" spans="1:28" ht="28.35" customHeight="1" x14ac:dyDescent="0.25">
      <c r="B11" s="48" t="s">
        <v>709</v>
      </c>
      <c r="C11" s="48" t="s">
        <v>710</v>
      </c>
      <c r="D11" s="48" t="s">
        <v>877</v>
      </c>
      <c r="E11" s="52" t="s">
        <v>711</v>
      </c>
      <c r="F11" s="48" t="s">
        <v>715</v>
      </c>
      <c r="G11" s="48" t="s">
        <v>716</v>
      </c>
      <c r="I11" s="48" t="s">
        <v>714</v>
      </c>
      <c r="J11" s="48" t="s">
        <v>713</v>
      </c>
      <c r="K11" s="49" t="s">
        <v>712</v>
      </c>
      <c r="L11" s="51" t="s">
        <v>717</v>
      </c>
      <c r="O11" s="88" t="s">
        <v>718</v>
      </c>
      <c r="P11" s="54"/>
      <c r="Q11" s="54"/>
      <c r="R11" s="48" t="s">
        <v>731</v>
      </c>
      <c r="S11" s="48" t="s">
        <v>719</v>
      </c>
      <c r="T11" s="52" t="s">
        <v>720</v>
      </c>
      <c r="U11" s="52" t="s">
        <v>723</v>
      </c>
      <c r="V11" s="52" t="s">
        <v>724</v>
      </c>
      <c r="W11" s="56" t="str">
        <f>Table1[[#This Row],[Address 1]] &amp; IF(Table1[[#This Row],[Address 2]]&lt;&gt;"", ", " &amp; Table1[[#This Row],[Address 2]], "") &amp; ", " &amp; Table1[[#This Row],[City]] &amp; ", " &amp; Table1[[#This Row],[Postal Code]] &amp; ", " &amp; Table1[[#This Row],[Country]]</f>
        <v>Šrobárova 49/48, Státní zdravotní ústav, Praha, 100 00, Czech Republic</v>
      </c>
      <c r="X11" s="56"/>
      <c r="Z11" s="48" t="s">
        <v>727</v>
      </c>
      <c r="AA11" s="48" t="s">
        <v>879</v>
      </c>
      <c r="AB11" s="48" t="s">
        <v>1024</v>
      </c>
    </row>
    <row r="12" spans="1:28" ht="28.35" customHeight="1" x14ac:dyDescent="0.25">
      <c r="B12" s="48" t="s">
        <v>725</v>
      </c>
      <c r="C12" s="48" t="s">
        <v>726</v>
      </c>
      <c r="D12" s="48" t="s">
        <v>877</v>
      </c>
      <c r="E12" s="48" t="s">
        <v>711</v>
      </c>
      <c r="F12" s="48" t="s">
        <v>715</v>
      </c>
      <c r="G12" s="48" t="s">
        <v>716</v>
      </c>
      <c r="I12" s="48" t="s">
        <v>714</v>
      </c>
      <c r="J12" s="48" t="s">
        <v>713</v>
      </c>
      <c r="K12" s="49" t="s">
        <v>712</v>
      </c>
      <c r="L12" s="51" t="s">
        <v>844</v>
      </c>
      <c r="O12" s="52" t="s">
        <v>730</v>
      </c>
      <c r="P12" s="54">
        <v>0.625</v>
      </c>
      <c r="Q12" s="54">
        <v>0.70833333333333337</v>
      </c>
      <c r="R12" s="48" t="s">
        <v>731</v>
      </c>
      <c r="S12" s="48" t="s">
        <v>719</v>
      </c>
      <c r="T12" s="48" t="s">
        <v>720</v>
      </c>
      <c r="U12" s="48" t="s">
        <v>723</v>
      </c>
      <c r="V12" s="48" t="s">
        <v>724</v>
      </c>
      <c r="W12" s="48" t="str">
        <f>Table1[[#This Row],[Address 1]] &amp; IF(Table1[[#This Row],[Address 2]]&lt;&gt;"", ", " &amp; Table1[[#This Row],[Address 2]], "") &amp; ", " &amp; Table1[[#This Row],[City]] &amp; ", " &amp; Table1[[#This Row],[Postal Code]] &amp; ", " &amp; Table1[[#This Row],[Country]]</f>
        <v>Šrobárova 49/48, Státní zdravotní ústav, Praha, 100 00, Czech Republic</v>
      </c>
      <c r="Y12" s="48" t="s">
        <v>1103</v>
      </c>
      <c r="Z12" s="48" t="s">
        <v>728</v>
      </c>
      <c r="AA12" s="48" t="s">
        <v>878</v>
      </c>
      <c r="AB12" s="48" t="s">
        <v>1024</v>
      </c>
    </row>
    <row r="13" spans="1:28" ht="28.35" customHeight="1" x14ac:dyDescent="0.25">
      <c r="B13" s="48" t="s">
        <v>750</v>
      </c>
      <c r="C13" s="48" t="s">
        <v>751</v>
      </c>
      <c r="D13" s="48" t="s">
        <v>779</v>
      </c>
      <c r="E13" s="48" t="s">
        <v>752</v>
      </c>
      <c r="F13" s="48" t="s">
        <v>780</v>
      </c>
      <c r="G13" s="48" t="s">
        <v>781</v>
      </c>
      <c r="I13" s="48" t="s">
        <v>760</v>
      </c>
      <c r="K13" s="49">
        <v>6010</v>
      </c>
      <c r="L13" s="51" t="s">
        <v>754</v>
      </c>
      <c r="O13" s="88" t="s">
        <v>753</v>
      </c>
      <c r="P13" s="54">
        <v>0.41666666666666669</v>
      </c>
      <c r="Q13" s="54">
        <v>0.54166666666666663</v>
      </c>
      <c r="R13" s="48" t="s">
        <v>755</v>
      </c>
      <c r="S13" s="48" t="s">
        <v>756</v>
      </c>
      <c r="W13" s="56" t="str">
        <f>Table1[[#This Row],[Address 1]] &amp; IF(Table1[[#This Row],[Address 2]]&lt;&gt;"", ", " &amp; Table1[[#This Row],[Address 2]], "") &amp; ", " &amp; Table1[[#This Row],[City]] &amp; ", " &amp; Table1[[#This Row],[Postal Code]] &amp; ", " &amp; Table1[[#This Row],[Country]]</f>
        <v>Adamantiou Korai street 12, Larnaca District Local Government Organization offices, Larnaca, 6010, Cyprus</v>
      </c>
      <c r="X13" s="56" t="s">
        <v>887</v>
      </c>
      <c r="Y13" s="48" t="s">
        <v>890</v>
      </c>
      <c r="Z13" s="48" t="s">
        <v>782</v>
      </c>
      <c r="AB13" s="48" t="s">
        <v>1024</v>
      </c>
    </row>
    <row r="14" spans="1:28" ht="28.35" customHeight="1" x14ac:dyDescent="0.25">
      <c r="B14" s="48" t="s">
        <v>859</v>
      </c>
      <c r="C14" s="48" t="s">
        <v>860</v>
      </c>
      <c r="D14" s="48" t="s">
        <v>863</v>
      </c>
      <c r="E14" s="48" t="s">
        <v>15</v>
      </c>
      <c r="F14" s="48" t="s">
        <v>865</v>
      </c>
      <c r="G14" s="48" t="s">
        <v>864</v>
      </c>
      <c r="I14" s="48" t="s">
        <v>866</v>
      </c>
      <c r="K14" s="49">
        <v>40221</v>
      </c>
      <c r="L14" s="51" t="s">
        <v>862</v>
      </c>
      <c r="O14" s="48" t="s">
        <v>861</v>
      </c>
      <c r="P14" s="54">
        <v>0.41666666666666669</v>
      </c>
      <c r="Q14" s="54">
        <v>0.625</v>
      </c>
      <c r="R14" s="48" t="s">
        <v>867</v>
      </c>
      <c r="S14" s="48" t="s">
        <v>868</v>
      </c>
      <c r="W14" s="56" t="str">
        <f>Table1[[#This Row],[Address 1]] &amp; IF(Table1[[#This Row],[Address 2]]&lt;&gt;"", ", " &amp; Table1[[#This Row],[Address 2]], "") &amp; ", " &amp; Table1[[#This Row],[City]] &amp; ", " &amp; Table1[[#This Row],[Postal Code]] &amp; ", " &amp; Table1[[#This Row],[Country]]</f>
        <v>Auf dem Draap 15, Chemisch-Biologische Laboratorien, Dusseldorf, 40221, Germany</v>
      </c>
      <c r="X14" s="56"/>
      <c r="Y14" s="48" t="s">
        <v>1528</v>
      </c>
      <c r="Z14" s="48" t="s">
        <v>1528</v>
      </c>
      <c r="AB14" s="48" t="s">
        <v>1024</v>
      </c>
    </row>
    <row r="15" spans="1:28" ht="28.35" customHeight="1" x14ac:dyDescent="0.25">
      <c r="B15" s="48" t="s">
        <v>966</v>
      </c>
      <c r="C15" s="48" t="s">
        <v>967</v>
      </c>
      <c r="D15" s="48" t="s">
        <v>975</v>
      </c>
      <c r="E15" s="48" t="s">
        <v>968</v>
      </c>
      <c r="F15" s="48" t="s">
        <v>1016</v>
      </c>
      <c r="I15" s="48" t="s">
        <v>969</v>
      </c>
      <c r="K15" s="49">
        <v>10210</v>
      </c>
      <c r="L15" s="71" t="s">
        <v>977</v>
      </c>
      <c r="O15" s="88" t="s">
        <v>970</v>
      </c>
      <c r="P15" s="54">
        <v>0.54166666666666663</v>
      </c>
      <c r="Q15" s="54">
        <v>0.58333333333333337</v>
      </c>
      <c r="R15" s="48" t="s">
        <v>971</v>
      </c>
      <c r="S15" s="48" t="s">
        <v>972</v>
      </c>
      <c r="T15" s="48" t="s">
        <v>973</v>
      </c>
      <c r="W15" s="56" t="str">
        <f>Table1[[#This Row],[Address 1]] &amp; IF(Table1[[#This Row],[Address 2]]&lt;&gt;"", ", " &amp; Table1[[#This Row],[Address 2]], "") &amp; ", " &amp; Table1[[#This Row],[City]] &amp; ", " &amp; Table1[[#This Row],[Postal Code]] &amp; ", " &amp; Table1[[#This Row],[Country]]</f>
        <v>Zolyno 36 gatve, Vilnius, 10210, Lithuania</v>
      </c>
      <c r="X15" s="56"/>
      <c r="Y15" s="48" t="s">
        <v>1539</v>
      </c>
      <c r="Z15" s="48" t="s">
        <v>974</v>
      </c>
      <c r="AB15" s="48" t="s">
        <v>1024</v>
      </c>
    </row>
    <row r="16" spans="1:28" s="49" customFormat="1" ht="28.35" customHeight="1" x14ac:dyDescent="0.25">
      <c r="B16" s="49" t="s">
        <v>1084</v>
      </c>
      <c r="C16" s="49" t="s">
        <v>1085</v>
      </c>
      <c r="D16" s="49" t="s">
        <v>1628</v>
      </c>
      <c r="E16" s="49" t="s">
        <v>97</v>
      </c>
      <c r="F16" s="49" t="s">
        <v>1552</v>
      </c>
      <c r="I16" s="49" t="s">
        <v>1086</v>
      </c>
      <c r="J16" s="49" t="s">
        <v>1087</v>
      </c>
      <c r="K16" s="49" t="s">
        <v>1553</v>
      </c>
      <c r="L16" s="57" t="s">
        <v>1088</v>
      </c>
      <c r="O16" s="89" t="s">
        <v>1089</v>
      </c>
      <c r="P16" s="54">
        <v>0.625</v>
      </c>
      <c r="Q16" s="54">
        <v>0.70833333333333337</v>
      </c>
      <c r="R16" s="49" t="s">
        <v>1090</v>
      </c>
      <c r="S16" s="49" t="s">
        <v>1092</v>
      </c>
      <c r="T16" s="49" t="s">
        <v>1091</v>
      </c>
      <c r="W16" s="77" t="str">
        <f>Table1[[#This Row],[Address 1]] &amp; IF(Table1[[#This Row],[Address 2]]&lt;&gt;"", ", " &amp; Table1[[#This Row],[Address 2]], "") &amp; ", " &amp; Table1[[#This Row],[City]] &amp; ", " &amp; Table1[[#This Row],[Postal Code]] &amp; ", " &amp; Table1[[#This Row],[Country]]</f>
        <v>R. do Matadouro 4, Funchal, 9050-100, Portugal</v>
      </c>
      <c r="X16" s="77"/>
      <c r="Y16" s="49" t="s">
        <v>1554</v>
      </c>
      <c r="AB16" s="49" t="s">
        <v>1024</v>
      </c>
    </row>
    <row r="17" spans="2:28" ht="28.35" customHeight="1" x14ac:dyDescent="0.25">
      <c r="B17" s="48" t="s">
        <v>1113</v>
      </c>
      <c r="C17" s="48" t="s">
        <v>1120</v>
      </c>
      <c r="D17" s="48" t="s">
        <v>1114</v>
      </c>
      <c r="E17" s="48" t="s">
        <v>1115</v>
      </c>
      <c r="F17" s="48" t="s">
        <v>1116</v>
      </c>
      <c r="I17" s="48" t="s">
        <v>1117</v>
      </c>
      <c r="K17" s="49" t="s">
        <v>1118</v>
      </c>
      <c r="L17" s="51" t="s">
        <v>1137</v>
      </c>
      <c r="O17" s="90" t="s">
        <v>1119</v>
      </c>
      <c r="P17" s="54">
        <v>0.39583333333333331</v>
      </c>
      <c r="Q17" s="54">
        <v>0.58333333333333337</v>
      </c>
      <c r="R17" s="48" t="s">
        <v>1121</v>
      </c>
      <c r="S17" s="48" t="s">
        <v>127</v>
      </c>
      <c r="T17" s="48" t="s">
        <v>127</v>
      </c>
      <c r="U17" s="48" t="s">
        <v>127</v>
      </c>
      <c r="V17" s="48" t="s">
        <v>127</v>
      </c>
      <c r="W17" s="56" t="str">
        <f>Table1[[#This Row],[Address 1]] &amp; IF(Table1[[#This Row],[Address 2]]&lt;&gt;"", ", " &amp; Table1[[#This Row],[Address 2]], "") &amp; ", " &amp; Table1[[#This Row],[City]] &amp; ", " &amp; Table1[[#This Row],[Postal Code]] &amp; ", " &amp; Table1[[#This Row],[Country]]</f>
        <v>Gerda Nilssons väg 5, Uppsala, 756 51, Sweden</v>
      </c>
      <c r="X17" s="56"/>
      <c r="Y17" s="48" t="s">
        <v>1136</v>
      </c>
      <c r="AB17" s="48" t="s">
        <v>1024</v>
      </c>
    </row>
    <row r="18" spans="2:28" ht="28.35" customHeight="1" x14ac:dyDescent="0.25">
      <c r="B18" s="48" t="s">
        <v>1122</v>
      </c>
      <c r="C18" s="48" t="s">
        <v>1124</v>
      </c>
      <c r="D18" s="93" t="s">
        <v>1125</v>
      </c>
      <c r="E18" s="48" t="s">
        <v>1126</v>
      </c>
      <c r="F18" s="94" t="s">
        <v>1128</v>
      </c>
      <c r="I18" s="48" t="s">
        <v>1127</v>
      </c>
      <c r="K18" s="49">
        <v>400003</v>
      </c>
      <c r="L18" s="51" t="s">
        <v>1130</v>
      </c>
      <c r="O18" s="95" t="s">
        <v>1129</v>
      </c>
      <c r="P18" s="54">
        <v>0.58333333333333337</v>
      </c>
      <c r="Q18" s="54">
        <v>0.66666666666666663</v>
      </c>
      <c r="R18" s="48" t="s">
        <v>1151</v>
      </c>
      <c r="S18" s="48" t="s">
        <v>127</v>
      </c>
      <c r="T18" s="48" t="s">
        <v>127</v>
      </c>
      <c r="U18" s="48" t="s">
        <v>127</v>
      </c>
      <c r="V18" s="48" t="s">
        <v>127</v>
      </c>
      <c r="W18" s="56" t="str">
        <f>Table1[[#This Row],[Address 1]] &amp; IF(Table1[[#This Row],[Address 2]]&lt;&gt;"", ", " &amp; Table1[[#This Row],[Address 2]], "") &amp; ", " &amp; Table1[[#This Row],[City]] &amp; ", " &amp; Table1[[#This Row],[Postal Code]] &amp; ", " &amp; Table1[[#This Row],[Country]]</f>
        <v>Strada Iuliu Moldovan 23, Cluj-Napoca, 400003, Romania</v>
      </c>
      <c r="X18" s="56"/>
      <c r="Y18" s="48" t="s">
        <v>1524</v>
      </c>
      <c r="AB18" s="48" t="s">
        <v>1024</v>
      </c>
    </row>
    <row r="19" spans="2:28" ht="28.35" customHeight="1" x14ac:dyDescent="0.25">
      <c r="B19" s="48" t="s">
        <v>1123</v>
      </c>
      <c r="C19" s="48" t="s">
        <v>1131</v>
      </c>
      <c r="D19" s="93" t="s">
        <v>1132</v>
      </c>
      <c r="E19" s="48" t="s">
        <v>1126</v>
      </c>
      <c r="F19" s="48" t="s">
        <v>1134</v>
      </c>
      <c r="I19" s="48" t="s">
        <v>1127</v>
      </c>
      <c r="K19" s="49">
        <v>400139</v>
      </c>
      <c r="L19" s="51" t="s">
        <v>1135</v>
      </c>
      <c r="O19" s="88" t="s">
        <v>1133</v>
      </c>
      <c r="P19" s="54">
        <v>0.58333333333333337</v>
      </c>
      <c r="Q19" s="54">
        <v>0.66666666666666663</v>
      </c>
      <c r="R19" s="48" t="s">
        <v>1152</v>
      </c>
      <c r="S19" s="48" t="s">
        <v>127</v>
      </c>
      <c r="T19" s="48" t="s">
        <v>127</v>
      </c>
      <c r="U19" s="48" t="s">
        <v>127</v>
      </c>
      <c r="V19" s="48" t="s">
        <v>127</v>
      </c>
      <c r="W19" s="56" t="str">
        <f>Table1[[#This Row],[Address 1]] &amp; IF(Table1[[#This Row],[Address 2]]&lt;&gt;"", ", " &amp; Table1[[#This Row],[Address 2]], "") &amp; ", " &amp; Table1[[#This Row],[City]] &amp; ", " &amp; Table1[[#This Row],[Postal Code]] &amp; ", " &amp; Table1[[#This Row],[Country]]</f>
        <v>Strada Tăbăcarilor 11, Cluj-Napoca, 400139, Romania</v>
      </c>
      <c r="X19" s="56"/>
      <c r="Y19" s="48" t="s">
        <v>1526</v>
      </c>
      <c r="AB19" s="48" t="s">
        <v>1024</v>
      </c>
    </row>
    <row r="20" spans="2:28" ht="28.35" customHeight="1" x14ac:dyDescent="0.25">
      <c r="B20" s="48" t="s">
        <v>1185</v>
      </c>
      <c r="C20" s="48" t="s">
        <v>1186</v>
      </c>
      <c r="D20" s="48" t="s">
        <v>1187</v>
      </c>
      <c r="E20" s="48" t="s">
        <v>15</v>
      </c>
      <c r="F20" s="48" t="s">
        <v>1188</v>
      </c>
      <c r="I20" s="48" t="s">
        <v>1189</v>
      </c>
      <c r="K20" s="49">
        <v>52070</v>
      </c>
      <c r="L20" s="51" t="s">
        <v>1190</v>
      </c>
      <c r="O20" s="96" t="s">
        <v>1191</v>
      </c>
      <c r="P20" s="54">
        <v>0.3125</v>
      </c>
      <c r="Q20" s="54">
        <v>0.66666666666666663</v>
      </c>
      <c r="R20" s="48" t="s">
        <v>1192</v>
      </c>
      <c r="S20" s="48" t="s">
        <v>1193</v>
      </c>
      <c r="W20" s="56" t="str">
        <f>Table1[[#This Row],[Address 1]] &amp; IF(Table1[[#This Row],[Address 2]]&lt;&gt;"", ", " &amp; Table1[[#This Row],[Address 2]], "") &amp; ", " &amp; Table1[[#This Row],[City]] &amp; ", " &amp; Table1[[#This Row],[Postal Code]] &amp; ", " &amp; Table1[[#This Row],[Country]]</f>
        <v>Krefelder Str. 299, Aachen, 52070, Germany</v>
      </c>
      <c r="X20" s="56"/>
      <c r="Y20" s="48" t="s">
        <v>1520</v>
      </c>
      <c r="AB20" s="48" t="s">
        <v>1024</v>
      </c>
    </row>
    <row r="21" spans="2:28" ht="28.35" customHeight="1" x14ac:dyDescent="0.25">
      <c r="B21" s="48" t="s">
        <v>1290</v>
      </c>
      <c r="C21" s="48" t="s">
        <v>1291</v>
      </c>
      <c r="D21" s="48" t="s">
        <v>1292</v>
      </c>
      <c r="E21" s="48" t="s">
        <v>43</v>
      </c>
      <c r="F21" s="6" t="s">
        <v>1293</v>
      </c>
      <c r="I21" s="48" t="s">
        <v>1294</v>
      </c>
      <c r="K21" s="49">
        <v>40128</v>
      </c>
      <c r="L21" s="48" t="s">
        <v>1295</v>
      </c>
      <c r="O21" s="35" t="s">
        <v>1296</v>
      </c>
      <c r="P21" s="54">
        <v>0.58333333333333337</v>
      </c>
      <c r="Q21" s="54">
        <v>0.66666666666666663</v>
      </c>
      <c r="R21" s="48" t="s">
        <v>1297</v>
      </c>
      <c r="W21" s="56" t="str">
        <f>Table1[[#This Row],[Address 1]] &amp; IF(Table1[[#This Row],[Address 2]]&lt;&gt;"", ", " &amp; Table1[[#This Row],[Address 2]], "") &amp; ", " &amp; Table1[[#This Row],[City]] &amp; ", " &amp; Table1[[#This Row],[Postal Code]] &amp; ", " &amp; Table1[[#This Row],[Country]]</f>
        <v>VIA SHAKESPEARE 29, Bologna, 40128, Italy</v>
      </c>
      <c r="X21" s="56"/>
      <c r="Y21" s="48" t="s">
        <v>1522</v>
      </c>
      <c r="AB21" s="48" t="s">
        <v>1024</v>
      </c>
    </row>
    <row r="22" spans="2:28" ht="28.35" customHeight="1" x14ac:dyDescent="0.25">
      <c r="B22" s="48" t="s">
        <v>1587</v>
      </c>
      <c r="C22" s="48" t="s">
        <v>1589</v>
      </c>
      <c r="D22" s="48" t="s">
        <v>1590</v>
      </c>
      <c r="E22" s="48" t="s">
        <v>98</v>
      </c>
      <c r="F22" s="48" t="s">
        <v>1591</v>
      </c>
      <c r="G22" t="s">
        <v>1642</v>
      </c>
      <c r="I22" s="48" t="s">
        <v>1592</v>
      </c>
      <c r="K22" s="49" t="s">
        <v>1641</v>
      </c>
      <c r="L22" s="48" t="s">
        <v>1593</v>
      </c>
      <c r="O22" s="74" t="s">
        <v>1594</v>
      </c>
      <c r="P22" s="54">
        <v>0.58333333333333337</v>
      </c>
      <c r="Q22" s="54">
        <v>0.66666666666666663</v>
      </c>
      <c r="R22" s="48" t="s">
        <v>1595</v>
      </c>
      <c r="S22" s="48" t="s">
        <v>1597</v>
      </c>
      <c r="T22" s="48" t="s">
        <v>127</v>
      </c>
      <c r="U22" s="48" t="s">
        <v>127</v>
      </c>
      <c r="V22" s="48" t="s">
        <v>127</v>
      </c>
      <c r="W22" s="56" t="str">
        <f>Table1[[#This Row],[Address 1]] &amp; IF(Table1[[#This Row],[Address 2]]&lt;&gt;"", ", " &amp; Table1[[#This Row],[Address 2]], "") &amp; ", " &amp; Table1[[#This Row],[City]] &amp; ", " &amp; Table1[[#This Row],[Postal Code]] &amp; ", " &amp; Table1[[#This Row],[Country]]</f>
        <v>Zografou, 4ος όροφος, εργαστήριο αριθμός 8, Athens,  157 71, Greece</v>
      </c>
      <c r="X22" s="56" t="s">
        <v>887</v>
      </c>
      <c r="Y22" s="48" t="s">
        <v>1860</v>
      </c>
      <c r="AB22" s="48" t="s">
        <v>1024</v>
      </c>
    </row>
    <row r="23" spans="2:28" ht="28.35" customHeight="1" x14ac:dyDescent="0.25">
      <c r="B23" s="48" t="s">
        <v>1588</v>
      </c>
      <c r="C23" s="48" t="s">
        <v>1596</v>
      </c>
      <c r="D23" s="48" t="s">
        <v>1598</v>
      </c>
      <c r="E23" s="48" t="s">
        <v>98</v>
      </c>
      <c r="F23" s="48" t="s">
        <v>1632</v>
      </c>
      <c r="G23" s="110" t="s">
        <v>1633</v>
      </c>
      <c r="I23" t="s">
        <v>1630</v>
      </c>
      <c r="K23" t="s">
        <v>1631</v>
      </c>
      <c r="L23" s="51" t="s">
        <v>1599</v>
      </c>
      <c r="O23" s="109" t="s">
        <v>1600</v>
      </c>
      <c r="P23" s="54">
        <v>0.41666666666666669</v>
      </c>
      <c r="Q23" s="54">
        <v>0.5</v>
      </c>
      <c r="R23" s="48" t="s">
        <v>1601</v>
      </c>
      <c r="S23" s="48" t="s">
        <v>1602</v>
      </c>
      <c r="T23" s="48" t="s">
        <v>127</v>
      </c>
      <c r="U23" s="48" t="s">
        <v>127</v>
      </c>
      <c r="V23" s="48" t="s">
        <v>127</v>
      </c>
      <c r="W23" s="56" t="str">
        <f>Table1[[#This Row],[Address 1]] &amp; IF(Table1[[#This Row],[Address 2]]&lt;&gt;"", ", " &amp; Table1[[#This Row],[Address 2]], "") &amp; ", " &amp; Table1[[#This Row],[City]] &amp; ", " &amp; Table1[[#This Row],[Postal Code]] &amp; ", " &amp; Table1[[#This Row],[Country]]</f>
        <v>Andrea Kalokerinou 13, Pteryga 3D, Giofirakia, 715 00, Greece</v>
      </c>
      <c r="X23" s="56"/>
      <c r="Y23" s="48" t="s">
        <v>1863</v>
      </c>
      <c r="AB23" s="48" t="s">
        <v>1024</v>
      </c>
    </row>
    <row r="24" spans="2:28" ht="28.35" customHeight="1" x14ac:dyDescent="0.25">
      <c r="B24" s="48" t="s">
        <v>1737</v>
      </c>
      <c r="C24" s="48" t="s">
        <v>1812</v>
      </c>
      <c r="D24" s="48" t="s">
        <v>1813</v>
      </c>
      <c r="E24" s="48" t="s">
        <v>1738</v>
      </c>
      <c r="F24" s="48" t="s">
        <v>1814</v>
      </c>
      <c r="G24" s="48" t="s">
        <v>1739</v>
      </c>
      <c r="I24" s="48" t="s">
        <v>1740</v>
      </c>
      <c r="K24" s="49" t="s">
        <v>1741</v>
      </c>
      <c r="L24" s="51" t="s">
        <v>1742</v>
      </c>
      <c r="O24" s="35" t="s">
        <v>1743</v>
      </c>
      <c r="P24" s="54">
        <v>0.5</v>
      </c>
      <c r="Q24" s="54">
        <v>0.70833333333333337</v>
      </c>
      <c r="R24" s="48" t="s">
        <v>1744</v>
      </c>
      <c r="S24" s="48" t="s">
        <v>127</v>
      </c>
      <c r="T24" s="48" t="s">
        <v>127</v>
      </c>
      <c r="U24" s="48" t="s">
        <v>127</v>
      </c>
      <c r="V24" s="48" t="s">
        <v>127</v>
      </c>
      <c r="W24" s="56" t="str">
        <f>Table1[[#This Row],[Address 1]] &amp; IF(Table1[[#This Row],[Address 2]]&lt;&gt;"", ", " &amp; Table1[[#This Row],[Address 2]], "") &amp; ", " &amp; Table1[[#This Row],[City]] &amp; ", " &amp; Table1[[#This Row],[Postal Code]] &amp; ", " &amp; Table1[[#This Row],[Country]]</f>
        <v>Pilsonu iela 13, Zemgales priekšpilsēta, Rīga, LV-1002, Latvia</v>
      </c>
      <c r="X24" s="56"/>
      <c r="Y24" s="48" t="s">
        <v>1746</v>
      </c>
      <c r="Z24" s="48" t="s">
        <v>1745</v>
      </c>
      <c r="AB24" s="48" t="s">
        <v>1024</v>
      </c>
    </row>
    <row r="25" spans="2:28" ht="30" x14ac:dyDescent="0.25">
      <c r="B25" s="48" t="s">
        <v>1801</v>
      </c>
      <c r="C25" s="48" t="s">
        <v>1826</v>
      </c>
      <c r="D25" s="48" t="s">
        <v>1802</v>
      </c>
      <c r="E25" s="48" t="s">
        <v>1803</v>
      </c>
      <c r="F25" s="48" t="s">
        <v>1804</v>
      </c>
      <c r="I25" s="48" t="s">
        <v>1805</v>
      </c>
      <c r="K25" s="49">
        <v>1090</v>
      </c>
      <c r="L25" s="51" t="s">
        <v>1827</v>
      </c>
      <c r="O25" s="74" t="s">
        <v>1806</v>
      </c>
      <c r="P25" s="54">
        <v>0.375</v>
      </c>
      <c r="Q25" s="54">
        <v>0.5</v>
      </c>
      <c r="R25" s="48" t="s">
        <v>1807</v>
      </c>
      <c r="S25" s="48" t="s">
        <v>127</v>
      </c>
      <c r="T25" s="48" t="s">
        <v>127</v>
      </c>
      <c r="U25" s="48" t="s">
        <v>127</v>
      </c>
      <c r="V25" s="48" t="s">
        <v>127</v>
      </c>
      <c r="W25" s="56" t="str">
        <f>Table1[[#This Row],[Address 1]] &amp; IF(Table1[[#This Row],[Address 2]]&lt;&gt;"", ", " &amp; Table1[[#This Row],[Address 2]], "") &amp; ", " &amp; Table1[[#This Row],[City]] &amp; ", " &amp; Table1[[#This Row],[Postal Code]] &amp; ", " &amp; Table1[[#This Row],[Country]]</f>
        <v>Währinger Gürtel 18-20, Wien, 1090, Austria</v>
      </c>
      <c r="X25" s="56"/>
      <c r="Y25" s="48" t="s">
        <v>1865</v>
      </c>
      <c r="AB25" s="48" t="s">
        <v>1024</v>
      </c>
    </row>
    <row r="29" spans="2:28" x14ac:dyDescent="0.25">
      <c r="G29" s="111"/>
    </row>
  </sheetData>
  <phoneticPr fontId="3" type="noConversion"/>
  <hyperlinks>
    <hyperlink ref="O3" r:id="rId1" xr:uid="{1DF0B58B-1E62-41AF-9B63-1A52356F743D}"/>
    <hyperlink ref="O6" r:id="rId2" xr:uid="{C90F6036-57FD-4BA5-B800-98C3A8C6457B}"/>
    <hyperlink ref="O9" r:id="rId3" display="mailto:giuseppe.micciche@acespa.it;Alessandra.Mastrantonio@acespa.it" xr:uid="{2E2735A6-C0C2-4BA5-B255-46AB0131A0C3}"/>
    <hyperlink ref="O10" r:id="rId4" xr:uid="{CF4E110F-55FC-4B8E-9EFC-7810314BA1E1}"/>
    <hyperlink ref="O11" r:id="rId5" xr:uid="{62308462-4889-4BCB-AEC2-BE7B1BC65370}"/>
    <hyperlink ref="O13" r:id="rId6" xr:uid="{72E9DD79-4768-404E-AF53-963A652EB7B1}"/>
    <hyperlink ref="O15" r:id="rId7" xr:uid="{C6EFA532-B94A-4F07-ADEE-D9377031E81B}"/>
    <hyperlink ref="O16" r:id="rId8" display="mailto:andreia.pimenta@madeira.gov.pt" xr:uid="{0003344C-A99B-4F3F-8FB4-AFD0A6B933EE}"/>
    <hyperlink ref="O4" r:id="rId9" display="mailto:jasmin.javanmardi@med.uni-muenchen.de" xr:uid="{B4687C48-1C5C-4CEA-A0EC-126D2E0990F7}"/>
    <hyperlink ref="O17" r:id="rId10" display="https://eur05.safelinks.protection.outlook.com/?url=http%3A%2F%2Fjavier.vargas%3Ajavier.vargas%2540slu.se%3B%2520mailto%253Asarah.coker%40slu.se%2F&amp;data=05%7C02%7C%7C315608cd77af4d3e237e08ddcf452b8a%7Cc94e273229d641d689d908c9798a6601%7C0%7C0%7C638894618168167689%7CUnknown%7CTWFpbGZsb3d8eyJFbXB0eU1hcGkiOnRydWUsIlYiOiIwLjAuMDAwMCIsIlAiOiJXaW4zMiIsIkFOIjoiTWFpbCIsIldUIjoyfQ%3D%3D%7C0%7C%7C%7C&amp;sdata=f1RMN2U9XzQbIr989CZ4dBoHiZ2TVFHJpeDtJlXGQFQ%3D&amp;reserved=0" xr:uid="{24C864C0-09A1-4245-9F65-84AFDAC98323}"/>
    <hyperlink ref="O18" r:id="rId11" display="mailto:herbellucia@yahoo.com" xr:uid="{320C290B-DAD9-4792-90A0-31A61B6B9F74}"/>
    <hyperlink ref="O19" r:id="rId12" xr:uid="{C59C972C-5935-4F68-BA6C-5129F991CF70}"/>
    <hyperlink ref="O20" r:id="rId13" display="mailto:labor@isa.rwth-aachen.de" xr:uid="{ACCD028C-76F0-4B04-8766-C615AFC4A535}"/>
    <hyperlink ref="O21" r:id="rId14" xr:uid="{F14243A4-45F4-4854-81EC-3BE91B4B55EB}"/>
    <hyperlink ref="O22" r:id="rId15" display="mailto:akisgerok@chem.uoa.gr" xr:uid="{AC3C4F6C-1D79-4AE6-9DB0-5010F009B51C}"/>
    <hyperlink ref="O23" r:id="rId16" display="tsilipoukat@gmail.com " xr:uid="{4A5F9932-5E02-4982-A74E-D1E88551E458}"/>
    <hyperlink ref="O24" r:id="rId17" xr:uid="{0EF055AC-CC5A-4EF6-A917-0CC5DD455875}"/>
    <hyperlink ref="O25" r:id="rId18" display="mailto:oliver.kimberger@meduniwien.ac.at" xr:uid="{1D176667-92A6-4B9F-ACD0-DAC31F8CBA9A}"/>
  </hyperlinks>
  <pageMargins left="0.7" right="0.7" top="0.75" bottom="0.75" header="0.3" footer="0.3"/>
  <pageSetup paperSize="9" orientation="portrait" r:id="rId19"/>
  <tableParts count="1">
    <tablePart r:id="rId2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8E540-9EBA-4395-8797-D6F0EBC68F41}">
  <sheetPr codeName="Sheet6">
    <tabColor theme="6"/>
  </sheetPr>
  <dimension ref="A2:T5"/>
  <sheetViews>
    <sheetView showGridLines="0" topLeftCell="H1" zoomScale="130" zoomScaleNormal="130" workbookViewId="0">
      <selection activeCell="L4" sqref="L4"/>
    </sheetView>
  </sheetViews>
  <sheetFormatPr defaultColWidth="8.5703125" defaultRowHeight="15" x14ac:dyDescent="0.25"/>
  <cols>
    <col min="1" max="1" width="3.42578125" style="3" customWidth="1"/>
    <col min="2" max="2" width="10.5703125" style="3" customWidth="1"/>
    <col min="3" max="3" width="44.5703125" style="3" bestFit="1" customWidth="1"/>
    <col min="4" max="4" width="34.5703125" style="3" bestFit="1" customWidth="1"/>
    <col min="5" max="5" width="19.5703125" style="3" bestFit="1" customWidth="1"/>
    <col min="6" max="8" width="32.5703125" style="3" customWidth="1"/>
    <col min="9" max="9" width="17.42578125" style="3" customWidth="1"/>
    <col min="10" max="10" width="17.42578125" style="3" bestFit="1" customWidth="1"/>
    <col min="11" max="11" width="17.42578125" style="4" customWidth="1"/>
    <col min="12" max="12" width="17" style="3" bestFit="1" customWidth="1"/>
    <col min="13" max="13" width="5.5703125" style="3" bestFit="1" customWidth="1"/>
    <col min="14" max="14" width="15.5703125" style="3" bestFit="1" customWidth="1"/>
    <col min="15" max="15" width="36.42578125" style="3" bestFit="1" customWidth="1"/>
    <col min="16" max="16" width="69.42578125" style="3" bestFit="1" customWidth="1"/>
    <col min="17" max="17" width="8.5703125" style="3"/>
    <col min="18" max="18" width="30.42578125" style="3" bestFit="1" customWidth="1"/>
    <col min="19" max="19" width="9.42578125" style="3" bestFit="1" customWidth="1"/>
    <col min="20" max="20" width="19" style="3" bestFit="1" customWidth="1"/>
    <col min="21" max="16384" width="8.5703125" style="3"/>
  </cols>
  <sheetData>
    <row r="2" spans="1:20" x14ac:dyDescent="0.25">
      <c r="A2" s="1"/>
      <c r="B2" s="1" t="s">
        <v>26</v>
      </c>
      <c r="C2" s="1" t="s">
        <v>0</v>
      </c>
      <c r="D2" s="1" t="s">
        <v>1</v>
      </c>
      <c r="E2" s="1" t="s">
        <v>2</v>
      </c>
      <c r="F2" s="1" t="s">
        <v>3</v>
      </c>
      <c r="G2" s="1" t="s">
        <v>4</v>
      </c>
      <c r="H2" s="1" t="s">
        <v>5</v>
      </c>
      <c r="I2" s="1" t="s">
        <v>6</v>
      </c>
      <c r="J2" s="1" t="s">
        <v>7</v>
      </c>
      <c r="K2" s="1" t="s">
        <v>8</v>
      </c>
      <c r="L2" s="1" t="s">
        <v>9</v>
      </c>
      <c r="M2" s="1" t="s">
        <v>10</v>
      </c>
      <c r="N2" s="1" t="s">
        <v>11</v>
      </c>
      <c r="O2" s="1" t="s">
        <v>12</v>
      </c>
      <c r="P2" s="70" t="s">
        <v>74</v>
      </c>
      <c r="Q2" s="1" t="s">
        <v>1023</v>
      </c>
      <c r="R2" s="1" t="s">
        <v>809</v>
      </c>
      <c r="S2" s="1" t="s">
        <v>232</v>
      </c>
      <c r="T2" s="1" t="s">
        <v>729</v>
      </c>
    </row>
    <row r="3" spans="1:20" x14ac:dyDescent="0.25">
      <c r="B3" s="3" t="s">
        <v>783</v>
      </c>
      <c r="C3" s="3" t="s">
        <v>907</v>
      </c>
      <c r="D3" s="3" t="s">
        <v>42</v>
      </c>
      <c r="E3" s="3" t="s">
        <v>43</v>
      </c>
      <c r="F3" s="6" t="s">
        <v>44</v>
      </c>
      <c r="G3" s="3" t="s">
        <v>642</v>
      </c>
      <c r="I3" s="3" t="s">
        <v>45</v>
      </c>
      <c r="K3" s="4">
        <v>21027</v>
      </c>
      <c r="L3" s="5" t="s">
        <v>641</v>
      </c>
      <c r="O3" s="35" t="s">
        <v>46</v>
      </c>
      <c r="P3" s="3" t="str">
        <f>Table13[[#This Row],[Address 1]] &amp; IF(Table13[[#This Row],[Address 2]]&lt;&gt;"", ", " &amp; Table13[[#This Row],[Address 2]], "") &amp; ", " &amp; Table13[[#This Row],[City]] &amp; ", " &amp; Table13[[#This Row],[Postal Code]] &amp; ", " &amp; Table13[[#This Row],[Country]]</f>
        <v>Via E. Fermi 2749, T.P. 120, Directorate D Sustainable Resources, Ispra, 21027, Italy</v>
      </c>
      <c r="Q3" s="3" t="s">
        <v>1024</v>
      </c>
    </row>
    <row r="4" spans="1:20" x14ac:dyDescent="0.25">
      <c r="B4" s="3" t="s">
        <v>1008</v>
      </c>
      <c r="C4" s="3" t="s">
        <v>1009</v>
      </c>
      <c r="D4" s="82" t="s">
        <v>1011</v>
      </c>
      <c r="E4" s="3" t="s">
        <v>97</v>
      </c>
      <c r="F4" s="3" t="s">
        <v>1010</v>
      </c>
      <c r="G4" s="3" t="s">
        <v>1153</v>
      </c>
      <c r="I4" s="3" t="s">
        <v>1012</v>
      </c>
      <c r="K4" s="4" t="s">
        <v>1013</v>
      </c>
      <c r="L4" s="75" t="s">
        <v>1014</v>
      </c>
      <c r="O4" s="74" t="s">
        <v>1015</v>
      </c>
      <c r="P4" s="3" t="str">
        <f>Table13[[#This Row],[Address 1]] &amp; IF(Table13[[#This Row],[Address 2]]&lt;&gt;"", ", " &amp; Table13[[#This Row],[Address 2]], "") &amp; ", " &amp; Table13[[#This Row],[City]] &amp; ", " &amp; Table13[[#This Row],[Postal Code]] &amp; ", " &amp; Table13[[#This Row],[Country]]</f>
        <v>Av. Rovisco Pais 1, Laboratorio de Analises de Agua, Lisbon, 1049-001, Portugal</v>
      </c>
      <c r="Q4" s="3" t="s">
        <v>1024</v>
      </c>
    </row>
    <row r="5" spans="1:20" x14ac:dyDescent="0.25">
      <c r="B5" s="3" t="s">
        <v>1282</v>
      </c>
      <c r="C5" s="3" t="s">
        <v>1475</v>
      </c>
      <c r="D5" s="3" t="s">
        <v>1283</v>
      </c>
      <c r="E5" s="3" t="s">
        <v>96</v>
      </c>
      <c r="F5" s="3" t="s">
        <v>1299</v>
      </c>
      <c r="G5" s="3" t="s">
        <v>1302</v>
      </c>
      <c r="I5" s="3" t="s">
        <v>1300</v>
      </c>
      <c r="K5" s="87" t="s">
        <v>1298</v>
      </c>
      <c r="L5" s="3">
        <v>34965106070</v>
      </c>
      <c r="O5" s="74" t="s">
        <v>1301</v>
      </c>
      <c r="P5" s="86" t="str">
        <f>Table13[[#This Row],[Address 1]] &amp; IF(Table13[[#This Row],[Address 2]]&lt;&gt;"", ", " &amp; Table13[[#This Row],[Address 2]], "") &amp; ", " &amp; Table13[[#This Row],[City]] &amp; ", " &amp; Table13[[#This Row],[Postal Code]] &amp; ", " &amp; Table13[[#This Row],[Country]]</f>
        <v>C. del Dracma 16-18, Labaqua SAU - Sede Alicante, Alicante, 03114 , Spain</v>
      </c>
      <c r="Q5" s="3" t="s">
        <v>1024</v>
      </c>
    </row>
  </sheetData>
  <hyperlinks>
    <hyperlink ref="O3" r:id="rId1" xr:uid="{7336A984-8074-4622-9F81-3A04B26F1FFB}"/>
    <hyperlink ref="O4" r:id="rId2" display="mailto:ricardosantos@tecnico.ulisboa.pt" xr:uid="{0B6D02F4-3C71-47EB-9B10-D966DE36344C}"/>
    <hyperlink ref="O5" r:id="rId3" display="elena-maria.gil@labaqua.com /" xr:uid="{9C7E25CC-6290-4FC6-A8D8-200B6E1DBAB2}"/>
  </hyperlinks>
  <pageMargins left="0.7" right="0.7" top="0.75" bottom="0.75" header="0.3" footer="0.3"/>
  <pageSetup paperSize="9" orientation="portrait"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041E-1BE6-4CBE-BDF9-67A227ECD4E3}">
  <sheetPr codeName="Sheet7">
    <tabColor theme="8"/>
  </sheetPr>
  <dimension ref="B2:J23"/>
  <sheetViews>
    <sheetView showGridLines="0" topLeftCell="A19" zoomScale="133" zoomScaleNormal="175" workbookViewId="0">
      <selection activeCell="D23" sqref="D23"/>
    </sheetView>
  </sheetViews>
  <sheetFormatPr defaultRowHeight="14.1" customHeight="1" x14ac:dyDescent="0.25"/>
  <cols>
    <col min="1" max="1" width="5.5703125" customWidth="1"/>
    <col min="2" max="2" width="11.42578125" bestFit="1" customWidth="1"/>
    <col min="3" max="3" width="8.5703125" style="8"/>
    <col min="4" max="4" width="36.5703125" style="8" customWidth="1"/>
    <col min="5" max="7" width="8.5703125" style="8"/>
    <col min="8" max="8" width="6.42578125" customWidth="1"/>
    <col min="10" max="10" width="13.42578125" bestFit="1" customWidth="1"/>
  </cols>
  <sheetData>
    <row r="2" spans="2:10" ht="14.1" customHeight="1" x14ac:dyDescent="0.25">
      <c r="B2" s="31" t="s">
        <v>397</v>
      </c>
      <c r="C2" s="32" t="s">
        <v>88</v>
      </c>
      <c r="D2" s="32" t="s">
        <v>87</v>
      </c>
      <c r="E2" s="32" t="s">
        <v>86</v>
      </c>
      <c r="F2" s="32" t="s">
        <v>89</v>
      </c>
      <c r="G2" s="32" t="s">
        <v>90</v>
      </c>
    </row>
    <row r="3" spans="2:10" s="14" customFormat="1" ht="14.1" customHeight="1" x14ac:dyDescent="0.25">
      <c r="B3" s="38" t="s">
        <v>15</v>
      </c>
      <c r="C3" s="30" t="s">
        <v>366</v>
      </c>
      <c r="D3" s="30" t="s">
        <v>367</v>
      </c>
      <c r="E3" s="30"/>
      <c r="F3" s="30" t="s">
        <v>368</v>
      </c>
      <c r="G3" s="30" t="s">
        <v>369</v>
      </c>
      <c r="I3" s="14" t="s">
        <v>78</v>
      </c>
      <c r="J3" s="14" t="s">
        <v>79</v>
      </c>
    </row>
    <row r="4" spans="2:10" s="14" customFormat="1" ht="14.1" customHeight="1" x14ac:dyDescent="0.25">
      <c r="B4" s="38" t="s">
        <v>38</v>
      </c>
      <c r="C4" s="30" t="s">
        <v>370</v>
      </c>
      <c r="D4" s="30" t="s">
        <v>371</v>
      </c>
      <c r="E4" s="30"/>
      <c r="F4" s="30" t="s">
        <v>372</v>
      </c>
      <c r="G4" s="30" t="s">
        <v>373</v>
      </c>
      <c r="I4" s="14" t="s">
        <v>80</v>
      </c>
      <c r="J4" s="14" t="s">
        <v>82</v>
      </c>
    </row>
    <row r="5" spans="2:10" s="14" customFormat="1" ht="14.1" customHeight="1" x14ac:dyDescent="0.25">
      <c r="B5" s="38" t="s">
        <v>91</v>
      </c>
      <c r="C5" s="29" t="s">
        <v>374</v>
      </c>
      <c r="D5" s="30"/>
      <c r="E5" s="30"/>
      <c r="F5" s="29" t="s">
        <v>375</v>
      </c>
      <c r="G5" s="29" t="s">
        <v>376</v>
      </c>
      <c r="I5" s="14" t="s">
        <v>81</v>
      </c>
      <c r="J5" s="14" t="s">
        <v>83</v>
      </c>
    </row>
    <row r="6" spans="2:10" s="14" customFormat="1" ht="14.1" customHeight="1" x14ac:dyDescent="0.25">
      <c r="B6" s="38" t="s">
        <v>93</v>
      </c>
      <c r="C6" s="30" t="s">
        <v>377</v>
      </c>
      <c r="D6" s="30" t="s">
        <v>378</v>
      </c>
      <c r="E6" s="30"/>
      <c r="F6" s="30" t="s">
        <v>379</v>
      </c>
      <c r="G6" s="30" t="s">
        <v>380</v>
      </c>
      <c r="I6" s="14" t="s">
        <v>84</v>
      </c>
      <c r="J6" s="14" t="s">
        <v>85</v>
      </c>
    </row>
    <row r="7" spans="2:10" s="14" customFormat="1" ht="14.1" customHeight="1" x14ac:dyDescent="0.25">
      <c r="B7" s="38" t="s">
        <v>94</v>
      </c>
      <c r="C7" s="30" t="s">
        <v>377</v>
      </c>
      <c r="D7" s="30" t="s">
        <v>378</v>
      </c>
      <c r="E7" s="30"/>
      <c r="F7" s="30" t="s">
        <v>379</v>
      </c>
      <c r="G7" s="30" t="s">
        <v>380</v>
      </c>
    </row>
    <row r="8" spans="2:10" s="14" customFormat="1" ht="14.1" customHeight="1" x14ac:dyDescent="0.25">
      <c r="B8" s="38" t="s">
        <v>92</v>
      </c>
      <c r="C8" s="30" t="s">
        <v>377</v>
      </c>
      <c r="D8" s="30" t="s">
        <v>378</v>
      </c>
      <c r="E8" s="30"/>
      <c r="F8" s="30" t="s">
        <v>379</v>
      </c>
      <c r="G8" s="30" t="s">
        <v>380</v>
      </c>
      <c r="I8" s="14" t="s">
        <v>88</v>
      </c>
    </row>
    <row r="9" spans="2:10" s="14" customFormat="1" ht="14.1" customHeight="1" x14ac:dyDescent="0.25">
      <c r="B9" s="38" t="s">
        <v>95</v>
      </c>
      <c r="C9" s="29" t="s">
        <v>381</v>
      </c>
      <c r="D9" s="30" t="s">
        <v>382</v>
      </c>
      <c r="E9" s="30"/>
      <c r="F9" s="30" t="s">
        <v>383</v>
      </c>
      <c r="G9" s="30" t="s">
        <v>384</v>
      </c>
      <c r="I9" s="14" t="s">
        <v>87</v>
      </c>
    </row>
    <row r="10" spans="2:10" s="14" customFormat="1" ht="14.1" customHeight="1" x14ac:dyDescent="0.25">
      <c r="B10" s="38" t="s">
        <v>96</v>
      </c>
      <c r="C10" s="30" t="s">
        <v>385</v>
      </c>
      <c r="D10" s="30" t="s">
        <v>386</v>
      </c>
      <c r="E10" s="30"/>
      <c r="F10" s="30" t="s">
        <v>387</v>
      </c>
      <c r="G10" s="30" t="s">
        <v>388</v>
      </c>
      <c r="I10" s="14" t="s">
        <v>86</v>
      </c>
    </row>
    <row r="11" spans="2:10" s="14" customFormat="1" ht="14.1" customHeight="1" x14ac:dyDescent="0.25">
      <c r="B11" s="38" t="s">
        <v>97</v>
      </c>
      <c r="C11" s="30" t="s">
        <v>389</v>
      </c>
      <c r="D11" s="30" t="s">
        <v>390</v>
      </c>
      <c r="E11" s="30"/>
      <c r="F11" s="30" t="s">
        <v>391</v>
      </c>
      <c r="G11" s="30" t="s">
        <v>392</v>
      </c>
      <c r="I11" s="14" t="s">
        <v>89</v>
      </c>
    </row>
    <row r="12" spans="2:10" s="14" customFormat="1" ht="14.1" customHeight="1" x14ac:dyDescent="0.25">
      <c r="B12" s="38" t="s">
        <v>98</v>
      </c>
      <c r="C12" s="30" t="s">
        <v>393</v>
      </c>
      <c r="D12" s="30" t="s">
        <v>394</v>
      </c>
      <c r="E12" s="30"/>
      <c r="F12" s="30" t="s">
        <v>395</v>
      </c>
      <c r="G12" s="30" t="s">
        <v>396</v>
      </c>
      <c r="I12" s="14" t="s">
        <v>90</v>
      </c>
    </row>
    <row r="13" spans="2:10" s="14" customFormat="1" ht="14.1" customHeight="1" x14ac:dyDescent="0.25">
      <c r="B13" s="38" t="s">
        <v>69</v>
      </c>
      <c r="C13" s="30" t="s">
        <v>377</v>
      </c>
      <c r="D13" s="30" t="s">
        <v>378</v>
      </c>
      <c r="E13" s="30"/>
      <c r="F13" s="30" t="s">
        <v>379</v>
      </c>
      <c r="G13" s="30" t="s">
        <v>380</v>
      </c>
    </row>
    <row r="14" spans="2:10" s="14" customFormat="1" ht="14.1" customHeight="1" x14ac:dyDescent="0.25">
      <c r="B14" s="38" t="s">
        <v>43</v>
      </c>
      <c r="C14" s="30" t="s">
        <v>688</v>
      </c>
      <c r="D14" s="30" t="s">
        <v>687</v>
      </c>
      <c r="E14" s="30"/>
      <c r="F14" s="30" t="s">
        <v>689</v>
      </c>
      <c r="G14" s="30" t="s">
        <v>690</v>
      </c>
    </row>
    <row r="15" spans="2:10" ht="14.1" customHeight="1" x14ac:dyDescent="0.25">
      <c r="B15" s="38" t="s">
        <v>711</v>
      </c>
      <c r="C15" s="30" t="s">
        <v>736</v>
      </c>
      <c r="D15" s="30" t="s">
        <v>737</v>
      </c>
      <c r="E15" s="30"/>
      <c r="F15" s="30" t="s">
        <v>738</v>
      </c>
      <c r="G15" s="30" t="s">
        <v>739</v>
      </c>
    </row>
    <row r="16" spans="2:10" ht="14.1" customHeight="1" x14ac:dyDescent="0.25">
      <c r="B16" s="38" t="s">
        <v>99</v>
      </c>
      <c r="C16" s="29" t="s">
        <v>381</v>
      </c>
      <c r="D16" s="30" t="s">
        <v>382</v>
      </c>
      <c r="E16" s="30"/>
      <c r="F16" s="30" t="s">
        <v>383</v>
      </c>
      <c r="G16" s="30" t="s">
        <v>384</v>
      </c>
    </row>
    <row r="17" spans="2:7" ht="14.1" customHeight="1" x14ac:dyDescent="0.25">
      <c r="B17" s="38" t="s">
        <v>752</v>
      </c>
      <c r="C17" s="30" t="s">
        <v>763</v>
      </c>
      <c r="D17" s="30" t="s">
        <v>764</v>
      </c>
      <c r="E17" s="30"/>
      <c r="F17" s="30" t="s">
        <v>395</v>
      </c>
      <c r="G17" s="30" t="s">
        <v>765</v>
      </c>
    </row>
    <row r="18" spans="2:7" ht="14.1" customHeight="1" x14ac:dyDescent="0.25">
      <c r="B18" s="38" t="s">
        <v>968</v>
      </c>
      <c r="C18" s="29" t="s">
        <v>996</v>
      </c>
      <c r="D18" s="30" t="s">
        <v>999</v>
      </c>
      <c r="E18" s="30"/>
      <c r="F18" s="30" t="s">
        <v>997</v>
      </c>
      <c r="G18" s="30" t="s">
        <v>998</v>
      </c>
    </row>
    <row r="19" spans="2:7" ht="14.1" customHeight="1" x14ac:dyDescent="0.25">
      <c r="B19" s="38" t="s">
        <v>1126</v>
      </c>
      <c r="C19" s="30" t="s">
        <v>1177</v>
      </c>
      <c r="D19" s="30" t="s">
        <v>1178</v>
      </c>
      <c r="E19" s="30"/>
      <c r="F19" s="30" t="s">
        <v>1179</v>
      </c>
      <c r="G19" s="30" t="s">
        <v>1180</v>
      </c>
    </row>
    <row r="20" spans="2:7" ht="14.1" customHeight="1" x14ac:dyDescent="0.25">
      <c r="B20" s="38" t="s">
        <v>1115</v>
      </c>
      <c r="C20" s="30" t="s">
        <v>1181</v>
      </c>
      <c r="D20" s="30" t="s">
        <v>1182</v>
      </c>
      <c r="E20" s="30"/>
      <c r="F20" s="30" t="s">
        <v>1183</v>
      </c>
      <c r="G20" s="30" t="s">
        <v>1184</v>
      </c>
    </row>
    <row r="21" spans="2:7" ht="14.1" customHeight="1" x14ac:dyDescent="0.25">
      <c r="B21" s="38" t="s">
        <v>1738</v>
      </c>
      <c r="C21" s="30" t="s">
        <v>1798</v>
      </c>
      <c r="D21" s="30" t="s">
        <v>1799</v>
      </c>
      <c r="E21" s="30"/>
      <c r="F21" s="30" t="s">
        <v>997</v>
      </c>
      <c r="G21" s="30" t="s">
        <v>998</v>
      </c>
    </row>
    <row r="22" spans="2:7" ht="14.1" customHeight="1" x14ac:dyDescent="0.25">
      <c r="B22" s="38" t="s">
        <v>1803</v>
      </c>
      <c r="C22" s="30" t="s">
        <v>366</v>
      </c>
      <c r="D22" s="30" t="s">
        <v>367</v>
      </c>
      <c r="E22" s="30"/>
      <c r="F22" s="30" t="s">
        <v>368</v>
      </c>
      <c r="G22" s="30" t="s">
        <v>369</v>
      </c>
    </row>
    <row r="23" spans="2:7" ht="14.1" customHeight="1" x14ac:dyDescent="0.25">
      <c r="B23" s="38"/>
      <c r="C23" s="30"/>
      <c r="D23" s="72"/>
      <c r="E23" s="30"/>
      <c r="F23" s="30"/>
      <c r="G23" s="30"/>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74357-BD17-456F-B74B-441E42349645}">
  <sheetPr codeName="Sheet1">
    <tabColor theme="1"/>
  </sheetPr>
  <dimension ref="B2:G11"/>
  <sheetViews>
    <sheetView showGridLines="0" zoomScale="85" zoomScaleNormal="85" workbookViewId="0">
      <selection activeCell="C6" sqref="C6"/>
    </sheetView>
  </sheetViews>
  <sheetFormatPr defaultColWidth="8.5703125" defaultRowHeight="15" x14ac:dyDescent="0.25"/>
  <cols>
    <col min="1" max="1" width="8.5703125" style="14"/>
    <col min="2" max="2" width="9.42578125" style="13" customWidth="1"/>
    <col min="3" max="4" width="17.42578125" style="14" customWidth="1"/>
    <col min="5" max="5" width="26.5703125" style="14" bestFit="1" customWidth="1"/>
    <col min="6" max="6" width="16.42578125" style="14" customWidth="1"/>
    <col min="7" max="7" width="78.5703125" style="14" customWidth="1"/>
    <col min="8" max="16384" width="8.5703125" style="14"/>
  </cols>
  <sheetData>
    <row r="2" spans="2:7" x14ac:dyDescent="0.25">
      <c r="B2" s="76" t="s">
        <v>1026</v>
      </c>
      <c r="C2" s="23" t="s">
        <v>1027</v>
      </c>
      <c r="D2" s="23" t="s">
        <v>1028</v>
      </c>
      <c r="E2" s="23" t="s">
        <v>1041</v>
      </c>
      <c r="F2" s="23" t="s">
        <v>1039</v>
      </c>
      <c r="G2" s="14" t="s">
        <v>114</v>
      </c>
    </row>
    <row r="3" spans="2:7" ht="45" x14ac:dyDescent="0.25">
      <c r="B3" s="13">
        <v>1</v>
      </c>
      <c r="C3" s="14" t="s">
        <v>1024</v>
      </c>
      <c r="D3" s="14" t="s">
        <v>1024</v>
      </c>
      <c r="E3" s="14" t="str">
        <f>Table5[[#This Row],[from]]&amp;Table5[[#This Row],[to]]</f>
        <v>EUEU</v>
      </c>
      <c r="F3" s="13">
        <v>89</v>
      </c>
      <c r="G3" s="45" t="s">
        <v>1031</v>
      </c>
    </row>
    <row r="4" spans="2:7" ht="45" x14ac:dyDescent="0.25">
      <c r="B4" s="13">
        <v>2</v>
      </c>
      <c r="C4" s="14" t="s">
        <v>1024</v>
      </c>
      <c r="D4" s="14" t="s">
        <v>1029</v>
      </c>
      <c r="E4" s="14" t="str">
        <f>Table5[[#This Row],[from]]&amp;Table5[[#This Row],[to]]</f>
        <v>EUNon-EU Europe</v>
      </c>
      <c r="F4" s="13">
        <v>90</v>
      </c>
      <c r="G4" s="45" t="s">
        <v>1032</v>
      </c>
    </row>
    <row r="5" spans="2:7" ht="45" x14ac:dyDescent="0.25">
      <c r="B5" s="13">
        <v>3</v>
      </c>
      <c r="C5" s="14" t="s">
        <v>1029</v>
      </c>
      <c r="D5" s="14" t="s">
        <v>1024</v>
      </c>
      <c r="E5" s="14" t="str">
        <f>Table5[[#This Row],[from]]&amp;Table5[[#This Row],[to]]</f>
        <v>Non-EU EuropeEU</v>
      </c>
      <c r="F5" s="13">
        <v>91</v>
      </c>
      <c r="G5" s="45" t="s">
        <v>1033</v>
      </c>
    </row>
    <row r="6" spans="2:7" ht="45" x14ac:dyDescent="0.25">
      <c r="B6" s="13">
        <v>4</v>
      </c>
      <c r="C6" s="14" t="s">
        <v>1030</v>
      </c>
      <c r="D6" s="14" t="s">
        <v>1024</v>
      </c>
      <c r="E6" s="14" t="str">
        <f>Table5[[#This Row],[from]]&amp;Table5[[#This Row],[to]]</f>
        <v>Non-EuropeEU</v>
      </c>
      <c r="F6" s="13">
        <v>92</v>
      </c>
      <c r="G6" s="45" t="s">
        <v>1034</v>
      </c>
    </row>
    <row r="7" spans="2:7" ht="45" x14ac:dyDescent="0.25">
      <c r="B7" s="13">
        <v>5</v>
      </c>
      <c r="C7" s="14" t="s">
        <v>1030</v>
      </c>
      <c r="D7" s="14" t="s">
        <v>1030</v>
      </c>
      <c r="E7" s="14" t="str">
        <f>Table5[[#This Row],[from]]&amp;Table5[[#This Row],[to]]</f>
        <v>Non-EuropeNon-Europe</v>
      </c>
      <c r="F7" s="13">
        <v>93</v>
      </c>
      <c r="G7" s="45" t="s">
        <v>1038</v>
      </c>
    </row>
    <row r="8" spans="2:7" ht="45" x14ac:dyDescent="0.25">
      <c r="B8" s="13">
        <v>6</v>
      </c>
      <c r="C8" s="14" t="s">
        <v>1030</v>
      </c>
      <c r="D8" s="14" t="s">
        <v>1029</v>
      </c>
      <c r="E8" s="14" t="str">
        <f>Table5[[#This Row],[from]]&amp;Table5[[#This Row],[to]]</f>
        <v>Non-EuropeNon-EU Europe</v>
      </c>
      <c r="F8" s="13">
        <v>94</v>
      </c>
      <c r="G8" s="45" t="s">
        <v>1035</v>
      </c>
    </row>
    <row r="9" spans="2:7" ht="45" x14ac:dyDescent="0.25">
      <c r="B9" s="13">
        <v>7</v>
      </c>
      <c r="C9" s="14" t="s">
        <v>1029</v>
      </c>
      <c r="D9" s="14" t="s">
        <v>1030</v>
      </c>
      <c r="E9" s="14" t="str">
        <f>Table5[[#This Row],[from]]&amp;Table5[[#This Row],[to]]</f>
        <v>Non-EU EuropeNon-Europe</v>
      </c>
      <c r="F9" s="13">
        <v>95</v>
      </c>
      <c r="G9" s="45" t="s">
        <v>1036</v>
      </c>
    </row>
    <row r="10" spans="2:7" ht="45" x14ac:dyDescent="0.25">
      <c r="B10" s="13">
        <v>8</v>
      </c>
      <c r="C10" s="14" t="s">
        <v>1024</v>
      </c>
      <c r="D10" s="14" t="s">
        <v>1030</v>
      </c>
      <c r="E10" s="14" t="str">
        <f>Table5[[#This Row],[from]]&amp;Table5[[#This Row],[to]]</f>
        <v>EUNon-Europe</v>
      </c>
      <c r="F10" s="13">
        <v>96</v>
      </c>
      <c r="G10" s="45" t="s">
        <v>1037</v>
      </c>
    </row>
    <row r="11" spans="2:7" ht="45" x14ac:dyDescent="0.25">
      <c r="B11" s="13">
        <v>9</v>
      </c>
      <c r="C11" s="14" t="s">
        <v>1029</v>
      </c>
      <c r="D11" s="14" t="s">
        <v>1029</v>
      </c>
      <c r="E11" s="14" t="str">
        <f>Table5[[#This Row],[from]]&amp;Table5[[#This Row],[to]]</f>
        <v>Non-EU EuropeNon-EU Europe</v>
      </c>
      <c r="F11" s="13">
        <v>97</v>
      </c>
      <c r="G11" s="45" t="s">
        <v>1040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E1318-EC78-488B-8F09-1FC7D7944503}">
  <sheetPr codeName="Sheet10">
    <tabColor theme="8"/>
  </sheetPr>
  <dimension ref="B2:E5"/>
  <sheetViews>
    <sheetView showGridLines="0" topLeftCell="C1" zoomScale="120" zoomScaleNormal="120" workbookViewId="0">
      <selection activeCell="E6" sqref="E6"/>
    </sheetView>
  </sheetViews>
  <sheetFormatPr defaultRowHeight="15" x14ac:dyDescent="0.25"/>
  <cols>
    <col min="2" max="2" width="8.5703125" style="2"/>
    <col min="3" max="3" width="24.5703125" style="2" bestFit="1" customWidth="1"/>
    <col min="4" max="4" width="37.42578125" customWidth="1"/>
    <col min="5" max="5" width="90.5703125" bestFit="1" customWidth="1"/>
  </cols>
  <sheetData>
    <row r="2" spans="2:5" x14ac:dyDescent="0.25">
      <c r="B2" s="2" t="s">
        <v>1269</v>
      </c>
      <c r="C2" s="2" t="s">
        <v>1270</v>
      </c>
      <c r="D2" t="s">
        <v>1273</v>
      </c>
      <c r="E2" t="s">
        <v>1275</v>
      </c>
    </row>
    <row r="3" spans="2:5" x14ac:dyDescent="0.25">
      <c r="B3" s="2">
        <v>1</v>
      </c>
      <c r="C3" s="2" t="s">
        <v>1271</v>
      </c>
      <c r="D3" t="s">
        <v>1276</v>
      </c>
      <c r="E3" s="74" t="s">
        <v>1278</v>
      </c>
    </row>
    <row r="4" spans="2:5" x14ac:dyDescent="0.25">
      <c r="B4" s="2">
        <v>2</v>
      </c>
      <c r="C4" s="2" t="s">
        <v>1272</v>
      </c>
      <c r="D4" s="69" t="s">
        <v>1277</v>
      </c>
      <c r="E4" s="74" t="s">
        <v>1279</v>
      </c>
    </row>
    <row r="5" spans="2:5" x14ac:dyDescent="0.25">
      <c r="B5" s="2">
        <v>3</v>
      </c>
      <c r="C5" s="2" t="s">
        <v>1550</v>
      </c>
      <c r="D5" s="108" t="s">
        <v>1276</v>
      </c>
      <c r="E5" t="s">
        <v>1278</v>
      </c>
    </row>
  </sheetData>
  <hyperlinks>
    <hyperlink ref="E3" r:id="rId1" xr:uid="{E438498E-F3E3-412B-9D26-389F56EF9A74}"/>
    <hyperlink ref="E4" r:id="rId2" xr:uid="{4928ABD5-A5FD-4502-9910-673AC4E0C778}"/>
  </hyperlinks>
  <pageMargins left="0.7" right="0.7" top="0.75" bottom="0.75" header="0.3" footer="0.3"/>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FC712-3671-43DC-A857-9C6B4D06A179}">
  <sheetPr codeName="Sheet9">
    <tabColor rgb="FFFF0000"/>
  </sheetPr>
  <dimension ref="B2:H8"/>
  <sheetViews>
    <sheetView showGridLines="0" zoomScaleNormal="100" workbookViewId="0">
      <selection activeCell="E19" sqref="E19"/>
    </sheetView>
  </sheetViews>
  <sheetFormatPr defaultRowHeight="15" x14ac:dyDescent="0.25"/>
  <cols>
    <col min="1" max="1" width="3.42578125" customWidth="1"/>
    <col min="2" max="2" width="7.42578125" style="2" customWidth="1"/>
    <col min="3" max="4" width="20.5703125" customWidth="1"/>
    <col min="5" max="8" width="21" customWidth="1"/>
  </cols>
  <sheetData>
    <row r="2" spans="2:8" x14ac:dyDescent="0.25">
      <c r="B2" s="2" t="s">
        <v>784</v>
      </c>
      <c r="C2" t="s">
        <v>785</v>
      </c>
      <c r="D2" t="s">
        <v>786</v>
      </c>
      <c r="E2" t="s">
        <v>787</v>
      </c>
      <c r="F2" t="s">
        <v>788</v>
      </c>
      <c r="G2" t="s">
        <v>789</v>
      </c>
      <c r="H2" t="s">
        <v>790</v>
      </c>
    </row>
    <row r="3" spans="2:8" x14ac:dyDescent="0.25">
      <c r="B3" s="2">
        <v>98</v>
      </c>
      <c r="C3" t="s">
        <v>793</v>
      </c>
      <c r="D3" t="s">
        <v>794</v>
      </c>
      <c r="E3" t="s">
        <v>795</v>
      </c>
      <c r="F3" t="s">
        <v>796</v>
      </c>
      <c r="G3" t="s">
        <v>797</v>
      </c>
      <c r="H3" t="s">
        <v>798</v>
      </c>
    </row>
    <row r="4" spans="2:8" x14ac:dyDescent="0.25">
      <c r="B4" s="13">
        <v>62</v>
      </c>
      <c r="C4" t="s">
        <v>799</v>
      </c>
      <c r="D4" t="s">
        <v>45</v>
      </c>
      <c r="E4" t="s">
        <v>800</v>
      </c>
      <c r="F4" t="s">
        <v>801</v>
      </c>
      <c r="G4" t="s">
        <v>802</v>
      </c>
      <c r="H4" t="s">
        <v>803</v>
      </c>
    </row>
    <row r="5" spans="2:8" x14ac:dyDescent="0.25">
      <c r="B5" s="13">
        <v>125</v>
      </c>
      <c r="C5" t="s">
        <v>799</v>
      </c>
      <c r="D5" t="s">
        <v>45</v>
      </c>
      <c r="E5" t="s">
        <v>800</v>
      </c>
      <c r="F5" t="s">
        <v>801</v>
      </c>
      <c r="G5" t="s">
        <v>802</v>
      </c>
      <c r="H5" t="s">
        <v>803</v>
      </c>
    </row>
    <row r="6" spans="2:8" x14ac:dyDescent="0.25">
      <c r="B6" s="13">
        <v>133</v>
      </c>
      <c r="C6" t="s">
        <v>648</v>
      </c>
      <c r="D6" t="s">
        <v>45</v>
      </c>
      <c r="E6" t="s">
        <v>800</v>
      </c>
      <c r="F6" t="s">
        <v>805</v>
      </c>
      <c r="G6" t="s">
        <v>804</v>
      </c>
      <c r="H6" t="s">
        <v>806</v>
      </c>
    </row>
    <row r="7" spans="2:8" x14ac:dyDescent="0.25">
      <c r="B7" s="13">
        <v>8</v>
      </c>
      <c r="C7" s="60" t="s">
        <v>842</v>
      </c>
      <c r="D7" s="60" t="s">
        <v>45</v>
      </c>
      <c r="E7" s="60" t="s">
        <v>800</v>
      </c>
      <c r="F7" s="60" t="s">
        <v>801</v>
      </c>
      <c r="G7" s="60" t="s">
        <v>843</v>
      </c>
      <c r="H7" s="60" t="s">
        <v>803</v>
      </c>
    </row>
    <row r="8" spans="2:8" x14ac:dyDescent="0.25">
      <c r="B8" s="2">
        <v>71</v>
      </c>
      <c r="C8" t="s">
        <v>842</v>
      </c>
      <c r="D8" t="s">
        <v>45</v>
      </c>
      <c r="E8" t="s">
        <v>800</v>
      </c>
      <c r="F8" s="60" t="s">
        <v>801</v>
      </c>
      <c r="G8" s="60" t="s">
        <v>843</v>
      </c>
      <c r="H8" t="s">
        <v>803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96873-E768-4FF9-A90E-06D916711054}">
  <sheetPr codeName="Sheet11">
    <tabColor rgb="FFFFFF00"/>
  </sheetPr>
  <dimension ref="B2:AQ65"/>
  <sheetViews>
    <sheetView showGridLines="0" topLeftCell="C1" zoomScale="70" zoomScaleNormal="70" workbookViewId="0">
      <selection activeCell="I55" sqref="I55"/>
    </sheetView>
  </sheetViews>
  <sheetFormatPr defaultRowHeight="15" x14ac:dyDescent="0.25"/>
  <cols>
    <col min="2" max="2" width="57.42578125" bestFit="1" customWidth="1"/>
    <col min="3" max="3" width="7.85546875" style="8" bestFit="1" customWidth="1"/>
    <col min="4" max="4" width="7.42578125" style="8" bestFit="1" customWidth="1"/>
    <col min="5" max="7" width="7.85546875" style="8" bestFit="1" customWidth="1"/>
    <col min="8" max="8" width="6.5703125" style="8" bestFit="1" customWidth="1"/>
    <col min="9" max="11" width="6.5703125" bestFit="1" customWidth="1"/>
    <col min="12" max="12" width="20.5703125" bestFit="1" customWidth="1"/>
    <col min="13" max="13" width="14.42578125" bestFit="1" customWidth="1"/>
    <col min="14" max="14" width="20.5703125" bestFit="1" customWidth="1"/>
    <col min="15" max="17" width="5.5703125" bestFit="1" customWidth="1"/>
    <col min="18" max="18" width="57.42578125" bestFit="1" customWidth="1"/>
    <col min="19" max="19" width="11.42578125" style="8" bestFit="1" customWidth="1"/>
    <col min="20" max="20" width="11" bestFit="1" customWidth="1"/>
    <col min="21" max="23" width="11.42578125" bestFit="1" customWidth="1"/>
    <col min="24" max="28" width="5.5703125" bestFit="1" customWidth="1"/>
    <col min="29" max="32" width="6.5703125" bestFit="1" customWidth="1"/>
    <col min="33" max="33" width="57.42578125" bestFit="1" customWidth="1"/>
    <col min="34" max="43" width="8.42578125" style="8" customWidth="1"/>
    <col min="44" max="44" width="6.5703125" bestFit="1" customWidth="1"/>
    <col min="45" max="45" width="3.5703125" bestFit="1" customWidth="1"/>
    <col min="46" max="46" width="6.5703125" bestFit="1" customWidth="1"/>
    <col min="47" max="47" width="3.5703125" bestFit="1" customWidth="1"/>
    <col min="48" max="48" width="6.5703125" bestFit="1" customWidth="1"/>
    <col min="49" max="49" width="3.5703125" bestFit="1" customWidth="1"/>
    <col min="50" max="50" width="6.5703125" bestFit="1" customWidth="1"/>
    <col min="51" max="51" width="3.5703125" bestFit="1" customWidth="1"/>
    <col min="52" max="67" width="6.5703125" bestFit="1" customWidth="1"/>
    <col min="68" max="68" width="10.5703125" bestFit="1" customWidth="1"/>
  </cols>
  <sheetData>
    <row r="2" spans="2:43" x14ac:dyDescent="0.25">
      <c r="B2" s="105" t="s">
        <v>1512</v>
      </c>
      <c r="C2" s="103" t="s">
        <v>1513</v>
      </c>
      <c r="H2"/>
      <c r="R2" s="105" t="s">
        <v>1514</v>
      </c>
      <c r="S2" s="102" t="s">
        <v>1513</v>
      </c>
      <c r="AG2" s="106"/>
      <c r="AH2" s="103" t="s">
        <v>1513</v>
      </c>
    </row>
    <row r="3" spans="2:43" x14ac:dyDescent="0.25">
      <c r="B3" s="102" t="s">
        <v>1513</v>
      </c>
      <c r="C3" s="108" t="s">
        <v>1897</v>
      </c>
      <c r="D3" s="108" t="s">
        <v>1898</v>
      </c>
      <c r="E3" s="108" t="s">
        <v>1899</v>
      </c>
      <c r="F3" s="108" t="s">
        <v>1900</v>
      </c>
      <c r="G3" s="108" t="s">
        <v>1901</v>
      </c>
      <c r="H3"/>
      <c r="R3" s="102" t="s">
        <v>1513</v>
      </c>
      <c r="S3" s="117">
        <v>45950</v>
      </c>
      <c r="T3" s="117">
        <v>45951</v>
      </c>
      <c r="U3" s="117">
        <v>45952</v>
      </c>
      <c r="V3" s="117">
        <v>45953</v>
      </c>
      <c r="AG3" s="106"/>
      <c r="AH3" s="8" t="s">
        <v>1897</v>
      </c>
      <c r="AJ3" s="8" t="s">
        <v>1898</v>
      </c>
      <c r="AL3" s="8" t="s">
        <v>1899</v>
      </c>
      <c r="AN3" s="8" t="s">
        <v>1900</v>
      </c>
      <c r="AP3" s="8" t="s">
        <v>1901</v>
      </c>
    </row>
    <row r="4" spans="2:43" x14ac:dyDescent="0.25">
      <c r="B4" s="2" t="s">
        <v>13</v>
      </c>
      <c r="C4" s="104">
        <v>4</v>
      </c>
      <c r="D4" s="104"/>
      <c r="E4" s="104"/>
      <c r="F4" s="104"/>
      <c r="G4" s="104"/>
      <c r="H4"/>
      <c r="R4" s="2" t="s">
        <v>13</v>
      </c>
      <c r="S4" s="104">
        <v>4</v>
      </c>
      <c r="T4" s="104"/>
      <c r="U4" s="104"/>
      <c r="V4" s="104"/>
      <c r="AG4" s="107" t="s">
        <v>1513</v>
      </c>
      <c r="AH4" s="8" t="s">
        <v>1547</v>
      </c>
      <c r="AI4" s="8" t="s">
        <v>1548</v>
      </c>
      <c r="AJ4" s="8" t="s">
        <v>1547</v>
      </c>
      <c r="AK4" s="8" t="s">
        <v>1548</v>
      </c>
      <c r="AL4" s="8" t="s">
        <v>1547</v>
      </c>
      <c r="AM4" s="8" t="s">
        <v>1548</v>
      </c>
      <c r="AN4" s="8" t="s">
        <v>1547</v>
      </c>
      <c r="AO4" s="8" t="s">
        <v>1548</v>
      </c>
      <c r="AP4" s="8" t="s">
        <v>1547</v>
      </c>
      <c r="AQ4" s="8" t="s">
        <v>1548</v>
      </c>
    </row>
    <row r="5" spans="2:43" x14ac:dyDescent="0.25">
      <c r="B5" s="2" t="s">
        <v>771</v>
      </c>
      <c r="C5" s="104"/>
      <c r="D5" s="104"/>
      <c r="E5" s="104">
        <v>1</v>
      </c>
      <c r="F5" s="104"/>
      <c r="G5" s="104"/>
      <c r="H5"/>
      <c r="R5" s="2" t="s">
        <v>771</v>
      </c>
      <c r="S5" s="104"/>
      <c r="T5" s="104"/>
      <c r="U5" s="104">
        <v>1</v>
      </c>
      <c r="V5" s="104"/>
      <c r="AG5" s="2" t="s">
        <v>13</v>
      </c>
      <c r="AH5" s="104">
        <v>4</v>
      </c>
      <c r="AI5" s="104">
        <v>4</v>
      </c>
      <c r="AJ5" s="104"/>
      <c r="AK5" s="104"/>
      <c r="AL5" s="104"/>
      <c r="AM5" s="104"/>
      <c r="AN5" s="104"/>
      <c r="AO5" s="104"/>
      <c r="AP5" s="104"/>
      <c r="AQ5" s="104"/>
    </row>
    <row r="6" spans="2:43" x14ac:dyDescent="0.25">
      <c r="B6" s="2" t="s">
        <v>1292</v>
      </c>
      <c r="C6" s="104"/>
      <c r="D6" s="104">
        <v>1</v>
      </c>
      <c r="E6" s="104"/>
      <c r="F6" s="104"/>
      <c r="G6" s="104"/>
      <c r="H6"/>
      <c r="R6" s="2" t="s">
        <v>1292</v>
      </c>
      <c r="S6" s="104">
        <v>1</v>
      </c>
      <c r="T6" s="104"/>
      <c r="U6" s="104"/>
      <c r="V6" s="104"/>
      <c r="AG6" s="2" t="s">
        <v>771</v>
      </c>
      <c r="AH6" s="104"/>
      <c r="AI6" s="104"/>
      <c r="AJ6" s="104"/>
      <c r="AK6" s="104"/>
      <c r="AL6" s="104">
        <v>1</v>
      </c>
      <c r="AM6" s="104"/>
      <c r="AN6" s="104"/>
      <c r="AO6" s="104"/>
      <c r="AP6" s="104"/>
      <c r="AQ6" s="104"/>
    </row>
    <row r="7" spans="2:43" x14ac:dyDescent="0.25">
      <c r="B7" s="2" t="s">
        <v>779</v>
      </c>
      <c r="C7" s="104"/>
      <c r="D7" s="104"/>
      <c r="E7" s="104">
        <v>2</v>
      </c>
      <c r="F7" s="104"/>
      <c r="G7" s="104"/>
      <c r="H7"/>
      <c r="R7" s="2" t="s">
        <v>779</v>
      </c>
      <c r="S7" s="104"/>
      <c r="T7" s="104">
        <v>2</v>
      </c>
      <c r="U7" s="104"/>
      <c r="V7" s="104"/>
      <c r="AG7" s="2" t="s">
        <v>1292</v>
      </c>
      <c r="AH7" s="104"/>
      <c r="AI7" s="104"/>
      <c r="AJ7" s="104">
        <v>1</v>
      </c>
      <c r="AK7" s="104"/>
      <c r="AL7" s="104"/>
      <c r="AM7" s="104"/>
      <c r="AN7" s="104"/>
      <c r="AO7" s="104"/>
      <c r="AP7" s="104"/>
      <c r="AQ7" s="104"/>
    </row>
    <row r="8" spans="2:43" x14ac:dyDescent="0.25">
      <c r="B8" s="2" t="s">
        <v>637</v>
      </c>
      <c r="C8" s="104"/>
      <c r="D8" s="104"/>
      <c r="E8" s="104">
        <v>2</v>
      </c>
      <c r="F8" s="104"/>
      <c r="G8" s="104"/>
      <c r="H8"/>
      <c r="R8" s="2" t="s">
        <v>637</v>
      </c>
      <c r="S8" s="104"/>
      <c r="T8" s="104"/>
      <c r="U8" s="104"/>
      <c r="V8" s="104">
        <v>2</v>
      </c>
      <c r="AG8" s="2" t="s">
        <v>779</v>
      </c>
      <c r="AH8" s="104"/>
      <c r="AI8" s="104"/>
      <c r="AJ8" s="104"/>
      <c r="AK8" s="104"/>
      <c r="AL8" s="104">
        <v>2</v>
      </c>
      <c r="AM8" s="104"/>
      <c r="AN8" s="104"/>
      <c r="AO8" s="104"/>
      <c r="AP8" s="104"/>
      <c r="AQ8" s="104"/>
    </row>
    <row r="9" spans="2:43" x14ac:dyDescent="0.25">
      <c r="B9" s="2" t="s">
        <v>19</v>
      </c>
      <c r="C9" s="104"/>
      <c r="D9" s="104"/>
      <c r="E9" s="104">
        <v>2</v>
      </c>
      <c r="F9" s="104"/>
      <c r="G9" s="104"/>
      <c r="H9"/>
      <c r="R9" s="2" t="s">
        <v>19</v>
      </c>
      <c r="S9" s="104"/>
      <c r="T9" s="104">
        <v>2</v>
      </c>
      <c r="U9" s="104"/>
      <c r="V9" s="104"/>
      <c r="AG9" s="2" t="s">
        <v>637</v>
      </c>
      <c r="AH9" s="104"/>
      <c r="AI9" s="104"/>
      <c r="AJ9" s="104"/>
      <c r="AK9" s="104"/>
      <c r="AL9" s="104">
        <v>2</v>
      </c>
      <c r="AM9" s="104"/>
      <c r="AN9" s="104"/>
      <c r="AO9" s="104"/>
      <c r="AP9" s="104"/>
      <c r="AQ9" s="104"/>
    </row>
    <row r="10" spans="2:43" x14ac:dyDescent="0.25">
      <c r="B10" s="2" t="s">
        <v>877</v>
      </c>
      <c r="C10" s="104"/>
      <c r="D10" s="104"/>
      <c r="E10" s="104">
        <v>4</v>
      </c>
      <c r="F10" s="104"/>
      <c r="G10" s="104"/>
      <c r="H10"/>
      <c r="R10" s="2" t="s">
        <v>877</v>
      </c>
      <c r="S10" s="104"/>
      <c r="T10" s="104">
        <v>4</v>
      </c>
      <c r="U10" s="104"/>
      <c r="V10" s="104"/>
      <c r="AG10" s="2" t="s">
        <v>19</v>
      </c>
      <c r="AH10" s="104"/>
      <c r="AI10" s="104"/>
      <c r="AJ10" s="104"/>
      <c r="AK10" s="104"/>
      <c r="AL10" s="104">
        <v>2</v>
      </c>
      <c r="AM10" s="104"/>
      <c r="AN10" s="104"/>
      <c r="AO10" s="104"/>
      <c r="AP10" s="104"/>
      <c r="AQ10" s="104"/>
    </row>
    <row r="11" spans="2:43" x14ac:dyDescent="0.25">
      <c r="B11" s="2" t="s">
        <v>680</v>
      </c>
      <c r="C11" s="104"/>
      <c r="D11" s="104"/>
      <c r="E11" s="104">
        <v>1</v>
      </c>
      <c r="F11" s="104"/>
      <c r="G11" s="104"/>
      <c r="H11"/>
      <c r="R11" s="2" t="s">
        <v>680</v>
      </c>
      <c r="S11" s="104"/>
      <c r="T11" s="104"/>
      <c r="U11" s="104">
        <v>1</v>
      </c>
      <c r="V11" s="104"/>
      <c r="AG11" s="2" t="s">
        <v>877</v>
      </c>
      <c r="AH11" s="104"/>
      <c r="AI11" s="104"/>
      <c r="AJ11" s="104"/>
      <c r="AK11" s="104"/>
      <c r="AL11" s="104">
        <v>4</v>
      </c>
      <c r="AM11" s="104"/>
      <c r="AN11" s="104"/>
      <c r="AO11" s="104"/>
      <c r="AP11" s="104"/>
      <c r="AQ11" s="104"/>
    </row>
    <row r="12" spans="2:43" x14ac:dyDescent="0.25">
      <c r="B12" s="2" t="s">
        <v>364</v>
      </c>
      <c r="C12" s="104"/>
      <c r="D12" s="104">
        <v>2</v>
      </c>
      <c r="E12" s="104"/>
      <c r="F12" s="104"/>
      <c r="G12" s="104"/>
      <c r="H12"/>
      <c r="R12" s="2" t="s">
        <v>364</v>
      </c>
      <c r="S12" s="104">
        <v>2</v>
      </c>
      <c r="T12" s="104"/>
      <c r="U12" s="104"/>
      <c r="V12" s="104"/>
      <c r="AG12" s="2" t="s">
        <v>680</v>
      </c>
      <c r="AH12" s="104"/>
      <c r="AI12" s="104"/>
      <c r="AJ12" s="104"/>
      <c r="AK12" s="104"/>
      <c r="AL12" s="104">
        <v>1</v>
      </c>
      <c r="AM12" s="104"/>
      <c r="AN12" s="104"/>
      <c r="AO12" s="104"/>
      <c r="AP12" s="104"/>
      <c r="AQ12" s="104"/>
    </row>
    <row r="13" spans="2:43" x14ac:dyDescent="0.25">
      <c r="B13" s="2" t="s">
        <v>1114</v>
      </c>
      <c r="C13" s="104"/>
      <c r="D13" s="104"/>
      <c r="E13" s="104"/>
      <c r="F13" s="104">
        <v>1</v>
      </c>
      <c r="G13" s="104"/>
      <c r="H13"/>
      <c r="R13" s="2" t="s">
        <v>1114</v>
      </c>
      <c r="S13" s="104">
        <v>1</v>
      </c>
      <c r="T13" s="104"/>
      <c r="U13" s="104"/>
      <c r="V13" s="104"/>
      <c r="AG13" s="2" t="s">
        <v>364</v>
      </c>
      <c r="AH13" s="104"/>
      <c r="AI13" s="104"/>
      <c r="AJ13" s="104">
        <v>2</v>
      </c>
      <c r="AK13" s="104"/>
      <c r="AL13" s="104"/>
      <c r="AM13" s="104"/>
      <c r="AN13" s="104"/>
      <c r="AO13" s="104"/>
      <c r="AP13" s="104"/>
      <c r="AQ13" s="104"/>
    </row>
    <row r="14" spans="2:43" x14ac:dyDescent="0.25">
      <c r="B14" s="2" t="s">
        <v>1125</v>
      </c>
      <c r="C14" s="104"/>
      <c r="D14" s="104">
        <v>1</v>
      </c>
      <c r="E14" s="104"/>
      <c r="F14" s="104"/>
      <c r="G14" s="104"/>
      <c r="H14"/>
      <c r="R14" s="2" t="s">
        <v>1125</v>
      </c>
      <c r="S14" s="104"/>
      <c r="T14" s="104">
        <v>1</v>
      </c>
      <c r="U14" s="104"/>
      <c r="V14" s="104"/>
      <c r="AG14" s="2" t="s">
        <v>1114</v>
      </c>
      <c r="AH14" s="104"/>
      <c r="AI14" s="104"/>
      <c r="AJ14" s="104"/>
      <c r="AK14" s="104"/>
      <c r="AL14" s="104"/>
      <c r="AM14" s="104"/>
      <c r="AN14" s="104">
        <v>1</v>
      </c>
      <c r="AO14" s="104"/>
      <c r="AP14" s="104"/>
      <c r="AQ14" s="104"/>
    </row>
    <row r="15" spans="2:43" x14ac:dyDescent="0.25">
      <c r="B15" s="2" t="s">
        <v>1132</v>
      </c>
      <c r="C15" s="104"/>
      <c r="D15" s="104">
        <v>1</v>
      </c>
      <c r="E15" s="104"/>
      <c r="F15" s="104"/>
      <c r="G15" s="104"/>
      <c r="H15"/>
      <c r="R15" s="2" t="s">
        <v>1132</v>
      </c>
      <c r="S15" s="104"/>
      <c r="T15" s="104">
        <v>1</v>
      </c>
      <c r="U15" s="104"/>
      <c r="V15" s="104"/>
      <c r="AG15" s="2" t="s">
        <v>1125</v>
      </c>
      <c r="AH15" s="104"/>
      <c r="AI15" s="104"/>
      <c r="AJ15" s="104">
        <v>1</v>
      </c>
      <c r="AK15" s="104"/>
      <c r="AL15" s="104"/>
      <c r="AM15" s="104"/>
      <c r="AN15" s="104"/>
      <c r="AO15" s="104"/>
      <c r="AP15" s="104"/>
      <c r="AQ15" s="104"/>
    </row>
    <row r="16" spans="2:43" x14ac:dyDescent="0.25">
      <c r="B16" s="2" t="s">
        <v>863</v>
      </c>
      <c r="C16" s="104"/>
      <c r="D16" s="104">
        <v>2</v>
      </c>
      <c r="E16" s="104"/>
      <c r="F16" s="104"/>
      <c r="G16" s="104"/>
      <c r="H16"/>
      <c r="R16" s="2" t="s">
        <v>863</v>
      </c>
      <c r="S16" s="104"/>
      <c r="T16" s="104">
        <v>2</v>
      </c>
      <c r="U16" s="104"/>
      <c r="V16" s="104"/>
      <c r="AG16" s="2" t="s">
        <v>1132</v>
      </c>
      <c r="AH16" s="104"/>
      <c r="AI16" s="104"/>
      <c r="AJ16" s="104">
        <v>1</v>
      </c>
      <c r="AK16" s="104"/>
      <c r="AL16" s="104"/>
      <c r="AM16" s="104"/>
      <c r="AN16" s="104"/>
      <c r="AO16" s="104"/>
      <c r="AP16" s="104"/>
      <c r="AQ16" s="104"/>
    </row>
    <row r="17" spans="2:43" x14ac:dyDescent="0.25">
      <c r="B17" s="2" t="s">
        <v>677</v>
      </c>
      <c r="C17" s="104"/>
      <c r="D17" s="104"/>
      <c r="E17" s="104">
        <v>1</v>
      </c>
      <c r="F17" s="104"/>
      <c r="G17" s="104"/>
      <c r="H17"/>
      <c r="R17" s="2" t="s">
        <v>677</v>
      </c>
      <c r="S17" s="104"/>
      <c r="T17" s="104">
        <v>1</v>
      </c>
      <c r="U17" s="104"/>
      <c r="V17" s="104"/>
      <c r="AG17" s="2" t="s">
        <v>863</v>
      </c>
      <c r="AH17" s="104"/>
      <c r="AI17" s="104"/>
      <c r="AJ17" s="104">
        <v>2</v>
      </c>
      <c r="AK17" s="104"/>
      <c r="AL17" s="104"/>
      <c r="AM17" s="104"/>
      <c r="AN17" s="104"/>
      <c r="AO17" s="104"/>
      <c r="AP17" s="104"/>
      <c r="AQ17" s="104"/>
    </row>
    <row r="18" spans="2:43" x14ac:dyDescent="0.25">
      <c r="B18" s="2" t="s">
        <v>1187</v>
      </c>
      <c r="C18" s="104"/>
      <c r="D18" s="104"/>
      <c r="E18" s="104">
        <v>2</v>
      </c>
      <c r="F18" s="104"/>
      <c r="G18" s="104"/>
      <c r="H18"/>
      <c r="R18" s="2" t="s">
        <v>1187</v>
      </c>
      <c r="S18" s="104">
        <v>2</v>
      </c>
      <c r="T18" s="104"/>
      <c r="U18" s="104"/>
      <c r="V18" s="104"/>
      <c r="AG18" s="2" t="s">
        <v>677</v>
      </c>
      <c r="AH18" s="104"/>
      <c r="AI18" s="104"/>
      <c r="AJ18" s="104"/>
      <c r="AK18" s="104"/>
      <c r="AL18" s="104">
        <v>1</v>
      </c>
      <c r="AM18" s="104"/>
      <c r="AN18" s="104"/>
      <c r="AO18" s="104"/>
      <c r="AP18" s="104"/>
      <c r="AQ18" s="104"/>
    </row>
    <row r="19" spans="2:43" x14ac:dyDescent="0.25">
      <c r="B19" s="2" t="s">
        <v>975</v>
      </c>
      <c r="C19" s="104"/>
      <c r="D19" s="104"/>
      <c r="E19" s="104">
        <v>2</v>
      </c>
      <c r="F19" s="104">
        <v>1</v>
      </c>
      <c r="G19" s="104"/>
      <c r="H19"/>
      <c r="R19" s="2" t="s">
        <v>975</v>
      </c>
      <c r="S19" s="104"/>
      <c r="T19" s="104">
        <v>3</v>
      </c>
      <c r="U19" s="104"/>
      <c r="V19" s="104"/>
      <c r="AG19" s="2" t="s">
        <v>1187</v>
      </c>
      <c r="AH19" s="104"/>
      <c r="AI19" s="104"/>
      <c r="AJ19" s="104"/>
      <c r="AK19" s="104"/>
      <c r="AL19" s="104">
        <v>2</v>
      </c>
      <c r="AM19" s="104"/>
      <c r="AN19" s="104"/>
      <c r="AO19" s="104"/>
      <c r="AP19" s="104"/>
      <c r="AQ19" s="104"/>
    </row>
    <row r="20" spans="2:43" x14ac:dyDescent="0.25">
      <c r="B20" s="2" t="s">
        <v>1628</v>
      </c>
      <c r="C20" s="104"/>
      <c r="D20" s="104"/>
      <c r="E20" s="104"/>
      <c r="F20" s="104">
        <v>24</v>
      </c>
      <c r="G20" s="104"/>
      <c r="H20"/>
      <c r="R20" s="2" t="s">
        <v>1802</v>
      </c>
      <c r="S20" s="104">
        <v>1</v>
      </c>
      <c r="T20" s="104"/>
      <c r="U20" s="104"/>
      <c r="V20" s="104"/>
      <c r="AG20" s="2" t="s">
        <v>975</v>
      </c>
      <c r="AH20" s="104"/>
      <c r="AI20" s="104"/>
      <c r="AJ20" s="104"/>
      <c r="AK20" s="104"/>
      <c r="AL20" s="104">
        <v>2</v>
      </c>
      <c r="AM20" s="104"/>
      <c r="AN20" s="104">
        <v>1</v>
      </c>
      <c r="AO20" s="104"/>
      <c r="AP20" s="104"/>
      <c r="AQ20" s="104"/>
    </row>
    <row r="21" spans="2:43" x14ac:dyDescent="0.25">
      <c r="B21" s="2" t="s">
        <v>1590</v>
      </c>
      <c r="C21" s="104"/>
      <c r="D21" s="104"/>
      <c r="E21" s="104"/>
      <c r="F21" s="104">
        <v>1</v>
      </c>
      <c r="G21" s="104">
        <v>1</v>
      </c>
      <c r="H21"/>
      <c r="R21" s="2" t="s">
        <v>1628</v>
      </c>
      <c r="S21" s="104"/>
      <c r="T21" s="104"/>
      <c r="U21" s="104">
        <v>24</v>
      </c>
      <c r="V21" s="104"/>
      <c r="AG21" s="2" t="s">
        <v>1628</v>
      </c>
      <c r="AH21" s="104"/>
      <c r="AI21" s="104"/>
      <c r="AJ21" s="104"/>
      <c r="AK21" s="104"/>
      <c r="AL21" s="104"/>
      <c r="AM21" s="104"/>
      <c r="AN21" s="104">
        <v>24</v>
      </c>
      <c r="AO21" s="104"/>
      <c r="AP21" s="104"/>
      <c r="AQ21" s="104"/>
    </row>
    <row r="22" spans="2:43" x14ac:dyDescent="0.25">
      <c r="B22" s="2" t="s">
        <v>1598</v>
      </c>
      <c r="C22" s="104"/>
      <c r="D22" s="104"/>
      <c r="E22" s="104"/>
      <c r="F22" s="104"/>
      <c r="G22" s="104">
        <v>2</v>
      </c>
      <c r="H22"/>
      <c r="R22" s="2" t="s">
        <v>1590</v>
      </c>
      <c r="S22" s="104"/>
      <c r="T22" s="104"/>
      <c r="U22" s="104">
        <v>2</v>
      </c>
      <c r="V22" s="104"/>
      <c r="AG22" s="2" t="s">
        <v>1590</v>
      </c>
      <c r="AH22" s="104"/>
      <c r="AI22" s="104"/>
      <c r="AJ22" s="104"/>
      <c r="AK22" s="104"/>
      <c r="AL22" s="104"/>
      <c r="AM22" s="104"/>
      <c r="AN22" s="104">
        <v>1</v>
      </c>
      <c r="AO22" s="104"/>
      <c r="AP22" s="104">
        <v>1</v>
      </c>
      <c r="AQ22" s="104"/>
    </row>
    <row r="23" spans="2:43" x14ac:dyDescent="0.25">
      <c r="B23" s="2" t="s">
        <v>1802</v>
      </c>
      <c r="C23" s="104"/>
      <c r="D23" s="104"/>
      <c r="E23" s="104">
        <v>1</v>
      </c>
      <c r="F23" s="104"/>
      <c r="G23" s="104"/>
      <c r="H23"/>
      <c r="R23" s="2" t="s">
        <v>1598</v>
      </c>
      <c r="S23" s="104"/>
      <c r="T23" s="104"/>
      <c r="U23" s="104"/>
      <c r="V23" s="104">
        <v>2</v>
      </c>
      <c r="AG23" s="2" t="s">
        <v>1598</v>
      </c>
      <c r="AH23" s="104"/>
      <c r="AI23" s="104"/>
      <c r="AJ23" s="104"/>
      <c r="AK23" s="104"/>
      <c r="AL23" s="104"/>
      <c r="AM23" s="104"/>
      <c r="AN23" s="104"/>
      <c r="AO23" s="104"/>
      <c r="AP23" s="104">
        <v>2</v>
      </c>
      <c r="AQ23" s="104"/>
    </row>
    <row r="24" spans="2:43" x14ac:dyDescent="0.25">
      <c r="C24"/>
      <c r="D24"/>
      <c r="E24"/>
      <c r="F24"/>
      <c r="G24"/>
      <c r="H24"/>
      <c r="S24"/>
      <c r="AG24" s="2" t="s">
        <v>1802</v>
      </c>
      <c r="AH24" s="104"/>
      <c r="AI24" s="104"/>
      <c r="AJ24" s="104"/>
      <c r="AK24" s="104"/>
      <c r="AL24" s="104">
        <v>1</v>
      </c>
      <c r="AM24" s="104"/>
      <c r="AN24" s="104"/>
      <c r="AO24" s="104"/>
      <c r="AP24" s="104"/>
      <c r="AQ24" s="104"/>
    </row>
    <row r="25" spans="2:43" x14ac:dyDescent="0.25">
      <c r="S25"/>
    </row>
    <row r="26" spans="2:43" x14ac:dyDescent="0.25">
      <c r="S26"/>
    </row>
    <row r="27" spans="2:43" x14ac:dyDescent="0.25">
      <c r="S27"/>
    </row>
    <row r="47" spans="3:8" x14ac:dyDescent="0.25">
      <c r="C47"/>
      <c r="D47"/>
      <c r="E47"/>
      <c r="F47"/>
      <c r="G47"/>
      <c r="H47"/>
    </row>
    <row r="48" spans="3:8" x14ac:dyDescent="0.25">
      <c r="C48"/>
      <c r="D48"/>
      <c r="E48"/>
      <c r="F48"/>
      <c r="G48"/>
      <c r="H48"/>
    </row>
    <row r="49" spans="3:8" x14ac:dyDescent="0.25">
      <c r="C49"/>
      <c r="D49"/>
      <c r="E49"/>
      <c r="F49"/>
      <c r="G49"/>
      <c r="H49"/>
    </row>
    <row r="50" spans="3:8" x14ac:dyDescent="0.25">
      <c r="C50"/>
      <c r="D50"/>
      <c r="E50"/>
      <c r="F50"/>
      <c r="G50"/>
      <c r="H50"/>
    </row>
    <row r="51" spans="3:8" x14ac:dyDescent="0.25">
      <c r="C51"/>
      <c r="D51"/>
      <c r="E51"/>
      <c r="F51"/>
      <c r="G51"/>
      <c r="H51"/>
    </row>
    <row r="52" spans="3:8" x14ac:dyDescent="0.25">
      <c r="C52"/>
      <c r="D52"/>
      <c r="E52"/>
      <c r="F52"/>
      <c r="G52"/>
      <c r="H52"/>
    </row>
    <row r="53" spans="3:8" x14ac:dyDescent="0.25">
      <c r="C53"/>
      <c r="D53"/>
      <c r="E53"/>
      <c r="F53"/>
      <c r="G53"/>
      <c r="H53"/>
    </row>
    <row r="54" spans="3:8" x14ac:dyDescent="0.25">
      <c r="C54"/>
      <c r="D54"/>
      <c r="E54"/>
      <c r="F54"/>
      <c r="G54"/>
      <c r="H54"/>
    </row>
    <row r="55" spans="3:8" x14ac:dyDescent="0.25">
      <c r="C55"/>
      <c r="D55"/>
      <c r="E55"/>
      <c r="F55"/>
      <c r="G55"/>
      <c r="H55"/>
    </row>
    <row r="56" spans="3:8" x14ac:dyDescent="0.25">
      <c r="C56"/>
      <c r="D56"/>
      <c r="E56"/>
      <c r="F56"/>
      <c r="G56"/>
      <c r="H56"/>
    </row>
    <row r="57" spans="3:8" x14ac:dyDescent="0.25">
      <c r="C57"/>
      <c r="D57"/>
      <c r="E57"/>
      <c r="F57"/>
      <c r="G57"/>
      <c r="H57"/>
    </row>
    <row r="58" spans="3:8" x14ac:dyDescent="0.25">
      <c r="C58"/>
      <c r="D58"/>
      <c r="E58"/>
      <c r="F58"/>
      <c r="G58"/>
      <c r="H58"/>
    </row>
    <row r="59" spans="3:8" x14ac:dyDescent="0.25">
      <c r="C59"/>
      <c r="D59"/>
      <c r="E59"/>
      <c r="F59"/>
      <c r="G59"/>
      <c r="H59"/>
    </row>
    <row r="60" spans="3:8" x14ac:dyDescent="0.25">
      <c r="C60"/>
      <c r="D60"/>
      <c r="E60"/>
      <c r="F60"/>
      <c r="G60"/>
      <c r="H60"/>
    </row>
    <row r="61" spans="3:8" x14ac:dyDescent="0.25">
      <c r="C61"/>
      <c r="D61"/>
      <c r="E61"/>
      <c r="F61"/>
      <c r="G61"/>
      <c r="H61"/>
    </row>
    <row r="62" spans="3:8" x14ac:dyDescent="0.25">
      <c r="C62"/>
      <c r="D62"/>
      <c r="E62"/>
      <c r="F62"/>
      <c r="G62"/>
      <c r="H62"/>
    </row>
    <row r="63" spans="3:8" x14ac:dyDescent="0.25">
      <c r="C63"/>
      <c r="D63"/>
      <c r="E63"/>
      <c r="F63"/>
      <c r="G63"/>
      <c r="H63"/>
    </row>
    <row r="64" spans="3:8" x14ac:dyDescent="0.25">
      <c r="C64"/>
      <c r="D64"/>
      <c r="E64"/>
      <c r="F64"/>
      <c r="G64"/>
      <c r="H64"/>
    </row>
    <row r="65" spans="3:8" x14ac:dyDescent="0.25">
      <c r="C65"/>
      <c r="D65"/>
      <c r="E65"/>
      <c r="F65"/>
      <c r="G65"/>
      <c r="H65"/>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43B5C-28B6-40C7-B96B-D4B73B1CFA7D}">
  <sheetPr codeName="Sheet4"/>
  <dimension ref="A1:E7"/>
  <sheetViews>
    <sheetView workbookViewId="0">
      <selection activeCell="D38" sqref="D38"/>
    </sheetView>
  </sheetViews>
  <sheetFormatPr defaultRowHeight="15" x14ac:dyDescent="0.25"/>
  <sheetData>
    <row r="1" spans="1:5" x14ac:dyDescent="0.25">
      <c r="A1" s="9" t="s">
        <v>113</v>
      </c>
      <c r="B1" s="9" t="s">
        <v>114</v>
      </c>
      <c r="C1" s="9" t="s">
        <v>115</v>
      </c>
      <c r="D1" s="10" t="s">
        <v>116</v>
      </c>
      <c r="E1" s="10" t="s">
        <v>117</v>
      </c>
    </row>
    <row r="2" spans="1:5" x14ac:dyDescent="0.25">
      <c r="A2" s="11" t="s">
        <v>105</v>
      </c>
      <c r="B2" s="11" t="s">
        <v>118</v>
      </c>
      <c r="C2" s="11" t="s">
        <v>102</v>
      </c>
      <c r="D2" s="12" t="s">
        <v>109</v>
      </c>
      <c r="E2" s="12" t="s">
        <v>110</v>
      </c>
    </row>
    <row r="3" spans="1:5" x14ac:dyDescent="0.25">
      <c r="A3" s="11" t="s">
        <v>106</v>
      </c>
      <c r="B3" s="11" t="s">
        <v>119</v>
      </c>
      <c r="C3" s="11" t="s">
        <v>103</v>
      </c>
      <c r="D3" s="12" t="s">
        <v>110</v>
      </c>
      <c r="E3" s="12"/>
    </row>
    <row r="4" spans="1:5" x14ac:dyDescent="0.25">
      <c r="A4" s="11" t="s">
        <v>107</v>
      </c>
      <c r="B4" s="11" t="s">
        <v>120</v>
      </c>
      <c r="C4" s="11" t="s">
        <v>101</v>
      </c>
      <c r="D4" s="12" t="s">
        <v>111</v>
      </c>
      <c r="E4" s="12" t="s">
        <v>109</v>
      </c>
    </row>
    <row r="5" spans="1:5" x14ac:dyDescent="0.25">
      <c r="A5" s="11" t="s">
        <v>108</v>
      </c>
      <c r="B5" s="11" t="s">
        <v>121</v>
      </c>
      <c r="C5" s="11" t="s">
        <v>100</v>
      </c>
      <c r="D5" s="12" t="s">
        <v>112</v>
      </c>
      <c r="E5" s="12" t="s">
        <v>111</v>
      </c>
    </row>
    <row r="6" spans="1:5" x14ac:dyDescent="0.25">
      <c r="A6" t="s">
        <v>75</v>
      </c>
    </row>
    <row r="7" spans="1:5" x14ac:dyDescent="0.25">
      <c r="A7" t="s">
        <v>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7A918-0DAA-4D88-A380-C9EB53DFF034}">
  <sheetPr codeName="Sheet8"/>
  <dimension ref="B2:I457"/>
  <sheetViews>
    <sheetView workbookViewId="0">
      <selection activeCell="N13" sqref="N13"/>
    </sheetView>
  </sheetViews>
  <sheetFormatPr defaultRowHeight="15" x14ac:dyDescent="0.25"/>
  <sheetData>
    <row r="2" spans="2:9" x14ac:dyDescent="0.25">
      <c r="B2" s="33" t="s">
        <v>401</v>
      </c>
      <c r="I2" s="33" t="s">
        <v>402</v>
      </c>
    </row>
    <row r="4" spans="2:9" x14ac:dyDescent="0.25">
      <c r="B4" t="s">
        <v>135</v>
      </c>
      <c r="I4" t="s">
        <v>403</v>
      </c>
    </row>
    <row r="5" spans="2:9" x14ac:dyDescent="0.25">
      <c r="B5" t="s">
        <v>136</v>
      </c>
      <c r="I5" t="s">
        <v>136</v>
      </c>
    </row>
    <row r="6" spans="2:9" x14ac:dyDescent="0.25">
      <c r="B6" t="s">
        <v>137</v>
      </c>
      <c r="I6" t="s">
        <v>404</v>
      </c>
    </row>
    <row r="7" spans="2:9" x14ac:dyDescent="0.25">
      <c r="B7" t="s">
        <v>138</v>
      </c>
      <c r="I7" t="s">
        <v>405</v>
      </c>
    </row>
    <row r="8" spans="2:9" x14ac:dyDescent="0.25">
      <c r="B8" t="s">
        <v>139</v>
      </c>
      <c r="I8" t="s">
        <v>406</v>
      </c>
    </row>
    <row r="9" spans="2:9" x14ac:dyDescent="0.25">
      <c r="B9" t="s">
        <v>140</v>
      </c>
      <c r="I9" t="s">
        <v>407</v>
      </c>
    </row>
    <row r="10" spans="2:9" x14ac:dyDescent="0.25">
      <c r="B10" t="s">
        <v>141</v>
      </c>
      <c r="I10" t="s">
        <v>139</v>
      </c>
    </row>
    <row r="11" spans="2:9" x14ac:dyDescent="0.25">
      <c r="B11" t="s">
        <v>142</v>
      </c>
      <c r="I11" t="s">
        <v>140</v>
      </c>
    </row>
    <row r="12" spans="2:9" x14ac:dyDescent="0.25">
      <c r="B12" t="s">
        <v>143</v>
      </c>
      <c r="I12" t="s">
        <v>141</v>
      </c>
    </row>
    <row r="13" spans="2:9" x14ac:dyDescent="0.25">
      <c r="B13" t="s">
        <v>144</v>
      </c>
      <c r="I13" t="s">
        <v>142</v>
      </c>
    </row>
    <row r="14" spans="2:9" x14ac:dyDescent="0.25">
      <c r="B14" t="s">
        <v>145</v>
      </c>
      <c r="I14" t="s">
        <v>143</v>
      </c>
    </row>
    <row r="15" spans="2:9" x14ac:dyDescent="0.25">
      <c r="B15" t="s">
        <v>146</v>
      </c>
      <c r="I15" t="s">
        <v>144</v>
      </c>
    </row>
    <row r="16" spans="2:9" x14ac:dyDescent="0.25">
      <c r="B16" t="s">
        <v>140</v>
      </c>
      <c r="I16" t="s">
        <v>148</v>
      </c>
    </row>
    <row r="17" spans="2:9" x14ac:dyDescent="0.25">
      <c r="B17" t="s">
        <v>238</v>
      </c>
      <c r="I17" t="s">
        <v>146</v>
      </c>
    </row>
    <row r="18" spans="2:9" x14ac:dyDescent="0.25">
      <c r="B18" t="s">
        <v>239</v>
      </c>
      <c r="I18" t="s">
        <v>140</v>
      </c>
    </row>
    <row r="19" spans="2:9" x14ac:dyDescent="0.25">
      <c r="B19" t="s">
        <v>240</v>
      </c>
      <c r="I19" t="s">
        <v>408</v>
      </c>
    </row>
    <row r="20" spans="2:9" x14ac:dyDescent="0.25">
      <c r="B20" t="s">
        <v>241</v>
      </c>
      <c r="I20" t="s">
        <v>409</v>
      </c>
    </row>
    <row r="21" spans="2:9" x14ac:dyDescent="0.25">
      <c r="B21" t="s">
        <v>242</v>
      </c>
      <c r="I21" t="s">
        <v>410</v>
      </c>
    </row>
    <row r="22" spans="2:9" x14ac:dyDescent="0.25">
      <c r="B22" t="s">
        <v>243</v>
      </c>
      <c r="I22" t="s">
        <v>411</v>
      </c>
    </row>
    <row r="23" spans="2:9" x14ac:dyDescent="0.25">
      <c r="B23" t="s">
        <v>244</v>
      </c>
      <c r="I23" t="s">
        <v>412</v>
      </c>
    </row>
    <row r="24" spans="2:9" x14ac:dyDescent="0.25">
      <c r="B24" t="s">
        <v>140</v>
      </c>
      <c r="I24" t="s">
        <v>243</v>
      </c>
    </row>
    <row r="25" spans="2:9" x14ac:dyDescent="0.25">
      <c r="B25" t="s">
        <v>245</v>
      </c>
      <c r="I25" t="s">
        <v>413</v>
      </c>
    </row>
    <row r="26" spans="2:9" x14ac:dyDescent="0.25">
      <c r="B26" t="s">
        <v>246</v>
      </c>
      <c r="I26" t="s">
        <v>140</v>
      </c>
    </row>
    <row r="27" spans="2:9" x14ac:dyDescent="0.25">
      <c r="B27" t="s">
        <v>247</v>
      </c>
      <c r="I27" t="s">
        <v>414</v>
      </c>
    </row>
    <row r="28" spans="2:9" x14ac:dyDescent="0.25">
      <c r="B28" t="s">
        <v>248</v>
      </c>
      <c r="I28" t="s">
        <v>415</v>
      </c>
    </row>
    <row r="29" spans="2:9" x14ac:dyDescent="0.25">
      <c r="B29" t="s">
        <v>249</v>
      </c>
      <c r="I29" t="s">
        <v>416</v>
      </c>
    </row>
    <row r="30" spans="2:9" x14ac:dyDescent="0.25">
      <c r="B30" t="s">
        <v>250</v>
      </c>
      <c r="I30" t="s">
        <v>417</v>
      </c>
    </row>
    <row r="31" spans="2:9" x14ac:dyDescent="0.25">
      <c r="B31" t="s">
        <v>251</v>
      </c>
      <c r="I31" t="s">
        <v>418</v>
      </c>
    </row>
    <row r="32" spans="2:9" x14ac:dyDescent="0.25">
      <c r="B32" t="s">
        <v>140</v>
      </c>
      <c r="I32" t="s">
        <v>140</v>
      </c>
    </row>
    <row r="33" spans="2:9" x14ac:dyDescent="0.25">
      <c r="B33" t="s">
        <v>252</v>
      </c>
      <c r="I33" t="s">
        <v>419</v>
      </c>
    </row>
    <row r="34" spans="2:9" x14ac:dyDescent="0.25">
      <c r="B34" t="s">
        <v>253</v>
      </c>
      <c r="I34" t="s">
        <v>246</v>
      </c>
    </row>
    <row r="35" spans="2:9" x14ac:dyDescent="0.25">
      <c r="B35" t="s">
        <v>254</v>
      </c>
      <c r="I35" t="s">
        <v>420</v>
      </c>
    </row>
    <row r="36" spans="2:9" x14ac:dyDescent="0.25">
      <c r="B36" t="s">
        <v>140</v>
      </c>
      <c r="I36" t="s">
        <v>250</v>
      </c>
    </row>
    <row r="37" spans="2:9" x14ac:dyDescent="0.25">
      <c r="B37" t="s">
        <v>147</v>
      </c>
      <c r="I37" t="s">
        <v>249</v>
      </c>
    </row>
    <row r="38" spans="2:9" x14ac:dyDescent="0.25">
      <c r="B38" t="s">
        <v>148</v>
      </c>
      <c r="I38" t="s">
        <v>421</v>
      </c>
    </row>
    <row r="39" spans="2:9" x14ac:dyDescent="0.25">
      <c r="B39" t="s">
        <v>149</v>
      </c>
      <c r="I39" t="s">
        <v>422</v>
      </c>
    </row>
    <row r="40" spans="2:9" x14ac:dyDescent="0.25">
      <c r="B40" t="s">
        <v>150</v>
      </c>
      <c r="I40" t="s">
        <v>140</v>
      </c>
    </row>
    <row r="41" spans="2:9" x14ac:dyDescent="0.25">
      <c r="B41" t="s">
        <v>140</v>
      </c>
      <c r="I41" t="s">
        <v>423</v>
      </c>
    </row>
    <row r="42" spans="2:9" x14ac:dyDescent="0.25">
      <c r="B42" t="s">
        <v>151</v>
      </c>
      <c r="I42" t="s">
        <v>424</v>
      </c>
    </row>
    <row r="43" spans="2:9" x14ac:dyDescent="0.25">
      <c r="B43" t="s">
        <v>152</v>
      </c>
      <c r="I43" t="s">
        <v>425</v>
      </c>
    </row>
    <row r="44" spans="2:9" x14ac:dyDescent="0.25">
      <c r="B44" t="s">
        <v>140</v>
      </c>
      <c r="I44" t="s">
        <v>426</v>
      </c>
    </row>
    <row r="45" spans="2:9" x14ac:dyDescent="0.25">
      <c r="B45" t="s">
        <v>153</v>
      </c>
      <c r="I45" t="s">
        <v>427</v>
      </c>
    </row>
    <row r="46" spans="2:9" x14ac:dyDescent="0.25">
      <c r="B46" t="s">
        <v>154</v>
      </c>
      <c r="I46" t="s">
        <v>428</v>
      </c>
    </row>
    <row r="47" spans="2:9" x14ac:dyDescent="0.25">
      <c r="B47" t="s">
        <v>155</v>
      </c>
      <c r="I47" t="s">
        <v>140</v>
      </c>
    </row>
    <row r="48" spans="2:9" x14ac:dyDescent="0.25">
      <c r="B48" t="s">
        <v>140</v>
      </c>
      <c r="I48" t="s">
        <v>252</v>
      </c>
    </row>
    <row r="49" spans="2:9" x14ac:dyDescent="0.25">
      <c r="B49" t="s">
        <v>156</v>
      </c>
      <c r="I49" t="s">
        <v>253</v>
      </c>
    </row>
    <row r="50" spans="2:9" x14ac:dyDescent="0.25">
      <c r="B50" t="s">
        <v>157</v>
      </c>
      <c r="I50" t="s">
        <v>254</v>
      </c>
    </row>
    <row r="51" spans="2:9" x14ac:dyDescent="0.25">
      <c r="B51" t="s">
        <v>158</v>
      </c>
      <c r="I51" t="s">
        <v>140</v>
      </c>
    </row>
    <row r="52" spans="2:9" x14ac:dyDescent="0.25">
      <c r="B52" t="s">
        <v>159</v>
      </c>
      <c r="I52" t="s">
        <v>147</v>
      </c>
    </row>
    <row r="53" spans="2:9" x14ac:dyDescent="0.25">
      <c r="B53" t="s">
        <v>160</v>
      </c>
      <c r="I53" t="s">
        <v>149</v>
      </c>
    </row>
    <row r="54" spans="2:9" x14ac:dyDescent="0.25">
      <c r="B54" t="s">
        <v>140</v>
      </c>
      <c r="I54" t="s">
        <v>429</v>
      </c>
    </row>
    <row r="55" spans="2:9" x14ac:dyDescent="0.25">
      <c r="B55" t="s">
        <v>255</v>
      </c>
      <c r="I55" t="s">
        <v>140</v>
      </c>
    </row>
    <row r="56" spans="2:9" x14ac:dyDescent="0.25">
      <c r="B56" t="s">
        <v>256</v>
      </c>
      <c r="I56" t="s">
        <v>151</v>
      </c>
    </row>
    <row r="57" spans="2:9" x14ac:dyDescent="0.25">
      <c r="B57" t="s">
        <v>257</v>
      </c>
      <c r="I57" t="s">
        <v>152</v>
      </c>
    </row>
    <row r="58" spans="2:9" x14ac:dyDescent="0.25">
      <c r="B58" t="s">
        <v>258</v>
      </c>
      <c r="I58" t="s">
        <v>140</v>
      </c>
    </row>
    <row r="59" spans="2:9" x14ac:dyDescent="0.25">
      <c r="B59" t="s">
        <v>259</v>
      </c>
      <c r="I59" t="s">
        <v>430</v>
      </c>
    </row>
    <row r="60" spans="2:9" x14ac:dyDescent="0.25">
      <c r="B60" t="s">
        <v>260</v>
      </c>
      <c r="I60" t="s">
        <v>431</v>
      </c>
    </row>
    <row r="61" spans="2:9" x14ac:dyDescent="0.25">
      <c r="B61" t="s">
        <v>261</v>
      </c>
      <c r="I61" t="s">
        <v>432</v>
      </c>
    </row>
    <row r="62" spans="2:9" x14ac:dyDescent="0.25">
      <c r="B62" t="s">
        <v>262</v>
      </c>
      <c r="I62" t="s">
        <v>433</v>
      </c>
    </row>
    <row r="63" spans="2:9" x14ac:dyDescent="0.25">
      <c r="B63" t="s">
        <v>263</v>
      </c>
      <c r="I63" t="s">
        <v>434</v>
      </c>
    </row>
    <row r="64" spans="2:9" x14ac:dyDescent="0.25">
      <c r="B64" t="s">
        <v>264</v>
      </c>
      <c r="I64" t="s">
        <v>140</v>
      </c>
    </row>
    <row r="65" spans="2:9" x14ac:dyDescent="0.25">
      <c r="B65" t="s">
        <v>265</v>
      </c>
      <c r="I65" t="s">
        <v>156</v>
      </c>
    </row>
    <row r="66" spans="2:9" x14ac:dyDescent="0.25">
      <c r="B66" t="s">
        <v>266</v>
      </c>
      <c r="I66" t="s">
        <v>157</v>
      </c>
    </row>
    <row r="67" spans="2:9" x14ac:dyDescent="0.25">
      <c r="B67" t="s">
        <v>267</v>
      </c>
      <c r="I67" t="s">
        <v>158</v>
      </c>
    </row>
    <row r="68" spans="2:9" x14ac:dyDescent="0.25">
      <c r="B68" t="s">
        <v>268</v>
      </c>
      <c r="I68" t="s">
        <v>159</v>
      </c>
    </row>
    <row r="69" spans="2:9" x14ac:dyDescent="0.25">
      <c r="B69" t="s">
        <v>269</v>
      </c>
      <c r="I69" t="s">
        <v>160</v>
      </c>
    </row>
    <row r="70" spans="2:9" x14ac:dyDescent="0.25">
      <c r="B70" t="s">
        <v>270</v>
      </c>
      <c r="I70" t="s">
        <v>140</v>
      </c>
    </row>
    <row r="71" spans="2:9" x14ac:dyDescent="0.25">
      <c r="B71" t="s">
        <v>271</v>
      </c>
      <c r="I71" t="s">
        <v>435</v>
      </c>
    </row>
    <row r="72" spans="2:9" x14ac:dyDescent="0.25">
      <c r="B72" t="s">
        <v>272</v>
      </c>
      <c r="I72" t="s">
        <v>436</v>
      </c>
    </row>
    <row r="73" spans="2:9" x14ac:dyDescent="0.25">
      <c r="B73" t="s">
        <v>273</v>
      </c>
      <c r="I73" t="s">
        <v>437</v>
      </c>
    </row>
    <row r="74" spans="2:9" x14ac:dyDescent="0.25">
      <c r="B74" t="s">
        <v>274</v>
      </c>
      <c r="I74" t="s">
        <v>258</v>
      </c>
    </row>
    <row r="75" spans="2:9" x14ac:dyDescent="0.25">
      <c r="B75" t="s">
        <v>275</v>
      </c>
      <c r="I75" t="s">
        <v>438</v>
      </c>
    </row>
    <row r="76" spans="2:9" x14ac:dyDescent="0.25">
      <c r="B76" t="s">
        <v>276</v>
      </c>
      <c r="I76" t="s">
        <v>260</v>
      </c>
    </row>
    <row r="77" spans="2:9" x14ac:dyDescent="0.25">
      <c r="B77" t="s">
        <v>277</v>
      </c>
      <c r="I77" t="s">
        <v>261</v>
      </c>
    </row>
    <row r="78" spans="2:9" x14ac:dyDescent="0.25">
      <c r="B78" t="s">
        <v>278</v>
      </c>
      <c r="I78" t="s">
        <v>262</v>
      </c>
    </row>
    <row r="79" spans="2:9" x14ac:dyDescent="0.25">
      <c r="B79" t="s">
        <v>279</v>
      </c>
      <c r="I79" t="s">
        <v>263</v>
      </c>
    </row>
    <row r="80" spans="2:9" x14ac:dyDescent="0.25">
      <c r="B80" t="s">
        <v>280</v>
      </c>
      <c r="I80" t="s">
        <v>264</v>
      </c>
    </row>
    <row r="81" spans="2:9" x14ac:dyDescent="0.25">
      <c r="B81" t="s">
        <v>204</v>
      </c>
      <c r="I81" t="s">
        <v>439</v>
      </c>
    </row>
    <row r="82" spans="2:9" x14ac:dyDescent="0.25">
      <c r="B82" t="s">
        <v>140</v>
      </c>
      <c r="I82" t="s">
        <v>440</v>
      </c>
    </row>
    <row r="83" spans="2:9" x14ac:dyDescent="0.25">
      <c r="B83" t="s">
        <v>281</v>
      </c>
      <c r="I83" t="s">
        <v>441</v>
      </c>
    </row>
    <row r="84" spans="2:9" x14ac:dyDescent="0.25">
      <c r="B84" t="s">
        <v>282</v>
      </c>
      <c r="I84" t="s">
        <v>274</v>
      </c>
    </row>
    <row r="85" spans="2:9" x14ac:dyDescent="0.25">
      <c r="B85" t="s">
        <v>283</v>
      </c>
      <c r="I85" t="s">
        <v>275</v>
      </c>
    </row>
    <row r="86" spans="2:9" x14ac:dyDescent="0.25">
      <c r="B86" t="s">
        <v>284</v>
      </c>
      <c r="I86" t="s">
        <v>276</v>
      </c>
    </row>
    <row r="87" spans="2:9" x14ac:dyDescent="0.25">
      <c r="B87" t="s">
        <v>285</v>
      </c>
      <c r="I87" t="s">
        <v>271</v>
      </c>
    </row>
    <row r="88" spans="2:9" x14ac:dyDescent="0.25">
      <c r="B88" t="s">
        <v>286</v>
      </c>
      <c r="I88" t="s">
        <v>272</v>
      </c>
    </row>
    <row r="89" spans="2:9" x14ac:dyDescent="0.25">
      <c r="B89" t="s">
        <v>287</v>
      </c>
      <c r="I89" t="s">
        <v>273</v>
      </c>
    </row>
    <row r="90" spans="2:9" x14ac:dyDescent="0.25">
      <c r="B90" t="s">
        <v>288</v>
      </c>
      <c r="I90" t="s">
        <v>442</v>
      </c>
    </row>
    <row r="91" spans="2:9" x14ac:dyDescent="0.25">
      <c r="B91" t="s">
        <v>289</v>
      </c>
      <c r="I91" t="s">
        <v>443</v>
      </c>
    </row>
    <row r="92" spans="2:9" x14ac:dyDescent="0.25">
      <c r="B92" t="s">
        <v>290</v>
      </c>
      <c r="I92" t="s">
        <v>444</v>
      </c>
    </row>
    <row r="93" spans="2:9" x14ac:dyDescent="0.25">
      <c r="B93" t="s">
        <v>159</v>
      </c>
      <c r="I93" t="s">
        <v>445</v>
      </c>
    </row>
    <row r="94" spans="2:9" x14ac:dyDescent="0.25">
      <c r="B94" t="s">
        <v>160</v>
      </c>
      <c r="I94" t="s">
        <v>446</v>
      </c>
    </row>
    <row r="95" spans="2:9" x14ac:dyDescent="0.25">
      <c r="B95" t="s">
        <v>140</v>
      </c>
      <c r="I95" t="s">
        <v>447</v>
      </c>
    </row>
    <row r="96" spans="2:9" x14ac:dyDescent="0.25">
      <c r="B96" t="s">
        <v>291</v>
      </c>
      <c r="I96" t="s">
        <v>280</v>
      </c>
    </row>
    <row r="97" spans="2:9" x14ac:dyDescent="0.25">
      <c r="B97" t="s">
        <v>140</v>
      </c>
      <c r="I97" t="s">
        <v>204</v>
      </c>
    </row>
    <row r="98" spans="2:9" x14ac:dyDescent="0.25">
      <c r="B98" t="s">
        <v>161</v>
      </c>
      <c r="I98" t="s">
        <v>140</v>
      </c>
    </row>
    <row r="99" spans="2:9" x14ac:dyDescent="0.25">
      <c r="B99" t="s">
        <v>162</v>
      </c>
      <c r="I99" t="s">
        <v>448</v>
      </c>
    </row>
    <row r="100" spans="2:9" x14ac:dyDescent="0.25">
      <c r="B100" t="s">
        <v>292</v>
      </c>
      <c r="I100" t="s">
        <v>449</v>
      </c>
    </row>
    <row r="101" spans="2:9" x14ac:dyDescent="0.25">
      <c r="B101" t="s">
        <v>140</v>
      </c>
      <c r="I101" t="s">
        <v>450</v>
      </c>
    </row>
    <row r="102" spans="2:9" x14ac:dyDescent="0.25">
      <c r="B102" t="s">
        <v>293</v>
      </c>
      <c r="I102" t="s">
        <v>284</v>
      </c>
    </row>
    <row r="103" spans="2:9" x14ac:dyDescent="0.25">
      <c r="B103" t="s">
        <v>294</v>
      </c>
      <c r="I103" t="s">
        <v>285</v>
      </c>
    </row>
    <row r="104" spans="2:9" x14ac:dyDescent="0.25">
      <c r="B104" t="s">
        <v>295</v>
      </c>
      <c r="I104" t="s">
        <v>451</v>
      </c>
    </row>
    <row r="105" spans="2:9" x14ac:dyDescent="0.25">
      <c r="B105" t="s">
        <v>140</v>
      </c>
      <c r="I105" t="s">
        <v>289</v>
      </c>
    </row>
    <row r="106" spans="2:9" x14ac:dyDescent="0.25">
      <c r="B106" t="s">
        <v>163</v>
      </c>
      <c r="I106" t="s">
        <v>288</v>
      </c>
    </row>
    <row r="107" spans="2:9" x14ac:dyDescent="0.25">
      <c r="B107" t="s">
        <v>164</v>
      </c>
      <c r="I107" t="s">
        <v>452</v>
      </c>
    </row>
    <row r="108" spans="2:9" x14ac:dyDescent="0.25">
      <c r="B108" t="s">
        <v>296</v>
      </c>
      <c r="I108" t="s">
        <v>453</v>
      </c>
    </row>
    <row r="109" spans="2:9" x14ac:dyDescent="0.25">
      <c r="B109" t="s">
        <v>140</v>
      </c>
      <c r="I109" t="s">
        <v>159</v>
      </c>
    </row>
    <row r="110" spans="2:9" x14ac:dyDescent="0.25">
      <c r="B110" t="s">
        <v>297</v>
      </c>
      <c r="I110" t="s">
        <v>160</v>
      </c>
    </row>
    <row r="111" spans="2:9" x14ac:dyDescent="0.25">
      <c r="B111" t="s">
        <v>140</v>
      </c>
      <c r="I111" t="s">
        <v>140</v>
      </c>
    </row>
    <row r="112" spans="2:9" x14ac:dyDescent="0.25">
      <c r="B112" t="s">
        <v>298</v>
      </c>
      <c r="I112" t="s">
        <v>454</v>
      </c>
    </row>
    <row r="113" spans="2:9" x14ac:dyDescent="0.25">
      <c r="B113" t="s">
        <v>165</v>
      </c>
      <c r="I113" t="s">
        <v>455</v>
      </c>
    </row>
    <row r="114" spans="2:9" x14ac:dyDescent="0.25">
      <c r="B114" t="s">
        <v>299</v>
      </c>
      <c r="I114" t="s">
        <v>456</v>
      </c>
    </row>
    <row r="115" spans="2:9" x14ac:dyDescent="0.25">
      <c r="B115" t="s">
        <v>166</v>
      </c>
      <c r="I115" t="s">
        <v>457</v>
      </c>
    </row>
    <row r="116" spans="2:9" x14ac:dyDescent="0.25">
      <c r="B116" t="s">
        <v>167</v>
      </c>
      <c r="I116" t="s">
        <v>260</v>
      </c>
    </row>
    <row r="117" spans="2:9" x14ac:dyDescent="0.25">
      <c r="B117" t="s">
        <v>300</v>
      </c>
      <c r="I117" t="s">
        <v>261</v>
      </c>
    </row>
    <row r="118" spans="2:9" x14ac:dyDescent="0.25">
      <c r="B118" t="s">
        <v>301</v>
      </c>
      <c r="I118" t="s">
        <v>442</v>
      </c>
    </row>
    <row r="119" spans="2:9" x14ac:dyDescent="0.25">
      <c r="B119" t="s">
        <v>302</v>
      </c>
      <c r="I119" t="s">
        <v>458</v>
      </c>
    </row>
    <row r="120" spans="2:9" x14ac:dyDescent="0.25">
      <c r="B120" t="s">
        <v>167</v>
      </c>
      <c r="I120" t="s">
        <v>459</v>
      </c>
    </row>
    <row r="121" spans="2:9" x14ac:dyDescent="0.25">
      <c r="B121" t="s">
        <v>303</v>
      </c>
      <c r="I121" t="s">
        <v>460</v>
      </c>
    </row>
    <row r="122" spans="2:9" x14ac:dyDescent="0.25">
      <c r="B122" t="s">
        <v>304</v>
      </c>
      <c r="I122" t="s">
        <v>461</v>
      </c>
    </row>
    <row r="123" spans="2:9" x14ac:dyDescent="0.25">
      <c r="B123" t="s">
        <v>305</v>
      </c>
      <c r="I123" t="s">
        <v>462</v>
      </c>
    </row>
    <row r="124" spans="2:9" x14ac:dyDescent="0.25">
      <c r="B124" t="s">
        <v>167</v>
      </c>
      <c r="I124" t="s">
        <v>463</v>
      </c>
    </row>
    <row r="125" spans="2:9" x14ac:dyDescent="0.25">
      <c r="B125" t="s">
        <v>306</v>
      </c>
      <c r="I125" t="s">
        <v>464</v>
      </c>
    </row>
    <row r="126" spans="2:9" x14ac:dyDescent="0.25">
      <c r="B126" t="s">
        <v>307</v>
      </c>
      <c r="I126" t="s">
        <v>465</v>
      </c>
    </row>
    <row r="127" spans="2:9" x14ac:dyDescent="0.25">
      <c r="B127" t="s">
        <v>308</v>
      </c>
      <c r="I127" t="s">
        <v>466</v>
      </c>
    </row>
    <row r="128" spans="2:9" x14ac:dyDescent="0.25">
      <c r="B128" t="s">
        <v>309</v>
      </c>
      <c r="I128" t="s">
        <v>467</v>
      </c>
    </row>
    <row r="129" spans="2:9" x14ac:dyDescent="0.25">
      <c r="B129" t="s">
        <v>174</v>
      </c>
      <c r="I129" t="s">
        <v>468</v>
      </c>
    </row>
    <row r="130" spans="2:9" x14ac:dyDescent="0.25">
      <c r="B130" t="s">
        <v>167</v>
      </c>
      <c r="I130" t="s">
        <v>469</v>
      </c>
    </row>
    <row r="131" spans="2:9" x14ac:dyDescent="0.25">
      <c r="B131" t="s">
        <v>310</v>
      </c>
      <c r="I131" t="s">
        <v>470</v>
      </c>
    </row>
    <row r="132" spans="2:9" x14ac:dyDescent="0.25">
      <c r="B132" t="s">
        <v>311</v>
      </c>
      <c r="I132" t="s">
        <v>471</v>
      </c>
    </row>
    <row r="133" spans="2:9" x14ac:dyDescent="0.25">
      <c r="B133" t="s">
        <v>312</v>
      </c>
      <c r="I133" t="s">
        <v>280</v>
      </c>
    </row>
    <row r="134" spans="2:9" x14ac:dyDescent="0.25">
      <c r="B134" t="s">
        <v>313</v>
      </c>
      <c r="I134" t="s">
        <v>204</v>
      </c>
    </row>
    <row r="135" spans="2:9" x14ac:dyDescent="0.25">
      <c r="B135" t="s">
        <v>314</v>
      </c>
      <c r="I135" t="s">
        <v>140</v>
      </c>
    </row>
    <row r="136" spans="2:9" x14ac:dyDescent="0.25">
      <c r="B136" t="s">
        <v>167</v>
      </c>
      <c r="I136" t="s">
        <v>472</v>
      </c>
    </row>
    <row r="137" spans="2:9" x14ac:dyDescent="0.25">
      <c r="B137" t="s">
        <v>315</v>
      </c>
      <c r="I137" t="s">
        <v>473</v>
      </c>
    </row>
    <row r="138" spans="2:9" x14ac:dyDescent="0.25">
      <c r="B138" t="s">
        <v>316</v>
      </c>
      <c r="I138" t="s">
        <v>474</v>
      </c>
    </row>
    <row r="139" spans="2:9" x14ac:dyDescent="0.25">
      <c r="B139" t="s">
        <v>317</v>
      </c>
      <c r="I139" t="s">
        <v>284</v>
      </c>
    </row>
    <row r="140" spans="2:9" x14ac:dyDescent="0.25">
      <c r="B140" t="s">
        <v>318</v>
      </c>
      <c r="I140" t="s">
        <v>475</v>
      </c>
    </row>
    <row r="141" spans="2:9" x14ac:dyDescent="0.25">
      <c r="B141" t="s">
        <v>319</v>
      </c>
      <c r="I141" t="s">
        <v>476</v>
      </c>
    </row>
    <row r="142" spans="2:9" x14ac:dyDescent="0.25">
      <c r="B142" t="s">
        <v>320</v>
      </c>
      <c r="I142" t="s">
        <v>477</v>
      </c>
    </row>
    <row r="143" spans="2:9" x14ac:dyDescent="0.25">
      <c r="B143" t="s">
        <v>321</v>
      </c>
      <c r="I143" t="s">
        <v>478</v>
      </c>
    </row>
    <row r="144" spans="2:9" x14ac:dyDescent="0.25">
      <c r="B144" t="s">
        <v>309</v>
      </c>
      <c r="I144" t="s">
        <v>479</v>
      </c>
    </row>
    <row r="145" spans="2:9" x14ac:dyDescent="0.25">
      <c r="B145" t="s">
        <v>174</v>
      </c>
      <c r="I145" t="s">
        <v>159</v>
      </c>
    </row>
    <row r="146" spans="2:9" x14ac:dyDescent="0.25">
      <c r="B146" t="s">
        <v>167</v>
      </c>
      <c r="I146" t="s">
        <v>160</v>
      </c>
    </row>
    <row r="147" spans="2:9" x14ac:dyDescent="0.25">
      <c r="B147" t="s">
        <v>322</v>
      </c>
      <c r="I147" t="s">
        <v>140</v>
      </c>
    </row>
    <row r="148" spans="2:9" x14ac:dyDescent="0.25">
      <c r="B148" t="s">
        <v>323</v>
      </c>
      <c r="I148" t="s">
        <v>291</v>
      </c>
    </row>
    <row r="149" spans="2:9" x14ac:dyDescent="0.25">
      <c r="B149" t="s">
        <v>324</v>
      </c>
      <c r="I149" t="s">
        <v>140</v>
      </c>
    </row>
    <row r="150" spans="2:9" x14ac:dyDescent="0.25">
      <c r="B150" t="s">
        <v>325</v>
      </c>
      <c r="I150" t="s">
        <v>161</v>
      </c>
    </row>
    <row r="151" spans="2:9" x14ac:dyDescent="0.25">
      <c r="B151" t="s">
        <v>326</v>
      </c>
      <c r="I151" t="s">
        <v>162</v>
      </c>
    </row>
    <row r="152" spans="2:9" x14ac:dyDescent="0.25">
      <c r="B152" t="s">
        <v>327</v>
      </c>
      <c r="I152" t="s">
        <v>292</v>
      </c>
    </row>
    <row r="153" spans="2:9" x14ac:dyDescent="0.25">
      <c r="B153" t="s">
        <v>167</v>
      </c>
      <c r="I153" t="s">
        <v>140</v>
      </c>
    </row>
    <row r="154" spans="2:9" x14ac:dyDescent="0.25">
      <c r="B154" t="s">
        <v>328</v>
      </c>
      <c r="I154" t="s">
        <v>293</v>
      </c>
    </row>
    <row r="155" spans="2:9" x14ac:dyDescent="0.25">
      <c r="B155" t="s">
        <v>168</v>
      </c>
      <c r="I155" t="s">
        <v>294</v>
      </c>
    </row>
    <row r="156" spans="2:9" x14ac:dyDescent="0.25">
      <c r="B156" t="s">
        <v>329</v>
      </c>
      <c r="I156" t="s">
        <v>295</v>
      </c>
    </row>
    <row r="157" spans="2:9" x14ac:dyDescent="0.25">
      <c r="B157" t="s">
        <v>330</v>
      </c>
      <c r="I157" t="s">
        <v>140</v>
      </c>
    </row>
    <row r="158" spans="2:9" x14ac:dyDescent="0.25">
      <c r="B158" t="s">
        <v>167</v>
      </c>
      <c r="I158" t="s">
        <v>163</v>
      </c>
    </row>
    <row r="159" spans="2:9" x14ac:dyDescent="0.25">
      <c r="B159" t="s">
        <v>331</v>
      </c>
      <c r="I159" t="s">
        <v>164</v>
      </c>
    </row>
    <row r="160" spans="2:9" x14ac:dyDescent="0.25">
      <c r="B160" t="s">
        <v>332</v>
      </c>
      <c r="I160" t="s">
        <v>480</v>
      </c>
    </row>
    <row r="161" spans="2:9" x14ac:dyDescent="0.25">
      <c r="B161" t="s">
        <v>169</v>
      </c>
      <c r="I161" t="s">
        <v>140</v>
      </c>
    </row>
    <row r="162" spans="2:9" x14ac:dyDescent="0.25">
      <c r="B162" t="s">
        <v>170</v>
      </c>
      <c r="I162" t="s">
        <v>297</v>
      </c>
    </row>
    <row r="163" spans="2:9" x14ac:dyDescent="0.25">
      <c r="B163" t="s">
        <v>167</v>
      </c>
      <c r="I163" t="s">
        <v>140</v>
      </c>
    </row>
    <row r="164" spans="2:9" x14ac:dyDescent="0.25">
      <c r="B164" t="s">
        <v>333</v>
      </c>
      <c r="I164" t="s">
        <v>481</v>
      </c>
    </row>
    <row r="165" spans="2:9" x14ac:dyDescent="0.25">
      <c r="B165" t="s">
        <v>167</v>
      </c>
      <c r="I165" t="s">
        <v>482</v>
      </c>
    </row>
    <row r="166" spans="2:9" x14ac:dyDescent="0.25">
      <c r="B166" t="s">
        <v>171</v>
      </c>
      <c r="I166" t="s">
        <v>483</v>
      </c>
    </row>
    <row r="167" spans="2:9" x14ac:dyDescent="0.25">
      <c r="B167" t="s">
        <v>172</v>
      </c>
      <c r="I167" t="s">
        <v>484</v>
      </c>
    </row>
    <row r="168" spans="2:9" x14ac:dyDescent="0.25">
      <c r="B168" t="s">
        <v>173</v>
      </c>
      <c r="I168" t="s">
        <v>260</v>
      </c>
    </row>
    <row r="169" spans="2:9" x14ac:dyDescent="0.25">
      <c r="B169" t="s">
        <v>174</v>
      </c>
      <c r="I169" t="s">
        <v>485</v>
      </c>
    </row>
    <row r="170" spans="2:9" x14ac:dyDescent="0.25">
      <c r="B170" t="s">
        <v>175</v>
      </c>
      <c r="I170" t="s">
        <v>486</v>
      </c>
    </row>
    <row r="171" spans="2:9" x14ac:dyDescent="0.25">
      <c r="B171" t="s">
        <v>176</v>
      </c>
      <c r="I171" t="s">
        <v>487</v>
      </c>
    </row>
    <row r="172" spans="2:9" x14ac:dyDescent="0.25">
      <c r="B172" t="s">
        <v>174</v>
      </c>
      <c r="I172" t="s">
        <v>488</v>
      </c>
    </row>
    <row r="173" spans="2:9" x14ac:dyDescent="0.25">
      <c r="B173" t="s">
        <v>167</v>
      </c>
      <c r="I173" t="s">
        <v>260</v>
      </c>
    </row>
    <row r="174" spans="2:9" x14ac:dyDescent="0.25">
      <c r="B174" t="s">
        <v>334</v>
      </c>
      <c r="I174" t="s">
        <v>299</v>
      </c>
    </row>
    <row r="175" spans="2:9" x14ac:dyDescent="0.25">
      <c r="B175" t="s">
        <v>335</v>
      </c>
      <c r="I175" t="s">
        <v>489</v>
      </c>
    </row>
    <row r="176" spans="2:9" x14ac:dyDescent="0.25">
      <c r="B176" t="s">
        <v>177</v>
      </c>
      <c r="I176" t="s">
        <v>167</v>
      </c>
    </row>
    <row r="177" spans="2:9" x14ac:dyDescent="0.25">
      <c r="B177" t="s">
        <v>167</v>
      </c>
      <c r="I177" t="s">
        <v>490</v>
      </c>
    </row>
    <row r="178" spans="2:9" x14ac:dyDescent="0.25">
      <c r="B178" t="s">
        <v>178</v>
      </c>
      <c r="I178" t="s">
        <v>491</v>
      </c>
    </row>
    <row r="179" spans="2:9" x14ac:dyDescent="0.25">
      <c r="B179" t="s">
        <v>179</v>
      </c>
      <c r="I179" t="s">
        <v>492</v>
      </c>
    </row>
    <row r="180" spans="2:9" x14ac:dyDescent="0.25">
      <c r="B180" t="s">
        <v>180</v>
      </c>
      <c r="I180" t="s">
        <v>167</v>
      </c>
    </row>
    <row r="181" spans="2:9" x14ac:dyDescent="0.25">
      <c r="B181" t="s">
        <v>181</v>
      </c>
      <c r="I181" t="s">
        <v>493</v>
      </c>
    </row>
    <row r="182" spans="2:9" x14ac:dyDescent="0.25">
      <c r="B182" t="s">
        <v>182</v>
      </c>
      <c r="I182" t="s">
        <v>494</v>
      </c>
    </row>
    <row r="183" spans="2:9" x14ac:dyDescent="0.25">
      <c r="B183" t="s">
        <v>183</v>
      </c>
      <c r="I183" t="s">
        <v>308</v>
      </c>
    </row>
    <row r="184" spans="2:9" x14ac:dyDescent="0.25">
      <c r="B184" t="s">
        <v>184</v>
      </c>
      <c r="I184" t="s">
        <v>309</v>
      </c>
    </row>
    <row r="185" spans="2:9" x14ac:dyDescent="0.25">
      <c r="B185" t="s">
        <v>185</v>
      </c>
      <c r="I185" t="s">
        <v>495</v>
      </c>
    </row>
    <row r="186" spans="2:9" x14ac:dyDescent="0.25">
      <c r="B186" t="s">
        <v>186</v>
      </c>
      <c r="I186" t="s">
        <v>496</v>
      </c>
    </row>
    <row r="187" spans="2:9" x14ac:dyDescent="0.25">
      <c r="B187" t="s">
        <v>182</v>
      </c>
      <c r="I187" t="s">
        <v>308</v>
      </c>
    </row>
    <row r="188" spans="2:9" x14ac:dyDescent="0.25">
      <c r="B188" t="s">
        <v>187</v>
      </c>
      <c r="I188" t="s">
        <v>309</v>
      </c>
    </row>
    <row r="189" spans="2:9" x14ac:dyDescent="0.25">
      <c r="B189" t="s">
        <v>188</v>
      </c>
      <c r="I189" t="s">
        <v>174</v>
      </c>
    </row>
    <row r="190" spans="2:9" x14ac:dyDescent="0.25">
      <c r="B190" t="s">
        <v>189</v>
      </c>
      <c r="I190" t="s">
        <v>167</v>
      </c>
    </row>
    <row r="191" spans="2:9" x14ac:dyDescent="0.25">
      <c r="B191" t="s">
        <v>190</v>
      </c>
      <c r="I191" t="s">
        <v>497</v>
      </c>
    </row>
    <row r="192" spans="2:9" x14ac:dyDescent="0.25">
      <c r="B192" t="s">
        <v>182</v>
      </c>
      <c r="I192" t="s">
        <v>167</v>
      </c>
    </row>
    <row r="193" spans="2:9" x14ac:dyDescent="0.25">
      <c r="B193" t="s">
        <v>191</v>
      </c>
      <c r="I193" t="s">
        <v>498</v>
      </c>
    </row>
    <row r="194" spans="2:9" x14ac:dyDescent="0.25">
      <c r="B194" t="s">
        <v>192</v>
      </c>
      <c r="I194" t="s">
        <v>499</v>
      </c>
    </row>
    <row r="195" spans="2:9" x14ac:dyDescent="0.25">
      <c r="B195" t="s">
        <v>193</v>
      </c>
      <c r="I195" t="s">
        <v>500</v>
      </c>
    </row>
    <row r="196" spans="2:9" x14ac:dyDescent="0.25">
      <c r="B196" t="s">
        <v>190</v>
      </c>
      <c r="I196" t="s">
        <v>501</v>
      </c>
    </row>
    <row r="197" spans="2:9" x14ac:dyDescent="0.25">
      <c r="B197" t="s">
        <v>182</v>
      </c>
      <c r="I197" t="s">
        <v>502</v>
      </c>
    </row>
    <row r="198" spans="2:9" x14ac:dyDescent="0.25">
      <c r="B198" t="s">
        <v>194</v>
      </c>
      <c r="I198" t="s">
        <v>167</v>
      </c>
    </row>
    <row r="199" spans="2:9" x14ac:dyDescent="0.25">
      <c r="B199" t="s">
        <v>195</v>
      </c>
      <c r="I199" t="s">
        <v>503</v>
      </c>
    </row>
    <row r="200" spans="2:9" x14ac:dyDescent="0.25">
      <c r="B200" t="s">
        <v>196</v>
      </c>
      <c r="I200" t="s">
        <v>504</v>
      </c>
    </row>
    <row r="201" spans="2:9" x14ac:dyDescent="0.25">
      <c r="B201" t="s">
        <v>190</v>
      </c>
      <c r="I201" t="s">
        <v>317</v>
      </c>
    </row>
    <row r="202" spans="2:9" x14ac:dyDescent="0.25">
      <c r="B202" t="s">
        <v>197</v>
      </c>
      <c r="I202" t="s">
        <v>505</v>
      </c>
    </row>
    <row r="203" spans="2:9" x14ac:dyDescent="0.25">
      <c r="B203" t="s">
        <v>167</v>
      </c>
      <c r="I203" t="s">
        <v>506</v>
      </c>
    </row>
    <row r="204" spans="2:9" x14ac:dyDescent="0.25">
      <c r="B204" t="s">
        <v>336</v>
      </c>
      <c r="I204" t="s">
        <v>507</v>
      </c>
    </row>
    <row r="205" spans="2:9" x14ac:dyDescent="0.25">
      <c r="B205" t="s">
        <v>198</v>
      </c>
      <c r="I205" t="s">
        <v>508</v>
      </c>
    </row>
    <row r="206" spans="2:9" x14ac:dyDescent="0.25">
      <c r="B206" t="s">
        <v>199</v>
      </c>
      <c r="I206" t="s">
        <v>309</v>
      </c>
    </row>
    <row r="207" spans="2:9" x14ac:dyDescent="0.25">
      <c r="B207" t="s">
        <v>167</v>
      </c>
      <c r="I207" t="s">
        <v>174</v>
      </c>
    </row>
    <row r="208" spans="2:9" x14ac:dyDescent="0.25">
      <c r="B208" t="s">
        <v>337</v>
      </c>
      <c r="I208" t="s">
        <v>167</v>
      </c>
    </row>
    <row r="209" spans="2:9" x14ac:dyDescent="0.25">
      <c r="B209" t="s">
        <v>200</v>
      </c>
      <c r="I209" t="s">
        <v>322</v>
      </c>
    </row>
    <row r="210" spans="2:9" x14ac:dyDescent="0.25">
      <c r="B210" t="s">
        <v>201</v>
      </c>
      <c r="I210" t="s">
        <v>509</v>
      </c>
    </row>
    <row r="211" spans="2:9" x14ac:dyDescent="0.25">
      <c r="B211" t="s">
        <v>338</v>
      </c>
      <c r="I211" t="s">
        <v>510</v>
      </c>
    </row>
    <row r="212" spans="2:9" x14ac:dyDescent="0.25">
      <c r="B212" t="s">
        <v>167</v>
      </c>
      <c r="I212" t="s">
        <v>511</v>
      </c>
    </row>
    <row r="213" spans="2:9" x14ac:dyDescent="0.25">
      <c r="B213" t="s">
        <v>339</v>
      </c>
      <c r="I213" t="s">
        <v>512</v>
      </c>
    </row>
    <row r="214" spans="2:9" x14ac:dyDescent="0.25">
      <c r="B214" t="s">
        <v>340</v>
      </c>
      <c r="I214" t="s">
        <v>513</v>
      </c>
    </row>
    <row r="215" spans="2:9" x14ac:dyDescent="0.25">
      <c r="B215" t="s">
        <v>341</v>
      </c>
      <c r="I215" t="s">
        <v>167</v>
      </c>
    </row>
    <row r="216" spans="2:9" x14ac:dyDescent="0.25">
      <c r="B216" t="s">
        <v>167</v>
      </c>
      <c r="I216" t="s">
        <v>514</v>
      </c>
    </row>
    <row r="217" spans="2:9" x14ac:dyDescent="0.25">
      <c r="B217" t="s">
        <v>342</v>
      </c>
      <c r="I217" t="s">
        <v>515</v>
      </c>
    </row>
    <row r="218" spans="2:9" x14ac:dyDescent="0.25">
      <c r="B218" t="s">
        <v>167</v>
      </c>
      <c r="I218" t="s">
        <v>516</v>
      </c>
    </row>
    <row r="219" spans="2:9" x14ac:dyDescent="0.25">
      <c r="B219" t="s">
        <v>202</v>
      </c>
      <c r="I219" t="s">
        <v>167</v>
      </c>
    </row>
    <row r="220" spans="2:9" x14ac:dyDescent="0.25">
      <c r="B220" t="s">
        <v>343</v>
      </c>
      <c r="I220" t="s">
        <v>517</v>
      </c>
    </row>
    <row r="221" spans="2:9" x14ac:dyDescent="0.25">
      <c r="B221" t="s">
        <v>167</v>
      </c>
      <c r="I221" t="s">
        <v>518</v>
      </c>
    </row>
    <row r="222" spans="2:9" x14ac:dyDescent="0.25">
      <c r="B222" t="s">
        <v>344</v>
      </c>
      <c r="I222" t="s">
        <v>519</v>
      </c>
    </row>
    <row r="223" spans="2:9" x14ac:dyDescent="0.25">
      <c r="B223" t="s">
        <v>203</v>
      </c>
      <c r="I223" t="s">
        <v>520</v>
      </c>
    </row>
    <row r="224" spans="2:9" x14ac:dyDescent="0.25">
      <c r="B224" t="s">
        <v>204</v>
      </c>
      <c r="I224" t="s">
        <v>521</v>
      </c>
    </row>
    <row r="225" spans="2:9" x14ac:dyDescent="0.25">
      <c r="B225" t="s">
        <v>140</v>
      </c>
      <c r="I225" t="s">
        <v>522</v>
      </c>
    </row>
    <row r="226" spans="2:9" x14ac:dyDescent="0.25">
      <c r="B226" t="s">
        <v>205</v>
      </c>
      <c r="I226" t="s">
        <v>167</v>
      </c>
    </row>
    <row r="227" spans="2:9" x14ac:dyDescent="0.25">
      <c r="B227" t="s">
        <v>206</v>
      </c>
      <c r="I227" t="s">
        <v>523</v>
      </c>
    </row>
    <row r="228" spans="2:9" x14ac:dyDescent="0.25">
      <c r="B228" t="s">
        <v>207</v>
      </c>
      <c r="I228" t="s">
        <v>524</v>
      </c>
    </row>
    <row r="229" spans="2:9" x14ac:dyDescent="0.25">
      <c r="B229" t="s">
        <v>140</v>
      </c>
      <c r="I229" t="s">
        <v>309</v>
      </c>
    </row>
    <row r="230" spans="2:9" x14ac:dyDescent="0.25">
      <c r="B230" t="s">
        <v>208</v>
      </c>
      <c r="I230" t="s">
        <v>174</v>
      </c>
    </row>
    <row r="231" spans="2:9" x14ac:dyDescent="0.25">
      <c r="B231" t="s">
        <v>209</v>
      </c>
      <c r="I231" t="s">
        <v>167</v>
      </c>
    </row>
    <row r="232" spans="2:9" x14ac:dyDescent="0.25">
      <c r="B232" t="s">
        <v>210</v>
      </c>
      <c r="I232" t="s">
        <v>525</v>
      </c>
    </row>
    <row r="233" spans="2:9" x14ac:dyDescent="0.25">
      <c r="B233" t="s">
        <v>140</v>
      </c>
      <c r="I233" t="s">
        <v>526</v>
      </c>
    </row>
    <row r="234" spans="2:9" x14ac:dyDescent="0.25">
      <c r="B234" t="s">
        <v>345</v>
      </c>
      <c r="I234" t="s">
        <v>527</v>
      </c>
    </row>
    <row r="235" spans="2:9" x14ac:dyDescent="0.25">
      <c r="B235" t="s">
        <v>346</v>
      </c>
      <c r="I235" t="s">
        <v>528</v>
      </c>
    </row>
    <row r="236" spans="2:9" x14ac:dyDescent="0.25">
      <c r="B236" t="s">
        <v>347</v>
      </c>
      <c r="I236" t="s">
        <v>529</v>
      </c>
    </row>
    <row r="237" spans="2:9" x14ac:dyDescent="0.25">
      <c r="B237" t="s">
        <v>140</v>
      </c>
      <c r="I237" t="s">
        <v>167</v>
      </c>
    </row>
    <row r="238" spans="2:9" x14ac:dyDescent="0.25">
      <c r="B238" t="s">
        <v>348</v>
      </c>
      <c r="I238" t="s">
        <v>530</v>
      </c>
    </row>
    <row r="239" spans="2:9" x14ac:dyDescent="0.25">
      <c r="B239" t="s">
        <v>349</v>
      </c>
      <c r="I239" t="s">
        <v>531</v>
      </c>
    </row>
    <row r="240" spans="2:9" x14ac:dyDescent="0.25">
      <c r="B240" t="s">
        <v>350</v>
      </c>
      <c r="I240" t="s">
        <v>532</v>
      </c>
    </row>
    <row r="241" spans="2:9" x14ac:dyDescent="0.25">
      <c r="B241" t="s">
        <v>140</v>
      </c>
      <c r="I241" t="s">
        <v>533</v>
      </c>
    </row>
    <row r="242" spans="2:9" x14ac:dyDescent="0.25">
      <c r="B242" t="s">
        <v>211</v>
      </c>
      <c r="I242" t="s">
        <v>534</v>
      </c>
    </row>
    <row r="243" spans="2:9" x14ac:dyDescent="0.25">
      <c r="B243" t="s">
        <v>140</v>
      </c>
      <c r="I243" t="s">
        <v>167</v>
      </c>
    </row>
    <row r="244" spans="2:9" x14ac:dyDescent="0.25">
      <c r="B244" t="s">
        <v>212</v>
      </c>
      <c r="I244" t="s">
        <v>535</v>
      </c>
    </row>
    <row r="245" spans="2:9" x14ac:dyDescent="0.25">
      <c r="B245" t="s">
        <v>213</v>
      </c>
      <c r="I245" t="s">
        <v>536</v>
      </c>
    </row>
    <row r="246" spans="2:9" x14ac:dyDescent="0.25">
      <c r="B246" t="s">
        <v>351</v>
      </c>
      <c r="I246" t="s">
        <v>537</v>
      </c>
    </row>
    <row r="247" spans="2:9" x14ac:dyDescent="0.25">
      <c r="B247" t="s">
        <v>352</v>
      </c>
      <c r="I247" t="s">
        <v>538</v>
      </c>
    </row>
    <row r="248" spans="2:9" x14ac:dyDescent="0.25">
      <c r="B248" t="s">
        <v>353</v>
      </c>
      <c r="I248" t="s">
        <v>167</v>
      </c>
    </row>
    <row r="249" spans="2:9" x14ac:dyDescent="0.25">
      <c r="B249" t="s">
        <v>160</v>
      </c>
      <c r="I249" t="s">
        <v>539</v>
      </c>
    </row>
    <row r="250" spans="2:9" x14ac:dyDescent="0.25">
      <c r="B250" t="s">
        <v>354</v>
      </c>
      <c r="I250" t="s">
        <v>540</v>
      </c>
    </row>
    <row r="251" spans="2:9" x14ac:dyDescent="0.25">
      <c r="B251" t="s">
        <v>355</v>
      </c>
      <c r="I251" t="s">
        <v>541</v>
      </c>
    </row>
    <row r="252" spans="2:9" x14ac:dyDescent="0.25">
      <c r="B252" t="s">
        <v>356</v>
      </c>
      <c r="I252" t="s">
        <v>542</v>
      </c>
    </row>
    <row r="253" spans="2:9" x14ac:dyDescent="0.25">
      <c r="B253" t="s">
        <v>160</v>
      </c>
      <c r="I253" t="s">
        <v>543</v>
      </c>
    </row>
    <row r="254" spans="2:9" x14ac:dyDescent="0.25">
      <c r="B254" t="s">
        <v>140</v>
      </c>
      <c r="I254" t="s">
        <v>174</v>
      </c>
    </row>
    <row r="255" spans="2:9" x14ac:dyDescent="0.25">
      <c r="B255" t="s">
        <v>209</v>
      </c>
      <c r="I255" t="s">
        <v>167</v>
      </c>
    </row>
    <row r="256" spans="2:9" x14ac:dyDescent="0.25">
      <c r="B256" t="s">
        <v>210</v>
      </c>
      <c r="I256" t="s">
        <v>544</v>
      </c>
    </row>
    <row r="257" spans="2:9" x14ac:dyDescent="0.25">
      <c r="B257" t="s">
        <v>140</v>
      </c>
      <c r="I257" t="s">
        <v>332</v>
      </c>
    </row>
    <row r="258" spans="2:9" x14ac:dyDescent="0.25">
      <c r="B258" t="s">
        <v>357</v>
      </c>
      <c r="I258" t="s">
        <v>545</v>
      </c>
    </row>
    <row r="259" spans="2:9" x14ac:dyDescent="0.25">
      <c r="B259" t="s">
        <v>358</v>
      </c>
      <c r="I259" t="s">
        <v>546</v>
      </c>
    </row>
    <row r="260" spans="2:9" x14ac:dyDescent="0.25">
      <c r="B260" t="s">
        <v>359</v>
      </c>
      <c r="I260" t="s">
        <v>167</v>
      </c>
    </row>
    <row r="261" spans="2:9" x14ac:dyDescent="0.25">
      <c r="B261" t="s">
        <v>360</v>
      </c>
      <c r="I261" t="s">
        <v>333</v>
      </c>
    </row>
    <row r="262" spans="2:9" x14ac:dyDescent="0.25">
      <c r="B262" t="s">
        <v>214</v>
      </c>
      <c r="I262" t="s">
        <v>167</v>
      </c>
    </row>
    <row r="263" spans="2:9" x14ac:dyDescent="0.25">
      <c r="I263" t="s">
        <v>171</v>
      </c>
    </row>
    <row r="264" spans="2:9" x14ac:dyDescent="0.25">
      <c r="B264" t="s">
        <v>215</v>
      </c>
      <c r="I264" t="s">
        <v>547</v>
      </c>
    </row>
    <row r="265" spans="2:9" x14ac:dyDescent="0.25">
      <c r="B265" t="s">
        <v>216</v>
      </c>
      <c r="I265" t="s">
        <v>167</v>
      </c>
    </row>
    <row r="266" spans="2:9" x14ac:dyDescent="0.25">
      <c r="B266" t="s">
        <v>217</v>
      </c>
      <c r="I266" t="s">
        <v>548</v>
      </c>
    </row>
    <row r="267" spans="2:9" x14ac:dyDescent="0.25">
      <c r="B267" t="s">
        <v>218</v>
      </c>
      <c r="I267" t="s">
        <v>335</v>
      </c>
    </row>
    <row r="268" spans="2:9" x14ac:dyDescent="0.25">
      <c r="B268" t="s">
        <v>140</v>
      </c>
      <c r="I268" t="s">
        <v>177</v>
      </c>
    </row>
    <row r="269" spans="2:9" x14ac:dyDescent="0.25">
      <c r="B269" t="s">
        <v>219</v>
      </c>
      <c r="I269" t="s">
        <v>167</v>
      </c>
    </row>
    <row r="270" spans="2:9" x14ac:dyDescent="0.25">
      <c r="B270" t="s">
        <v>220</v>
      </c>
      <c r="I270" t="s">
        <v>549</v>
      </c>
    </row>
    <row r="271" spans="2:9" x14ac:dyDescent="0.25">
      <c r="B271" t="s">
        <v>140</v>
      </c>
      <c r="I271" t="s">
        <v>550</v>
      </c>
    </row>
    <row r="272" spans="2:9" x14ac:dyDescent="0.25">
      <c r="B272" t="s">
        <v>221</v>
      </c>
      <c r="I272" t="s">
        <v>551</v>
      </c>
    </row>
    <row r="273" spans="2:9" x14ac:dyDescent="0.25">
      <c r="B273" t="s">
        <v>222</v>
      </c>
      <c r="I273" t="s">
        <v>552</v>
      </c>
    </row>
    <row r="274" spans="2:9" x14ac:dyDescent="0.25">
      <c r="B274" t="s">
        <v>204</v>
      </c>
      <c r="I274" t="s">
        <v>553</v>
      </c>
    </row>
    <row r="275" spans="2:9" x14ac:dyDescent="0.25">
      <c r="B275" t="s">
        <v>140</v>
      </c>
      <c r="I275" t="s">
        <v>167</v>
      </c>
    </row>
    <row r="276" spans="2:9" x14ac:dyDescent="0.25">
      <c r="B276" t="s">
        <v>223</v>
      </c>
      <c r="I276" t="s">
        <v>554</v>
      </c>
    </row>
    <row r="277" spans="2:9" x14ac:dyDescent="0.25">
      <c r="B277" t="s">
        <v>224</v>
      </c>
      <c r="I277" t="s">
        <v>555</v>
      </c>
    </row>
    <row r="278" spans="2:9" x14ac:dyDescent="0.25">
      <c r="B278" t="s">
        <v>225</v>
      </c>
      <c r="I278" t="s">
        <v>556</v>
      </c>
    </row>
    <row r="279" spans="2:9" x14ac:dyDescent="0.25">
      <c r="I279" t="s">
        <v>557</v>
      </c>
    </row>
    <row r="280" spans="2:9" x14ac:dyDescent="0.25">
      <c r="I280" t="s">
        <v>558</v>
      </c>
    </row>
    <row r="281" spans="2:9" x14ac:dyDescent="0.25">
      <c r="I281" t="s">
        <v>167</v>
      </c>
    </row>
    <row r="282" spans="2:9" x14ac:dyDescent="0.25">
      <c r="I282" t="s">
        <v>559</v>
      </c>
    </row>
    <row r="283" spans="2:9" x14ac:dyDescent="0.25">
      <c r="I283" t="s">
        <v>560</v>
      </c>
    </row>
    <row r="284" spans="2:9" x14ac:dyDescent="0.25">
      <c r="I284" t="s">
        <v>561</v>
      </c>
    </row>
    <row r="285" spans="2:9" x14ac:dyDescent="0.25">
      <c r="I285" t="s">
        <v>167</v>
      </c>
    </row>
    <row r="286" spans="2:9" x14ac:dyDescent="0.25">
      <c r="I286" t="s">
        <v>562</v>
      </c>
    </row>
    <row r="287" spans="2:9" x14ac:dyDescent="0.25">
      <c r="I287" t="s">
        <v>563</v>
      </c>
    </row>
    <row r="288" spans="2:9" x14ac:dyDescent="0.25">
      <c r="I288" t="s">
        <v>179</v>
      </c>
    </row>
    <row r="289" spans="9:9" x14ac:dyDescent="0.25">
      <c r="I289" t="s">
        <v>180</v>
      </c>
    </row>
    <row r="290" spans="9:9" x14ac:dyDescent="0.25">
      <c r="I290" t="s">
        <v>181</v>
      </c>
    </row>
    <row r="291" spans="9:9" x14ac:dyDescent="0.25">
      <c r="I291" t="s">
        <v>564</v>
      </c>
    </row>
    <row r="292" spans="9:9" x14ac:dyDescent="0.25">
      <c r="I292" t="s">
        <v>565</v>
      </c>
    </row>
    <row r="293" spans="9:9" x14ac:dyDescent="0.25">
      <c r="I293" t="s">
        <v>566</v>
      </c>
    </row>
    <row r="294" spans="9:9" x14ac:dyDescent="0.25">
      <c r="I294" t="s">
        <v>190</v>
      </c>
    </row>
    <row r="295" spans="9:9" x14ac:dyDescent="0.25">
      <c r="I295" t="s">
        <v>197</v>
      </c>
    </row>
    <row r="296" spans="9:9" x14ac:dyDescent="0.25">
      <c r="I296" t="s">
        <v>167</v>
      </c>
    </row>
    <row r="297" spans="9:9" x14ac:dyDescent="0.25">
      <c r="I297" t="s">
        <v>567</v>
      </c>
    </row>
    <row r="298" spans="9:9" x14ac:dyDescent="0.25">
      <c r="I298" t="s">
        <v>540</v>
      </c>
    </row>
    <row r="299" spans="9:9" x14ac:dyDescent="0.25">
      <c r="I299" t="s">
        <v>568</v>
      </c>
    </row>
    <row r="300" spans="9:9" x14ac:dyDescent="0.25">
      <c r="I300" t="s">
        <v>542</v>
      </c>
    </row>
    <row r="301" spans="9:9" x14ac:dyDescent="0.25">
      <c r="I301" t="s">
        <v>569</v>
      </c>
    </row>
    <row r="302" spans="9:9" x14ac:dyDescent="0.25">
      <c r="I302" t="s">
        <v>174</v>
      </c>
    </row>
    <row r="303" spans="9:9" x14ac:dyDescent="0.25">
      <c r="I303" t="s">
        <v>167</v>
      </c>
    </row>
    <row r="304" spans="9:9" x14ac:dyDescent="0.25">
      <c r="I304" t="s">
        <v>570</v>
      </c>
    </row>
    <row r="305" spans="9:9" x14ac:dyDescent="0.25">
      <c r="I305" t="s">
        <v>199</v>
      </c>
    </row>
    <row r="306" spans="9:9" x14ac:dyDescent="0.25">
      <c r="I306" t="s">
        <v>167</v>
      </c>
    </row>
    <row r="307" spans="9:9" x14ac:dyDescent="0.25">
      <c r="I307" t="s">
        <v>571</v>
      </c>
    </row>
    <row r="308" spans="9:9" x14ac:dyDescent="0.25">
      <c r="I308" t="s">
        <v>167</v>
      </c>
    </row>
    <row r="309" spans="9:9" x14ac:dyDescent="0.25">
      <c r="I309" t="s">
        <v>572</v>
      </c>
    </row>
    <row r="310" spans="9:9" x14ac:dyDescent="0.25">
      <c r="I310" t="s">
        <v>573</v>
      </c>
    </row>
    <row r="311" spans="9:9" x14ac:dyDescent="0.25">
      <c r="I311" t="s">
        <v>574</v>
      </c>
    </row>
    <row r="312" spans="9:9" x14ac:dyDescent="0.25">
      <c r="I312" t="s">
        <v>575</v>
      </c>
    </row>
    <row r="313" spans="9:9" x14ac:dyDescent="0.25">
      <c r="I313" t="s">
        <v>167</v>
      </c>
    </row>
    <row r="314" spans="9:9" x14ac:dyDescent="0.25">
      <c r="I314" t="s">
        <v>576</v>
      </c>
    </row>
    <row r="315" spans="9:9" x14ac:dyDescent="0.25">
      <c r="I315" t="s">
        <v>338</v>
      </c>
    </row>
    <row r="316" spans="9:9" x14ac:dyDescent="0.25">
      <c r="I316" t="s">
        <v>167</v>
      </c>
    </row>
    <row r="317" spans="9:9" x14ac:dyDescent="0.25">
      <c r="I317" t="s">
        <v>577</v>
      </c>
    </row>
    <row r="318" spans="9:9" x14ac:dyDescent="0.25">
      <c r="I318" t="s">
        <v>578</v>
      </c>
    </row>
    <row r="319" spans="9:9" x14ac:dyDescent="0.25">
      <c r="I319" t="s">
        <v>341</v>
      </c>
    </row>
    <row r="320" spans="9:9" x14ac:dyDescent="0.25">
      <c r="I320" t="s">
        <v>167</v>
      </c>
    </row>
    <row r="321" spans="9:9" x14ac:dyDescent="0.25">
      <c r="I321" t="s">
        <v>579</v>
      </c>
    </row>
    <row r="322" spans="9:9" x14ac:dyDescent="0.25">
      <c r="I322" t="s">
        <v>167</v>
      </c>
    </row>
    <row r="323" spans="9:9" x14ac:dyDescent="0.25">
      <c r="I323" t="s">
        <v>202</v>
      </c>
    </row>
    <row r="324" spans="9:9" x14ac:dyDescent="0.25">
      <c r="I324" t="s">
        <v>580</v>
      </c>
    </row>
    <row r="325" spans="9:9" x14ac:dyDescent="0.25">
      <c r="I325" t="s">
        <v>167</v>
      </c>
    </row>
    <row r="326" spans="9:9" x14ac:dyDescent="0.25">
      <c r="I326" t="s">
        <v>344</v>
      </c>
    </row>
    <row r="327" spans="9:9" x14ac:dyDescent="0.25">
      <c r="I327" t="s">
        <v>581</v>
      </c>
    </row>
    <row r="328" spans="9:9" x14ac:dyDescent="0.25">
      <c r="I328" t="s">
        <v>582</v>
      </c>
    </row>
    <row r="329" spans="9:9" x14ac:dyDescent="0.25">
      <c r="I329" t="s">
        <v>203</v>
      </c>
    </row>
    <row r="330" spans="9:9" x14ac:dyDescent="0.25">
      <c r="I330" t="s">
        <v>204</v>
      </c>
    </row>
    <row r="331" spans="9:9" x14ac:dyDescent="0.25">
      <c r="I331" t="s">
        <v>140</v>
      </c>
    </row>
    <row r="332" spans="9:9" x14ac:dyDescent="0.25">
      <c r="I332" t="s">
        <v>205</v>
      </c>
    </row>
    <row r="333" spans="9:9" x14ac:dyDescent="0.25">
      <c r="I333" t="s">
        <v>206</v>
      </c>
    </row>
    <row r="334" spans="9:9" x14ac:dyDescent="0.25">
      <c r="I334" t="s">
        <v>207</v>
      </c>
    </row>
    <row r="335" spans="9:9" x14ac:dyDescent="0.25">
      <c r="I335" t="s">
        <v>140</v>
      </c>
    </row>
    <row r="336" spans="9:9" x14ac:dyDescent="0.25">
      <c r="I336" t="s">
        <v>208</v>
      </c>
    </row>
    <row r="337" spans="9:9" x14ac:dyDescent="0.25">
      <c r="I337" t="s">
        <v>209</v>
      </c>
    </row>
    <row r="338" spans="9:9" x14ac:dyDescent="0.25">
      <c r="I338" t="s">
        <v>210</v>
      </c>
    </row>
    <row r="339" spans="9:9" x14ac:dyDescent="0.25">
      <c r="I339" t="s">
        <v>140</v>
      </c>
    </row>
    <row r="340" spans="9:9" x14ac:dyDescent="0.25">
      <c r="I340" t="s">
        <v>345</v>
      </c>
    </row>
    <row r="341" spans="9:9" x14ac:dyDescent="0.25">
      <c r="I341" t="s">
        <v>583</v>
      </c>
    </row>
    <row r="342" spans="9:9" x14ac:dyDescent="0.25">
      <c r="I342" t="s">
        <v>347</v>
      </c>
    </row>
    <row r="343" spans="9:9" x14ac:dyDescent="0.25">
      <c r="I343" t="s">
        <v>140</v>
      </c>
    </row>
    <row r="344" spans="9:9" x14ac:dyDescent="0.25">
      <c r="I344" t="s">
        <v>584</v>
      </c>
    </row>
    <row r="345" spans="9:9" x14ac:dyDescent="0.25">
      <c r="I345" t="s">
        <v>349</v>
      </c>
    </row>
    <row r="346" spans="9:9" x14ac:dyDescent="0.25">
      <c r="I346" t="s">
        <v>350</v>
      </c>
    </row>
    <row r="347" spans="9:9" x14ac:dyDescent="0.25">
      <c r="I347" t="s">
        <v>140</v>
      </c>
    </row>
    <row r="348" spans="9:9" x14ac:dyDescent="0.25">
      <c r="I348" t="s">
        <v>211</v>
      </c>
    </row>
    <row r="349" spans="9:9" x14ac:dyDescent="0.25">
      <c r="I349" t="s">
        <v>140</v>
      </c>
    </row>
    <row r="350" spans="9:9" x14ac:dyDescent="0.25">
      <c r="I350" t="s">
        <v>212</v>
      </c>
    </row>
    <row r="351" spans="9:9" x14ac:dyDescent="0.25">
      <c r="I351" t="s">
        <v>213</v>
      </c>
    </row>
    <row r="352" spans="9:9" x14ac:dyDescent="0.25">
      <c r="I352" t="s">
        <v>351</v>
      </c>
    </row>
    <row r="353" spans="9:9" x14ac:dyDescent="0.25">
      <c r="I353" t="s">
        <v>352</v>
      </c>
    </row>
    <row r="354" spans="9:9" x14ac:dyDescent="0.25">
      <c r="I354" t="s">
        <v>353</v>
      </c>
    </row>
    <row r="355" spans="9:9" x14ac:dyDescent="0.25">
      <c r="I355" t="s">
        <v>160</v>
      </c>
    </row>
    <row r="356" spans="9:9" x14ac:dyDescent="0.25">
      <c r="I356" t="s">
        <v>354</v>
      </c>
    </row>
    <row r="357" spans="9:9" x14ac:dyDescent="0.25">
      <c r="I357" t="s">
        <v>355</v>
      </c>
    </row>
    <row r="358" spans="9:9" x14ac:dyDescent="0.25">
      <c r="I358" t="s">
        <v>356</v>
      </c>
    </row>
    <row r="359" spans="9:9" x14ac:dyDescent="0.25">
      <c r="I359" t="s">
        <v>160</v>
      </c>
    </row>
    <row r="360" spans="9:9" x14ac:dyDescent="0.25">
      <c r="I360" t="s">
        <v>140</v>
      </c>
    </row>
    <row r="361" spans="9:9" x14ac:dyDescent="0.25">
      <c r="I361" t="s">
        <v>209</v>
      </c>
    </row>
    <row r="362" spans="9:9" x14ac:dyDescent="0.25">
      <c r="I362" t="s">
        <v>210</v>
      </c>
    </row>
    <row r="363" spans="9:9" x14ac:dyDescent="0.25">
      <c r="I363" t="s">
        <v>140</v>
      </c>
    </row>
    <row r="364" spans="9:9" x14ac:dyDescent="0.25">
      <c r="I364" t="s">
        <v>357</v>
      </c>
    </row>
    <row r="365" spans="9:9" x14ac:dyDescent="0.25">
      <c r="I365" t="s">
        <v>358</v>
      </c>
    </row>
    <row r="366" spans="9:9" x14ac:dyDescent="0.25">
      <c r="I366" t="s">
        <v>359</v>
      </c>
    </row>
    <row r="367" spans="9:9" x14ac:dyDescent="0.25">
      <c r="I367" t="s">
        <v>360</v>
      </c>
    </row>
    <row r="368" spans="9:9" x14ac:dyDescent="0.25">
      <c r="I368" t="s">
        <v>214</v>
      </c>
    </row>
    <row r="370" spans="9:9" x14ac:dyDescent="0.25">
      <c r="I370" t="s">
        <v>585</v>
      </c>
    </row>
    <row r="371" spans="9:9" x14ac:dyDescent="0.25">
      <c r="I371" t="s">
        <v>586</v>
      </c>
    </row>
    <row r="372" spans="9:9" x14ac:dyDescent="0.25">
      <c r="I372" t="s">
        <v>587</v>
      </c>
    </row>
    <row r="373" spans="9:9" x14ac:dyDescent="0.25">
      <c r="I373" t="s">
        <v>588</v>
      </c>
    </row>
    <row r="374" spans="9:9" x14ac:dyDescent="0.25">
      <c r="I374" t="s">
        <v>218</v>
      </c>
    </row>
    <row r="375" spans="9:9" x14ac:dyDescent="0.25">
      <c r="I375" t="s">
        <v>140</v>
      </c>
    </row>
    <row r="376" spans="9:9" x14ac:dyDescent="0.25">
      <c r="I376" t="s">
        <v>589</v>
      </c>
    </row>
    <row r="377" spans="9:9" x14ac:dyDescent="0.25">
      <c r="I377" t="s">
        <v>590</v>
      </c>
    </row>
    <row r="378" spans="9:9" x14ac:dyDescent="0.25">
      <c r="I378" t="s">
        <v>591</v>
      </c>
    </row>
    <row r="379" spans="9:9" x14ac:dyDescent="0.25">
      <c r="I379" t="s">
        <v>160</v>
      </c>
    </row>
    <row r="380" spans="9:9" x14ac:dyDescent="0.25">
      <c r="I380" t="s">
        <v>140</v>
      </c>
    </row>
    <row r="381" spans="9:9" x14ac:dyDescent="0.25">
      <c r="I381" t="s">
        <v>592</v>
      </c>
    </row>
    <row r="382" spans="9:9" x14ac:dyDescent="0.25">
      <c r="I382" t="s">
        <v>593</v>
      </c>
    </row>
    <row r="383" spans="9:9" x14ac:dyDescent="0.25">
      <c r="I383" t="s">
        <v>140</v>
      </c>
    </row>
    <row r="384" spans="9:9" x14ac:dyDescent="0.25">
      <c r="I384" t="s">
        <v>594</v>
      </c>
    </row>
    <row r="385" spans="9:9" x14ac:dyDescent="0.25">
      <c r="I385" t="s">
        <v>595</v>
      </c>
    </row>
    <row r="386" spans="9:9" x14ac:dyDescent="0.25">
      <c r="I386" t="s">
        <v>596</v>
      </c>
    </row>
    <row r="387" spans="9:9" x14ac:dyDescent="0.25">
      <c r="I387" t="s">
        <v>597</v>
      </c>
    </row>
    <row r="388" spans="9:9" x14ac:dyDescent="0.25">
      <c r="I388" t="s">
        <v>581</v>
      </c>
    </row>
    <row r="389" spans="9:9" x14ac:dyDescent="0.25">
      <c r="I389" t="s">
        <v>598</v>
      </c>
    </row>
    <row r="390" spans="9:9" x14ac:dyDescent="0.25">
      <c r="I390" t="s">
        <v>203</v>
      </c>
    </row>
    <row r="391" spans="9:9" x14ac:dyDescent="0.25">
      <c r="I391" t="s">
        <v>260</v>
      </c>
    </row>
    <row r="392" spans="9:9" x14ac:dyDescent="0.25">
      <c r="I392" t="s">
        <v>599</v>
      </c>
    </row>
    <row r="393" spans="9:9" x14ac:dyDescent="0.25">
      <c r="I393" t="s">
        <v>600</v>
      </c>
    </row>
    <row r="394" spans="9:9" x14ac:dyDescent="0.25">
      <c r="I394" t="s">
        <v>601</v>
      </c>
    </row>
    <row r="395" spans="9:9" x14ac:dyDescent="0.25">
      <c r="I395" t="s">
        <v>203</v>
      </c>
    </row>
    <row r="396" spans="9:9" x14ac:dyDescent="0.25">
      <c r="I396" t="s">
        <v>204</v>
      </c>
    </row>
    <row r="397" spans="9:9" x14ac:dyDescent="0.25">
      <c r="I397" t="s">
        <v>214</v>
      </c>
    </row>
    <row r="399" spans="9:9" x14ac:dyDescent="0.25">
      <c r="I399" t="s">
        <v>215</v>
      </c>
    </row>
    <row r="400" spans="9:9" x14ac:dyDescent="0.25">
      <c r="I400" t="s">
        <v>216</v>
      </c>
    </row>
    <row r="401" spans="9:9" x14ac:dyDescent="0.25">
      <c r="I401" t="s">
        <v>217</v>
      </c>
    </row>
    <row r="402" spans="9:9" x14ac:dyDescent="0.25">
      <c r="I402" t="s">
        <v>218</v>
      </c>
    </row>
    <row r="403" spans="9:9" x14ac:dyDescent="0.25">
      <c r="I403" t="s">
        <v>140</v>
      </c>
    </row>
    <row r="404" spans="9:9" x14ac:dyDescent="0.25">
      <c r="I404" t="s">
        <v>219</v>
      </c>
    </row>
    <row r="405" spans="9:9" x14ac:dyDescent="0.25">
      <c r="I405" t="s">
        <v>220</v>
      </c>
    </row>
    <row r="406" spans="9:9" x14ac:dyDescent="0.25">
      <c r="I406" t="s">
        <v>140</v>
      </c>
    </row>
    <row r="407" spans="9:9" x14ac:dyDescent="0.25">
      <c r="I407" t="s">
        <v>221</v>
      </c>
    </row>
    <row r="408" spans="9:9" x14ac:dyDescent="0.25">
      <c r="I408" t="s">
        <v>222</v>
      </c>
    </row>
    <row r="409" spans="9:9" x14ac:dyDescent="0.25">
      <c r="I409" t="s">
        <v>204</v>
      </c>
    </row>
    <row r="410" spans="9:9" x14ac:dyDescent="0.25">
      <c r="I410" t="s">
        <v>140</v>
      </c>
    </row>
    <row r="411" spans="9:9" x14ac:dyDescent="0.25">
      <c r="I411" t="s">
        <v>223</v>
      </c>
    </row>
    <row r="412" spans="9:9" x14ac:dyDescent="0.25">
      <c r="I412" t="s">
        <v>224</v>
      </c>
    </row>
    <row r="413" spans="9:9" x14ac:dyDescent="0.25">
      <c r="I413" t="s">
        <v>225</v>
      </c>
    </row>
    <row r="415" spans="9:9" x14ac:dyDescent="0.25">
      <c r="I415" t="s">
        <v>602</v>
      </c>
    </row>
    <row r="416" spans="9:9" x14ac:dyDescent="0.25">
      <c r="I416" t="s">
        <v>603</v>
      </c>
    </row>
    <row r="417" spans="9:9" x14ac:dyDescent="0.25">
      <c r="I417" t="s">
        <v>604</v>
      </c>
    </row>
    <row r="418" spans="9:9" x14ac:dyDescent="0.25">
      <c r="I418" t="s">
        <v>140</v>
      </c>
    </row>
    <row r="419" spans="9:9" x14ac:dyDescent="0.25">
      <c r="I419" t="s">
        <v>605</v>
      </c>
    </row>
    <row r="420" spans="9:9" x14ac:dyDescent="0.25">
      <c r="I420" t="s">
        <v>606</v>
      </c>
    </row>
    <row r="421" spans="9:9" x14ac:dyDescent="0.25">
      <c r="I421" t="s">
        <v>607</v>
      </c>
    </row>
    <row r="422" spans="9:9" x14ac:dyDescent="0.25">
      <c r="I422" t="s">
        <v>608</v>
      </c>
    </row>
    <row r="423" spans="9:9" x14ac:dyDescent="0.25">
      <c r="I423" t="s">
        <v>609</v>
      </c>
    </row>
    <row r="424" spans="9:9" x14ac:dyDescent="0.25">
      <c r="I424" t="s">
        <v>160</v>
      </c>
    </row>
    <row r="425" spans="9:9" x14ac:dyDescent="0.25">
      <c r="I425" t="s">
        <v>140</v>
      </c>
    </row>
    <row r="426" spans="9:9" x14ac:dyDescent="0.25">
      <c r="I426" t="s">
        <v>610</v>
      </c>
    </row>
    <row r="427" spans="9:9" x14ac:dyDescent="0.25">
      <c r="I427" t="s">
        <v>611</v>
      </c>
    </row>
    <row r="428" spans="9:9" x14ac:dyDescent="0.25">
      <c r="I428" t="s">
        <v>612</v>
      </c>
    </row>
    <row r="429" spans="9:9" x14ac:dyDescent="0.25">
      <c r="I429" t="s">
        <v>613</v>
      </c>
    </row>
    <row r="430" spans="9:9" x14ac:dyDescent="0.25">
      <c r="I430" t="s">
        <v>608</v>
      </c>
    </row>
    <row r="431" spans="9:9" x14ac:dyDescent="0.25">
      <c r="I431" t="s">
        <v>614</v>
      </c>
    </row>
    <row r="432" spans="9:9" x14ac:dyDescent="0.25">
      <c r="I432" t="s">
        <v>615</v>
      </c>
    </row>
    <row r="433" spans="9:9" x14ac:dyDescent="0.25">
      <c r="I433" t="s">
        <v>616</v>
      </c>
    </row>
    <row r="434" spans="9:9" x14ac:dyDescent="0.25">
      <c r="I434" t="s">
        <v>617</v>
      </c>
    </row>
    <row r="435" spans="9:9" x14ac:dyDescent="0.25">
      <c r="I435" t="s">
        <v>618</v>
      </c>
    </row>
    <row r="436" spans="9:9" x14ac:dyDescent="0.25">
      <c r="I436" t="s">
        <v>619</v>
      </c>
    </row>
    <row r="437" spans="9:9" x14ac:dyDescent="0.25">
      <c r="I437" t="s">
        <v>620</v>
      </c>
    </row>
    <row r="438" spans="9:9" x14ac:dyDescent="0.25">
      <c r="I438" t="s">
        <v>160</v>
      </c>
    </row>
    <row r="439" spans="9:9" x14ac:dyDescent="0.25">
      <c r="I439" t="s">
        <v>214</v>
      </c>
    </row>
    <row r="441" spans="9:9" x14ac:dyDescent="0.25">
      <c r="I441" t="s">
        <v>621</v>
      </c>
    </row>
    <row r="442" spans="9:9" x14ac:dyDescent="0.25">
      <c r="I442" t="s">
        <v>622</v>
      </c>
    </row>
    <row r="443" spans="9:9" x14ac:dyDescent="0.25">
      <c r="I443" t="s">
        <v>140</v>
      </c>
    </row>
    <row r="444" spans="9:9" x14ac:dyDescent="0.25">
      <c r="I444" t="s">
        <v>623</v>
      </c>
    </row>
    <row r="445" spans="9:9" x14ac:dyDescent="0.25">
      <c r="I445" t="s">
        <v>140</v>
      </c>
    </row>
    <row r="446" spans="9:9" x14ac:dyDescent="0.25">
      <c r="I446" t="s">
        <v>624</v>
      </c>
    </row>
    <row r="447" spans="9:9" x14ac:dyDescent="0.25">
      <c r="I447" t="s">
        <v>625</v>
      </c>
    </row>
    <row r="448" spans="9:9" x14ac:dyDescent="0.25">
      <c r="I448" t="s">
        <v>626</v>
      </c>
    </row>
    <row r="449" spans="9:9" x14ac:dyDescent="0.25">
      <c r="I449" t="s">
        <v>627</v>
      </c>
    </row>
    <row r="450" spans="9:9" x14ac:dyDescent="0.25">
      <c r="I450" t="s">
        <v>260</v>
      </c>
    </row>
    <row r="451" spans="9:9" x14ac:dyDescent="0.25">
      <c r="I451" t="s">
        <v>628</v>
      </c>
    </row>
    <row r="452" spans="9:9" x14ac:dyDescent="0.25">
      <c r="I452" t="s">
        <v>629</v>
      </c>
    </row>
    <row r="453" spans="9:9" x14ac:dyDescent="0.25">
      <c r="I453" t="s">
        <v>630</v>
      </c>
    </row>
    <row r="454" spans="9:9" x14ac:dyDescent="0.25">
      <c r="I454" t="s">
        <v>631</v>
      </c>
    </row>
    <row r="455" spans="9:9" x14ac:dyDescent="0.25">
      <c r="I455" t="s">
        <v>632</v>
      </c>
    </row>
    <row r="456" spans="9:9" x14ac:dyDescent="0.25">
      <c r="I456" t="s">
        <v>633</v>
      </c>
    </row>
    <row r="457" spans="9:9" x14ac:dyDescent="0.25">
      <c r="I457" t="s">
        <v>214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outbound</vt:lpstr>
      <vt:lpstr>Sheet2</vt:lpstr>
      <vt:lpstr>sample</vt:lpstr>
      <vt:lpstr>sites</vt:lpstr>
      <vt:lpstr>labs</vt:lpstr>
      <vt:lpstr>nonADR</vt:lpstr>
      <vt:lpstr>AREA</vt:lpstr>
      <vt:lpstr>kits</vt:lpstr>
      <vt:lpstr>issue reg.</vt:lpstr>
      <vt:lpstr>schedule</vt:lpstr>
      <vt:lpstr>Sheet1</vt:lpstr>
      <vt:lpstr>backup macro</vt:lpstr>
    </vt:vector>
  </TitlesOfParts>
  <Company>Eurofins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Schweig</dc:creator>
  <cp:lastModifiedBy>Maikel Tollenaar</cp:lastModifiedBy>
  <dcterms:created xsi:type="dcterms:W3CDTF">2025-06-02T10:12:36Z</dcterms:created>
  <dcterms:modified xsi:type="dcterms:W3CDTF">2025-10-17T12:14:45Z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a543571-9408-4177-b9fc-8aa89b201ffe_Enabled">
    <vt:lpwstr>true</vt:lpwstr>
  </property>
  <property fmtid="{D5CDD505-2E9C-101B-9397-08002B2CF9AE}" pid="3" name="MSIP_Label_2a543571-9408-4177-b9fc-8aa89b201ffe_SetDate">
    <vt:lpwstr>2025-06-02T10:51:59Z</vt:lpwstr>
  </property>
  <property fmtid="{D5CDD505-2E9C-101B-9397-08002B2CF9AE}" pid="4" name="MSIP_Label_2a543571-9408-4177-b9fc-8aa89b201ffe_Method">
    <vt:lpwstr>Standard</vt:lpwstr>
  </property>
  <property fmtid="{D5CDD505-2E9C-101B-9397-08002B2CF9AE}" pid="5" name="MSIP_Label_2a543571-9408-4177-b9fc-8aa89b201ffe_Name">
    <vt:lpwstr>Eurofins Internal</vt:lpwstr>
  </property>
  <property fmtid="{D5CDD505-2E9C-101B-9397-08002B2CF9AE}" pid="6" name="MSIP_Label_2a543571-9408-4177-b9fc-8aa89b201ffe_SiteId">
    <vt:lpwstr>c94e2732-29d6-41d6-89d9-08c9798a6601</vt:lpwstr>
  </property>
  <property fmtid="{D5CDD505-2E9C-101B-9397-08002B2CF9AE}" pid="7" name="MSIP_Label_2a543571-9408-4177-b9fc-8aa89b201ffe_ActionId">
    <vt:lpwstr>27e3d3d3-66ab-4e73-a075-95efe8e2550c</vt:lpwstr>
  </property>
  <property fmtid="{D5CDD505-2E9C-101B-9397-08002B2CF9AE}" pid="8" name="MSIP_Label_2a543571-9408-4177-b9fc-8aa89b201ffe_ContentBits">
    <vt:lpwstr>0</vt:lpwstr>
  </property>
</Properties>
</file>